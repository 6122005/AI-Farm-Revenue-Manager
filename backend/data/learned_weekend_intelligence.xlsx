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Events Export" sheetId="2" state="visible" r:id="rId4"/>
    <sheet name="Sheet3" sheetId="3" state="visible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<sst xmlns="http://schemas.openxmlformats.org/spreadsheetml/2006/main" count="1881" uniqueCount="1544">
  <si>
    <t xml:space="preserve">Month</t>
  </si>
  <si>
    <t xml:space="preserve">Total Rent</t>
  </si>
  <si>
    <t xml:space="preserve">Rent Change (YoY)</t>
  </si>
  <si>
    <t xml:space="preserve">Occupancy Rate (%)</t>
  </si>
  <si>
    <t xml:space="preserve">Occupancy Change (YoY)</t>
  </si>
  <si>
    <t xml:space="preserve">Total Bookings</t>
  </si>
  <si>
    <t xml:space="preserve">Bookings Change (YoY)</t>
  </si>
  <si>
    <t xml:space="preserve">Unbooked 24hr Slots</t>
  </si>
  <si>
    <t xml:space="preserve">Unbooked Day Slots</t>
  </si>
  <si>
    <t xml:space="preserve">Unbooked Night Slots</t>
  </si>
  <si>
    <t xml:space="preserve">Title</t>
  </si>
  <si>
    <t xml:space="preserve">Description</t>
  </si>
  <si>
    <t xml:space="preserve">Start Date</t>
  </si>
  <si>
    <t xml:space="preserve">Start Time</t>
  </si>
  <si>
    <t xml:space="preserve">End Date</t>
  </si>
  <si>
    <t xml:space="preserve">End Time</t>
  </si>
  <si>
    <t xml:space="preserve">Rate</t>
  </si>
  <si>
    <t xml:space="preserve">Number of Guests</t>
  </si>
  <si>
    <t xml:space="preserve">Booking Date</t>
  </si>
  <si>
    <t xml:space="preserve">Booking Time</t>
  </si>
  <si>
    <t xml:space="preserve">Booking Category</t>
  </si>
  <si>
    <t xml:space="preserve">Duration</t>
  </si>
  <si>
    <t xml:space="preserve">Festivals </t>
  </si>
  <si>
    <t xml:space="preserve">Weekend</t>
  </si>
  <si>
    <t xml:space="preserve">vacation time </t>
  </si>
  <si>
    <t xml:space="preserve">season</t>
  </si>
  <si>
    <t xml:space="preserve">Day of Week </t>
  </si>
  <si>
    <t xml:space="preserve">Lead Days</t>
  </si>
  <si>
    <t xml:space="preserve">Farm Booked</t>
  </si>
  <si>
    <t xml:space="preserve">Rent: ₹3500</t>
  </si>
  <si>
    <t xml:space="preserve">24H Night</t>
  </si>
  <si>
    <t xml:space="preserve">Rent: ₹4800</t>
  </si>
  <si>
    <t xml:space="preserve">Rent: 2000</t>
  </si>
  <si>
    <t xml:space="preserve">Rent: 5000</t>
  </si>
  <si>
    <t xml:space="preserve">Rent: 2800</t>
  </si>
  <si>
    <t xml:space="preserve">12H Day</t>
  </si>
  <si>
    <t xml:space="preserve">Rent: 1200</t>
  </si>
  <si>
    <t xml:space="preserve">Farm booked</t>
  </si>
  <si>
    <t xml:space="preserve">Rent: 2500 only room</t>
  </si>
  <si>
    <t xml:space="preserve">Rent: 2700</t>
  </si>
  <si>
    <t xml:space="preserve">Rent: 3300 room + kitchen</t>
  </si>
  <si>
    <t xml:space="preserve">Rent: 4500</t>
  </si>
  <si>
    <t xml:space="preserve">Farm booked - Hirenbhai</t>
  </si>
  <si>
    <t xml:space="preserve">Rent: 2500</t>
  </si>
  <si>
    <t xml:space="preserve">Farm booked by Monu</t>
  </si>
  <si>
    <t xml:space="preserve">Rent: 2500
Full facilities</t>
  </si>
  <si>
    <t xml:space="preserve">Farm booked by Vishal</t>
  </si>
  <si>
    <t xml:space="preserve">Farm booked by Divyesh</t>
  </si>
  <si>
    <t xml:space="preserve">Rent: 1500
Only room</t>
  </si>
  <si>
    <t xml:space="preserve">Rent: 1500 only photo</t>
  </si>
  <si>
    <t xml:space="preserve">Farm Booked by Vatsal</t>
  </si>
  <si>
    <t xml:space="preserve">Rent: 8500</t>
  </si>
  <si>
    <t xml:space="preserve">Farm Booked by Yash</t>
  </si>
  <si>
    <t xml:space="preserve">Rent: 3000</t>
  </si>
  <si>
    <t xml:space="preserve">Farm Booked by Roopen’s friend</t>
  </si>
  <si>
    <t xml:space="preserve">Rent: ₹3000
₹2000 - penalty
Guest name: Rekha</t>
  </si>
  <si>
    <t xml:space="preserve">Farb booked by Atul</t>
  </si>
  <si>
    <t xml:space="preserve">Farm booked by Raj</t>
  </si>
  <si>
    <t xml:space="preserve">9 Jan 9AM to 9 Jan 6PM
2 Person
Full facility
Rent: ₹2000
Deposit: ₹2000
Advanced paid: ₹500</t>
  </si>
  <si>
    <t xml:space="preserve">Farm booked by Prashant</t>
  </si>
  <si>
    <t xml:space="preserve">10 Jan 9 AM to 10 Jan 5 PM
4 Person
Full Facilities
Rent: 2500
Deposit: 2000
Total Payment before checkin: 4500
2000 refundable within 24 hours of checkout.
Advance Payment received: ₹500
Pending amount: ₹4000</t>
  </si>
  <si>
    <t xml:space="preserve">Farm booked by Aman</t>
  </si>
  <si>
    <t xml:space="preserve">9 Jan 6 PM to 10 Jan 6 PM
24 hours
Full facilities with JBL sound system
5 person
Rent: ₹4000
Deposit: ₹2000
Total payment before check in: ₹6000
₹2000 refundable within 24 hours of check out
Advance payment paid: ₹1000
Pending Amount: ₹5000</t>
  </si>
  <si>
    <t xml:space="preserve">Farm booked by Om</t>
  </si>
  <si>
    <t xml:space="preserve">13 Jan 6PM to 14 Jan 8AM
6 Persons
Full facilities with JBL sound system
Rent: ₹4500
Deposit: ₹2000
Total payment before check in: ₹6500
₹2000 refundable within 24 hours of check out.
Advance payment paid: ₹2000.
Pending amount: ₹4500</t>
  </si>
  <si>
    <t xml:space="preserve">12H Night</t>
  </si>
  <si>
    <t xml:space="preserve">Farm booked by Jignesh </t>
  </si>
  <si>
    <t xml:space="preserve">14 Jan 8 AM to 15 Jan 8 PM
8 Person
Full facilities
Rent: ₹10000
Deposit: ₹2000
Total payment: ₹12000
Payment received: ₹2000</t>
  </si>
  <si>
    <t xml:space="preserve">Farm booked by Rutvik </t>
  </si>
  <si>
    <t xml:space="preserve">Booking confirmed ✅ 
17 jan 6 AM to 6 PM
2 Person
Only Room + Kitchen
Rent: ₹2200
Deposit: ₹2000
Total payment: ₹4200
Advance received: ₹1000</t>
  </si>
  <si>
    <t xml:space="preserve">Farm booked by Anand</t>
  </si>
  <si>
    <t xml:space="preserve">18 Jan 10 AM to 4 PM
2 Person
Full facilities
Rent: ₹2200
Deposit: ₹2000
Total payment: ₹4200
₹2000 refund after check out.</t>
  </si>
  <si>
    <t xml:space="preserve">Farm booked by Priyank</t>
  </si>
  <si>
    <t xml:space="preserve">21 Jan 9 PM to 22 Jan 12PM
10 Person
Rent: ₹3000
Deposit: ₹2000
Total payment: ₹5000
₹2000 refund after check out
₹1000 received</t>
  </si>
  <si>
    <t xml:space="preserve">Farm booked by Nikunj</t>
  </si>
  <si>
    <t xml:space="preserve">22 Jan 12PM to 6PM
4 Person
Full Facilities with JBL Sound system
Rent: ₹2500
Deposit: ₹2000
Total Payment: ₹4500
₹2000 refund after checkout
Payment Received: ₹2000
Pending: ₹2500</t>
  </si>
  <si>
    <t xml:space="preserve">24 Jan 6 AM to 6 PM
10 Person
Rent: ₹2200
Deposit: ₹2000
Total Payment: ₹4200
₹2000 received </t>
  </si>
  <si>
    <t xml:space="preserve">Farm booked by Jay - Partial payment</t>
  </si>
  <si>
    <t xml:space="preserve">25 Jan 9 AM to 5 PM
4 Person
Only Room
Rent: ₹1500
Deposit: ₹2000
Total payment: ₹3500
₹2000 refund after check out.</t>
  </si>
  <si>
    <t xml:space="preserve">Farm booked by Neel - Partial payment</t>
  </si>
  <si>
    <t xml:space="preserve">26Jan 6 PM to 27 Jan 4 PM
10 Person
Full facilities with sound system
Rent: 3500
Deposit: 2000
Amount received: ₹1000</t>
  </si>
  <si>
    <t xml:space="preserve">Farm booked by Parimal - Partial Payment</t>
  </si>
  <si>
    <t xml:space="preserve">27/1 4:00 PM to 28/1 8:00 PM
17 Person
Rent: ₹6000
Deposit: ₹2000
Total payment before check in: ₹8000
₹2000 refundable within 24 hours of check out.
Amount paid: ₹1000
Your booking is confirmed</t>
  </si>
  <si>
    <t xml:space="preserve">Farm booked by Suresh</t>
  </si>
  <si>
    <t xml:space="preserve">Guest name: Dhaval
30 Jan 6PM to 2 Feb 6PM
3 Night - 3 Days
4 Person
Full facilities with JBL sound system
Rent: ₹8000
Deposit: 2000
Payment Received: ₹10000</t>
  </si>
  <si>
    <t xml:space="preserve">Farm booked by Nirmal</t>
  </si>
  <si>
    <t xml:space="preserve">No rent - relative
Rent: 0</t>
  </si>
  <si>
    <t xml:space="preserve">Farm booked by Neel </t>
  </si>
  <si>
    <t xml:space="preserve">3 Feb 6 PM to 4 Feb 9 AM
15 hours
10 Person
Rent: ₹3000
Deposit: ₹2000
Pay Advance on this number to confirm booking.</t>
  </si>
  <si>
    <t xml:space="preserve">s</t>
  </si>
  <si>
    <t xml:space="preserve">Farm booked by Nandan</t>
  </si>
  <si>
    <t xml:space="preserve">Tomorrow 10 AM to 10 PM
5 Person
Full facilities with JBL sound system
Rent: ₹3300
Deposit: ₹2000
Deposit refund after check out
Advance received: ₹1000
No Cash - online only.</t>
  </si>
  <si>
    <t xml:space="preserve">Farm booked by Ronit </t>
  </si>
  <si>
    <t xml:space="preserve">6 Feb 8 AM to 8 PM
8 Person
Rent: ₹2500
Deposit: ₹2000
Received: ₹500</t>
  </si>
  <si>
    <t xml:space="preserve">Farm booked by Dipak</t>
  </si>
  <si>
    <t xml:space="preserve">6 Feb 9PM to 7 Feb 8:30 AM
8 Person
Full facility with swimming pool and sound system
Rent: ₹2200
Deposit: ₹2000
Deposit refund after check out</t>
  </si>
  <si>
    <t xml:space="preserve">Farm booked by Abhishek</t>
  </si>
  <si>
    <t xml:space="preserve">7 Feb 12:30 PM to 4:00 PM
2 Person
Full facilities - with swimming pool 
Rent: ₹2000
Deposit: ₹2000
*Deposit refund after check out.*
Advance payment ₹1000 to confirm your booking</t>
  </si>
  <si>
    <t xml:space="preserve">Farm booked by Atul</t>
  </si>
  <si>
    <t xml:space="preserve">9 Feb 9AM to 3PM
4 Person
Full Facility
Rent: ₹2000
Deposit: ₹2000
Advance received ✅ : ₹2000</t>
  </si>
  <si>
    <t xml:space="preserve">Farm booked by Rajnish</t>
  </si>
  <si>
    <t xml:space="preserve">09-Feb-2024 at 8:00 AM to 09-Feb-2024 at 5:00 PM
4 Persons
Rent: ₹2000
Deposit: ₹2000
₹500 received 
Deposit Refund after check out.</t>
  </si>
  <si>
    <t xml:space="preserve">Farm booked by Surya</t>
  </si>
  <si>
    <t xml:space="preserve">10-Feb-2024 at 7:00 PM to 11-Feb-2024 at 1:00 PM
12 Persons
Rent: ₹4500
Deposit: ₹2000
Deposit Refund after check out.</t>
  </si>
  <si>
    <t xml:space="preserve">Farm booked by 14 number</t>
  </si>
  <si>
    <t xml:space="preserve">Rent: 7000 paid 1000</t>
  </si>
  <si>
    <t xml:space="preserve">Farm booked by Bhupendra</t>
  </si>
  <si>
    <t xml:space="preserve">15 Feb 6 AM to 6 PM
4 person
Full facilities with JBL sound system
Rent: ₹2500
Deposit: ₹2000
Amount received: ₹1000
Pending: ₹3500
Farm number: 11 kevanu gate pr.</t>
  </si>
  <si>
    <t xml:space="preserve">Booked by Rutvik</t>
  </si>
  <si>
    <t xml:space="preserve">16-Feb-2024 at 10:00 AM to 16-Feb-2024 at 6:00 PM
2 Persons
Rent: ₹2700
Deposit: ₹2000
Deposit Refund after check out.</t>
  </si>
  <si>
    <t xml:space="preserve">Farm booked by Parimal</t>
  </si>
  <si>
    <t xml:space="preserve">17 Feb 4:00 PM to 18 feb 8:00 PM
22 Person
Rent: ₹6000
Deposit: ₹1000
₹1000 received
(Note : Tejas Pay 7000₹)</t>
  </si>
  <si>
    <t xml:space="preserve">Farm booked by Anand Yadav ~ Partial payment</t>
  </si>
  <si>
    <t xml:space="preserve">20-Feb-2024 at 10:00 AM to 20-Feb-2024 at 6:00 PM
4 Persons
Rent: ₹2000
Deposit: ₹2000
₹1000 advance received 
₹1000 Advance received.</t>
  </si>
  <si>
    <t xml:space="preserve">Farm booked by Nidhish - Partial payment</t>
  </si>
  <si>
    <t xml:space="preserve">21-Feb-2024 at 6:00 AM to 21-Feb-2024 at 6:00 PM
4 Persons
Rent: ₹1700
Deposit: ₹2000
₹1000 Received </t>
  </si>
  <si>
    <t xml:space="preserve">Farm booked by Yash Chahidiya</t>
  </si>
  <si>
    <t xml:space="preserve">21-Feb-2024 at 7:00 PM to 22-Feb-2024 at 5:00 PM
2 Persons
Only Room with AC
Rent: ₹3000
Deposit: ₹1000
₹3000 Received </t>
  </si>
  <si>
    <t xml:space="preserve">Farm booked by Sharad - Partial payment</t>
  </si>
  <si>
    <t xml:space="preserve">22-Feb-2024 at 6:00 PM to 23-Feb-2024 at 6:00 PM
15 Persons
Rent: ₹4000
Deposit: ₹2000
₹2000 received
Deposit Refund after check out.</t>
  </si>
  <si>
    <t xml:space="preserve">Farm booked by Arkit</t>
  </si>
  <si>
    <t xml:space="preserve">24-Feb-2024 at 6:00 PM to 25-Feb-2024 at 6:00 PM
12 Persons
Rent: ₹5000
Deposit: ₹2000
₹2000 Received 
Deposit Refund after check out.</t>
  </si>
  <si>
    <t xml:space="preserve">Farm booked by Bhautik Vaghasiya ~  Partial payment</t>
  </si>
  <si>
    <t xml:space="preserve">26-Feb-2024 at 6:00 AM to 26-Feb-2024 at 6:00 PM
2 Persons
Rent: ₹2000
Deposit:₹2000
₹2000 Received</t>
  </si>
  <si>
    <t xml:space="preserve">Farm Booked by Payal Patel</t>
  </si>
  <si>
    <t xml:space="preserve">29-Feb-2024 at 6:00 AM to 29-Feb-2024 at 6:00 PM
2 Persons
Rent: ₹1700
Deposit: ₹2000
₹1700 Received 
Deposit Refund after check out.</t>
  </si>
  <si>
    <t xml:space="preserve">Farm booked by Pavan Joshi</t>
  </si>
  <si>
    <t xml:space="preserve">29-Feb-2024 at 10:00 PM to 01-Mar-2024 at 10:00 AM
6 Persons
Rent: ₹2000
Deposit: ₹2000
₹2000 Received 
Deposit Refund after check out.</t>
  </si>
  <si>
    <t xml:space="preserve">Farm Booked by Atul Vishwakarma</t>
  </si>
  <si>
    <t xml:space="preserve">01-Mar-2024 at 11:00 AM to 02-Mar-2024 at 06:00 AM
12 Persons
Rent: ₹3200
Deposit: ₹2000
₹2000 Received 
Deposit Refund after check out.</t>
  </si>
  <si>
    <t xml:space="preserve">Farm Booked by Kaushik Jethva </t>
  </si>
  <si>
    <t xml:space="preserve">02-Mar-2024 at 6:00 AM to 02-Mar-2024 at 6:00 PM
10 Persons
Rent: ₹3500
Deposit: ₹2000
₹1000 Received 
Deposit Refund after check out.</t>
  </si>
  <si>
    <t xml:space="preserve">Farm booked by Kenil - Partial Payment</t>
  </si>
  <si>
    <t xml:space="preserve">02-Mar-2024 at 6:00 PM to 03-Mar-2024 at 6:00 PM
5 Persons
Rent: ₹5500
Deposit: ₹2000
₹2000 Received 
Deposit Refund after check out.</t>
  </si>
  <si>
    <t xml:space="preserve">Booked by Kunal Rana - Partial payment</t>
  </si>
  <si>
    <t xml:space="preserve">03-Mar-2024 at 8:00 PM to 04-Mar-2024 at 8:00 PM
4 Persons
Rent: ₹4500
Deposit: ₹2000
₹4500 Received 
Deposit Refund after check out.</t>
  </si>
  <si>
    <t xml:space="preserve">Farm booked by Nikunj - full paid</t>
  </si>
  <si>
    <t xml:space="preserve">05-Mar-2024 at 6:00 AM to 05-Mar-2024 at 6:00 PM
2 Persons
Rent: ₹3000
Deposit: ₹2000 Deposit Refund after check out.
₹5000 received</t>
  </si>
  <si>
    <t xml:space="preserve">Farm booked by Sahil Patel</t>
  </si>
  <si>
    <t xml:space="preserve">09-Mar-2024 at 6:00 PM to 10-Mar-2024 at 6:00 PM
8 Persons
Rent: ₹5500
Deposit: ₹2000
₹3000 Received 
Deposit Refund after check out.</t>
  </si>
  <si>
    <t xml:space="preserve">Booked by Zeel - Partial payment </t>
  </si>
  <si>
    <t xml:space="preserve">14 Mar 2024 at 6:00 AM to 14 Mar 2024 at 6:00 PM
4 Persons
Rent: ₹3000
Deposit: ₹2000
₹500 Received 
Deposit Refund after check out.</t>
  </si>
  <si>
    <t xml:space="preserve">Booked by Anand - Partial payment</t>
  </si>
  <si>
    <t xml:space="preserve">15-Mar-2024 at 10:00 AM to 15-Mar-2024 at 5:00 PM
4 Persons
Rent: ₹3000
Deposit: ₹2000
₹1000 received 
Deposit Refund after check out.</t>
  </si>
  <si>
    <t xml:space="preserve">Booked by Kenil - Partial booking</t>
  </si>
  <si>
    <t xml:space="preserve">15 Mar 2024 at 6:00 PM to 16 Mar 2024 at 6:00 PM
10 Persons
Rent: ₹4500
Deposit: ₹2000
₹2000 received
Deposit Refund after check out.</t>
  </si>
  <si>
    <t xml:space="preserve">Booked by Kiran - Partial payment</t>
  </si>
  <si>
    <t xml:space="preserve">16-Mar-2024 at 6:00 PM to 17-Mar-2024 at 6:00 PM
10 Persons
Rent: ₹6000
Deposit: ₹2000
₹2000 Received 
Deposit Refund after check out.</t>
  </si>
  <si>
    <t xml:space="preserve">Booked by Sharad</t>
  </si>
  <si>
    <t xml:space="preserve">17 Mar 2024 at 11:00 PM to 18 Mar 2024 at 11:59 PM
8 Persons
Rent: ₹4000
Deposit: ₹2000
Deposit Refund after check out.</t>
  </si>
  <si>
    <t xml:space="preserve">Booked by Mihir</t>
  </si>
  <si>
    <t xml:space="preserve">19 Mar 2024 at 9:00 AM to 19 Mar 2024 at 6:00 PM
3 Persons
Rent: ₹2250
Deposit: ₹2000
₹1000 received
Farm number - 11
Deposit Refund after check out.</t>
  </si>
  <si>
    <t xml:space="preserve">Booked by Aditya</t>
  </si>
  <si>
    <t xml:space="preserve">20 Mar 2024 at 6:00 PM to 21 Mar 2024 at 6:00 PM
8 Persons
Rent: ₹4000
Deposit: ₹2000
Deposit Refund after check out.</t>
  </si>
  <si>
    <t xml:space="preserve">Farm booked by Smit - Partial payment</t>
  </si>
  <si>
    <t xml:space="preserve">10 Persons
Rent: ₹6000
Deposit: ₹2000
Payment received: ₹2000
</t>
  </si>
  <si>
    <t xml:space="preserve">Booked by farm 11</t>
  </si>
  <si>
    <t xml:space="preserve">23 Mar 2024 at 11:00 AM to 23 Mar 2024 at 5:00 PM
4 Persons
Rent: ₹2200
Deposit: ₹2000
Deposit Refund after check out.</t>
  </si>
  <si>
    <t xml:space="preserve">Booked by Mehul - partial payment</t>
  </si>
  <si>
    <t xml:space="preserve">23 Mar 2024 at 6:00 PM to 24 Mar 2024 at 6:00 PM
13 Persons max allowed
Rent: ₹9000
Deposit: ₹2000
₹3000 received
Deposit Refund after check out.</t>
  </si>
  <si>
    <t xml:space="preserve">Booked by Limbani Meet</t>
  </si>
  <si>
    <t xml:space="preserve">Rent: ₹18000
+91 93286 25025
24 Mar 2024 at 6:00 PM to 25 Mar 2024 at 6:00 PM
15 Persons
Deposit: ₹2000
Deposit Refund after check out.</t>
  </si>
  <si>
    <t xml:space="preserve">Booked by Yug - Partial payment</t>
  </si>
  <si>
    <t xml:space="preserve">26 Mar 2024 at 6:00 PM to 27 Mar 2024 at 6:00 PM
10 Max Persons allowed 
Rent: ₹3500
Deposit: ₹2000
Deposit Refund after check out.</t>
  </si>
  <si>
    <t xml:space="preserve">Booked by Ayush </t>
  </si>
  <si>
    <t xml:space="preserve">27 Mar 2024 at 6:00 PM to 28 Mar 2024 at 6:00 PM
8 Persons
Rent: ₹4000
Deposit: ₹2000
₹2000 received cash
Deposit Refund after check out.</t>
  </si>
  <si>
    <t xml:space="preserve">Booked by Raj Trivedi</t>
  </si>
  <si>
    <t xml:space="preserve">28 Mar 2024 at 6:00 PM to 29 Mar 2024 at 6:00 PM
7 Persons
Rent: ₹3500
Deposit: ₹2000
₹2000 received
Deposit Refund after check out.</t>
  </si>
  <si>
    <t xml:space="preserve">Booked by Bhargav</t>
  </si>
  <si>
    <t xml:space="preserve">29 Mar 2024 at 6:00 PM to 30 Mar 2024 at 6:00 PM
9 Persons
Rent: ₹3800
Deposit: ₹2000
₹1000 received
Deposit Refund after check out.</t>
  </si>
  <si>
    <t xml:space="preserve">Booked by Nilkanth rathod</t>
  </si>
  <si>
    <t xml:space="preserve">30-Mar-2024 at 6:00 PM to 31-Mar-2024 at 6:00 PM
10 Persons
Rent: ₹7000
Deposit: ₹2000
₹1800 received ☑️ 
50% payment Saturday Morning, baki nu check in time pr
Deposit Refund after check out.</t>
  </si>
  <si>
    <t xml:space="preserve">Booked by Neel</t>
  </si>
  <si>
    <t xml:space="preserve">31 Mar 2024 at 6:00 PM to 1 Apr 2024 at 6:00 PM
8 max Persons allowed
Rent: ₹4500
Deposit: ₹2000
₹1000 Received 
Deposit Refund after check out.</t>
  </si>
  <si>
    <t xml:space="preserve">Booked by Nilkanth</t>
  </si>
  <si>
    <t xml:space="preserve">2 Apr 2024 at 12:00 PM to 2 Apr 2024 at 5:00 PM
3 Persons
Rent: ₹3000
Deposit: ₹2000
₹1000 received
Deposit Refund after check out.</t>
  </si>
  <si>
    <t xml:space="preserve">Booked by vidhi - ‪+91 97732 21534‬</t>
  </si>
  <si>
    <t xml:space="preserve">2 Apr 2024 at 6:00 PM to 3 Apr 2024 at 6:00 PM
2 Persons
Rent: ₹4000
Deposit: ₹2000
₹2000 received 
Deposit Refund after check out.</t>
  </si>
  <si>
    <t xml:space="preserve">Booked by Jignesh</t>
  </si>
  <si>
    <t xml:space="preserve">4 Apr 2024 at 6:00 AM to 4 Apr 2024 at 6:00 PM
10 Persons
Rent: ₹4000
Deposit: ₹2000
Received: ₹2000
Deposit Refund after check out.</t>
  </si>
  <si>
    <t xml:space="preserve">Booked by Mansukh</t>
  </si>
  <si>
    <t xml:space="preserve">4 Apr 2024 at 6:00 PM to 5 Apr 2024 at 6:00 PM
10 Persons
Rent: ₹4500
Deposit: ₹2000
₹2000 received
Deposit Refund after check out.</t>
  </si>
  <si>
    <t xml:space="preserve">Booked by Priyanshu</t>
  </si>
  <si>
    <t xml:space="preserve">5 Apr 2024 at 6:00 PM to 6 Apr 2024 at 6:00 PM
6 Persons
Rent: ₹4500
Deposit: ₹2000
₹1000 received
Deposit Refund after check out.</t>
  </si>
  <si>
    <t xml:space="preserve">Booked by Sandip - Partial payment</t>
  </si>
  <si>
    <t xml:space="preserve">6 Apr 2024 at 6:00 PM to 7 Apr 2024 at 6:00 PM
15 Persons
Rent: ₹7000
Deposit: ₹2000
₹1000 received
Deposit Refund after check out.</t>
  </si>
  <si>
    <t xml:space="preserve">Booked by Ankit</t>
  </si>
  <si>
    <t xml:space="preserve">Castillo Farm - 11
8 Apr 2024 at 7:00 AM to 8 Apr 2024 at 6:00 PM
5 Persons allowed
Rent: ₹3500
Deposit: ₹2000
Received: ₹2000
Deposit Refund after check out.</t>
  </si>
  <si>
    <t xml:space="preserve">Booked by Harshal</t>
  </si>
  <si>
    <t xml:space="preserve">Booking confirmed ✅ 
9 Apr 2024 at 7:00 PM to 10 Apr 2024 at 6:00 PM
10 Persons
Rent: ₹4500
Deposit: ₹2000
₹2000 Received
Deposit Refund after check out.</t>
  </si>
  <si>
    <t xml:space="preserve">Booked by Gauranggiri</t>
  </si>
  <si>
    <t xml:space="preserve">10 Apr 2024 at 7:00 PM to 11 Apr 2024 at 6:00 PM
10 Persons
Rent: ₹4500
Deposit: ₹2000
₹2000 received
Deposit Refund after check out.</t>
  </si>
  <si>
    <t xml:space="preserve">Booked by Badal</t>
  </si>
  <si>
    <t xml:space="preserve">12 Apr 2024 at 7:00 AM to 12 Apr 2024 at 6:00 PM
2 Persons
Rent: ₹4500
Deposit: ₹2000
₹2000 Received 
Deposit Refund after check out.</t>
  </si>
  <si>
    <t xml:space="preserve">Booked by Kirtan</t>
  </si>
  <si>
    <t xml:space="preserve">12 Apr 2024 at 7:00 PM to 13 Apr 2024 at 6:00 PM
8 Persons
Rent: ₹4500
Deposit: ₹2000
₹2000 received
Deposit Refund after check out.</t>
  </si>
  <si>
    <t xml:space="preserve">Booked by Nirav Shah</t>
  </si>
  <si>
    <t xml:space="preserve">13 Apr 2024 at 7:00 PM to 14 Apr 2024 at 6:00 PM
15 Persons
Rent: ₹9500
Deposit: ₹2000
Deposit Refund after check out.
₹3500 received as advance payment</t>
  </si>
  <si>
    <t xml:space="preserve">booked by Agent Vinay</t>
  </si>
  <si>
    <t xml:space="preserve">Rent: ₹4000</t>
  </si>
  <si>
    <t xml:space="preserve">Booked by Raju Bhikadiya</t>
  </si>
  <si>
    <t xml:space="preserve">Farm number: 11
17 Apr 2024 at 7:00 AM to 17 Apr 2024 at 6:00 PM
12 Persons
Rent: ₹4000
Deposit: ₹2000
₹2000 received
Deposit Refund after check out.</t>
  </si>
  <si>
    <t xml:space="preserve">Booked by Agent Surat farm house</t>
  </si>
  <si>
    <t xml:space="preserve">19 Apr 2024 at 7:00 AM to 19 Apr 2024 at 10:30 PM
12 Persons
Rent: ₹4000
Deposit: ₹2000
₹2000 received
Deposit Refund after check out.</t>
  </si>
  <si>
    <t xml:space="preserve">Booked by Juhil</t>
  </si>
  <si>
    <t xml:space="preserve">Booking Confirmed ✅
20 Apr 2024 at 7:00 AM to 21 Apr 2024 at 6:00 PM
11 Persons allowed
Rent: ₹13500
Deposit: ₹2000
Full payment received, deposit baki
Deposit Refund after check out.</t>
  </si>
  <si>
    <t xml:space="preserve">Booked by Agent</t>
  </si>
  <si>
    <t xml:space="preserve">22 Apr 2024 at 7:00 PM to 23 Apr 2024 at 6:00 PM
14 Persons
Rent: ₹4500
Deposit: ₹2000
₹2000 received
Deposit Refund after check out.</t>
  </si>
  <si>
    <t xml:space="preserve">Booked by Kinal booked by Dhruv</t>
  </si>
  <si>
    <t xml:space="preserve">23 Apr 2024 at 7:00 PM to 24 Apr 2024 at 7:00 AM
12 Persons
Rent: ₹3500
Deposit: ₹2000
₹1000 received
Deposit Refund after check out.</t>
  </si>
  <si>
    <t xml:space="preserve">Booked by Kenil</t>
  </si>
  <si>
    <t xml:space="preserve">Booking confirmed ✅ 
24 Apr 2024 at 9:00 AM to 24 Apr 2024 at 6:00 PM
4 Persons
Rent: ₹3000
Deposit: ₹2000
Deposit Refund after check out.</t>
  </si>
  <si>
    <t xml:space="preserve">Booked by Shreyansh</t>
  </si>
  <si>
    <t xml:space="preserve">24 Apr 2024 at 7:00 PM to 25 Apr 2024 at 6:00 AM
2 Persons
Rent: ₹3000
Deposit: ₹2000
₹2000 received
Deposit Refund after check out.</t>
  </si>
  <si>
    <t xml:space="preserve">Booked by Dharmik</t>
  </si>
  <si>
    <t xml:space="preserve">Booking confirmed ✅ 
25 Apr 2024 at 7:00 PM to 26 Apr 2024 at 6:00 PM
10 Persons
Rent: ₹5000
Deposit: ₹2000
₹2000 received
Deposit Refund after check out.</t>
  </si>
  <si>
    <t xml:space="preserve">Booked by Harsh Kothari</t>
  </si>
  <si>
    <t xml:space="preserve">Booking confirmed ✅ 
26 Apr 2024 at 7:00 PM to 27 Apr 2024 at 6:00 PM
10 Persons
Rent: ₹4800
Deposit: ₹2000
₹2000 received
Deposit Refund after check out.</t>
  </si>
  <si>
    <t xml:space="preserve">Booked by Agent Yogesh</t>
  </si>
  <si>
    <t xml:space="preserve">27 Apr 2024 at 7:00 PM to 28 Apr 2024 at 6:00 PM
15 Persons
Rent: ₹9500
Deposit: ₹2000
₹3500 received
Deposit Refund after check out.</t>
  </si>
  <si>
    <t xml:space="preserve">Booked by Mahesh</t>
  </si>
  <si>
    <t xml:space="preserve">28 Apr 2024 at 7:00 PM to 29 Apr 2024 at 6:00 PM
15 Persons
Rent: ₹4000
Deposit: ₹2000
₹2000 received
Deposit Refund after check out.</t>
  </si>
  <si>
    <t xml:space="preserve">Booked by Vadi Deep</t>
  </si>
  <si>
    <t xml:space="preserve">Booking confirmed ✅ 
29 Apr 2024 at 7:00 PM to 30 Apr 2024 at 6:00 PM
10 Persons
Rent: ₹5500
Deposit: ₹2000
₹2000 received
Deposit Refund after check out.</t>
  </si>
  <si>
    <t xml:space="preserve">Booked by Akshay</t>
  </si>
  <si>
    <t xml:space="preserve">Booking confirmed ✅ 
Farm number 11
30 Apr 2024 at 7:00 PM to 1 May 2024 at 6:00 PM
10 Persons
Rent: ₹5000
Deposit: ₹2000
₹2000 received
Deposit Refund after check out.</t>
  </si>
  <si>
    <t xml:space="preserve">Booked by agent sagar</t>
  </si>
  <si>
    <t xml:space="preserve">3 May 2024 at 7:00 AM to 3 May 2024 at 6:00 PM
10 Persons
Rent: ₹4000
Deposit: ₹2000
₹2000 received 
Deposit Refund after check out.</t>
  </si>
  <si>
    <t xml:space="preserve">Booked by Jatin</t>
  </si>
  <si>
    <t xml:space="preserve">Booking confirmed ✅ 
Castillo 11
3 May 2024 at 7:00 PM to 4 May 2024 at 6:00 PM
10 Persons
Rent: ₹5500
Deposit: ₹2000
₹2000 received
Deposit Refund after check out.</t>
  </si>
  <si>
    <t xml:space="preserve">Booked by Kautik</t>
  </si>
  <si>
    <t xml:space="preserve">Booking confirmed ✅ 
Farm number 11
Castillo the Villa
4 May 2024 at 7:00 PM to 5 May 2024 at 6:00 PM
15 Persons
Rent: ₹12000
Deposit: ₹2000
Deposit Refund after check out.
₹4000 received</t>
  </si>
  <si>
    <t xml:space="preserve">Booked bh Rajesh</t>
  </si>
  <si>
    <t xml:space="preserve">6 May 2024 at 7:00 AM to 6 May 2024 at 6:00 PM
15 Persons
Rent: ₹4000
Deposit: ₹2000
₹2000 received
Deposit Refund after check out.</t>
  </si>
  <si>
    <t xml:space="preserve">Booked by Jaydeep</t>
  </si>
  <si>
    <t xml:space="preserve">Farm number: 11
Castillo Villa
6 May 2024 at 7:00 PM to 7 May 2024 at 8:00 PM
12 Persons
Rent: ₹12000
Deposit: ₹2000
₹4000 received
Deposit Refund after check out.</t>
  </si>
  <si>
    <t xml:space="preserve">Booked by Bhumika</t>
  </si>
  <si>
    <t xml:space="preserve">Confirmed booking
Farm number 11
7 May 2024 at 7:00 PM to 8 May 2024 at 6:00 PM
Rent: 3000
6 Persons</t>
  </si>
  <si>
    <t xml:space="preserve">Booked by Harshil</t>
  </si>
  <si>
    <t xml:space="preserve">Castillo Villa - 11 number
8 May 2024 at 7:00 PM to 9 May 2024 at 6:00 PM
10 Persons
Rent: ₹5000
Deposit: ₹2000
₹2000 received 
Deposit Refund after check out.</t>
  </si>
  <si>
    <t xml:space="preserve">Booked by Sagar</t>
  </si>
  <si>
    <t xml:space="preserve">Booking Confirmed ✅ 
Castillo Farm number 11
9 May 2024 at 7:00 PM to 10 May 2024 at 6:00 PM
15 Persons
Rent: ₹5500
Deposit: ₹2000
₹500 received 
Deposit Refund after check out.</t>
  </si>
  <si>
    <t xml:space="preserve">Confirmed booking
Farm number 11
10 May 2024 at 7:00 PM to 11 May 2024 at 6:00 PM
14 Persons
Rent: ₹5000
Deposit: ₹2000
₹2000 received
Deposit Refund after check out.</t>
  </si>
  <si>
    <t xml:space="preserve">Booked by Agent Shyam</t>
  </si>
  <si>
    <t xml:space="preserve">11 May 2024 at 7:00 PM to 12 May 2024 at 6:00 PM
8 Persons
Rent: ₹10000
Deposit: ₹2000
₹4000 received
Deposit Refund after check out.</t>
  </si>
  <si>
    <t xml:space="preserve">Booked by Jayanti</t>
  </si>
  <si>
    <t xml:space="preserve">Booking confirmed ✅ 
Castillo Farm number 11
12 May 2024 at 8:00 PM to 13 May 2024 at 6:00 PM
10 Persons
Rent: ₹5000
Deposit: ₹2000
₹2000 received
Deposit Refund after check out.</t>
  </si>
  <si>
    <t xml:space="preserve">Booked by Babumama</t>
  </si>
  <si>
    <t xml:space="preserve">13 May 2024 at 7:00 PM to 14 May 2024 at 6:00 PM
15 Persons
Rent: ₹5000
Deposit: ₹2000
Deposit Refund after check out.</t>
  </si>
  <si>
    <t xml:space="preserve">Booked by Tejas</t>
  </si>
  <si>
    <t xml:space="preserve">Booking confirmed ✅ 
14 May 2024 at 7:00 PM to 15 May 2024 at 6:00 PM
8 Persons
Rent: ₹5000
Deposit: ₹2000
₹2000 received 
Deposit Refund after check out.</t>
  </si>
  <si>
    <t xml:space="preserve">Booked by Dilip</t>
  </si>
  <si>
    <t xml:space="preserve">Booking confirmed ✅ 
15 May 2024 at 7:00 PM to 16 May 2024 at 6:00 PM
13 Persons
Rent: ₹5500
Deposit: ₹2000
₹2000 received
Deposit Refund after check out.</t>
  </si>
  <si>
    <t xml:space="preserve">Booked by Neha</t>
  </si>
  <si>
    <t xml:space="preserve">17 May 2024 at 8:00 AM to 17 May 2024 at 6:00 PM
12 Persons
Rent: ₹4500
Deposit: ₹2000
₹2000 received
Deposit Refund after check out.</t>
  </si>
  <si>
    <t xml:space="preserve">Booked by Mohit</t>
  </si>
  <si>
    <t xml:space="preserve">17 May 2024 at 7:00 PM to 18 May 2024 at 6:00 PM
16 Persons
Rent: ₹5000
Deposit: ₹2000
₹2000 received
Deposit Refund after check out.</t>
  </si>
  <si>
    <t xml:space="preserve">Booking Confirmed ✅
Farm number 11
18 May 2024 at 7:00 PM to 19 May 2024 at 6:00 PM
15 Persons
Rent: ₹13000
Deposit: ₹2000
₹5000 received 
Deposit Refund after check out.</t>
  </si>
  <si>
    <t xml:space="preserve">Booked by Saurav</t>
  </si>
  <si>
    <t xml:space="preserve">Booiking confirmed ✅ 
19 May 2024 at 7:00 PM to 20 May 2024 at 6:00 PM
15 Persons
Rent: ₹6000
Deposit: ₹2000
₹2000 received
Deposit Refund after check out.</t>
  </si>
  <si>
    <t xml:space="preserve">Booked by Hitesh</t>
  </si>
  <si>
    <t xml:space="preserve">20 May 2024 at 7:00 PM to 21 May 2024 at 7:00 AM
10 Persons
Rent: ₹4000
Deposit: ₹2000
₹2000 received 
Deposit Refund after check out.</t>
  </si>
  <si>
    <t xml:space="preserve">Booked by Hiten Jani</t>
  </si>
  <si>
    <t xml:space="preserve">21 May 2024 at 8:30 AM to 21 May 2024 at 6:00 PM
10 Persons
Rent: ₹3500
Deposit: ₹2000
Deposit Refund after check out.</t>
  </si>
  <si>
    <t xml:space="preserve">Booked by Viral</t>
  </si>
  <si>
    <t xml:space="preserve">21 May 2024 at 7:00 PM to 22 May 2024 at 6:00 PM
14 Persons
Rent: ₹5000
Deposit: ₹2000
₹2000 received 
Deposit Refund after check out.</t>
  </si>
  <si>
    <t xml:space="preserve">Booked by Arun mama</t>
  </si>
  <si>
    <t xml:space="preserve">Booking confirmed ✅ 
Farm number 11
22 May 2024 at 7:00 PM to 23 May 2024 at 6:00 PM
15 Persons
Rent: ₹3000</t>
  </si>
  <si>
    <t xml:space="preserve">Booked by Dhaval</t>
  </si>
  <si>
    <t xml:space="preserve">Booking confirmed ✅ 
23 May 2024 at 7:00 PM to 24 May 2024 at 6:00 PM
15 Persons
Rent: ₹6000
Deposit: ₹2000
₹2000 received
Deposit Refund after check out.</t>
  </si>
  <si>
    <t xml:space="preserve">Booked by Vishal</t>
  </si>
  <si>
    <t xml:space="preserve">24 May 2024 at 7:00 PM to 25 May 2024 at 6:00 PM
12 Persons
Rent: ₹6000
Deposit: ₹2000
₹2000 received 
Deposit Refund after check out.</t>
  </si>
  <si>
    <t xml:space="preserve">25 May 2024 at 7:00 PM to 26 May 2024 at 6:00 PM
15 Persons
Rent: ₹13000
Deposit: ₹2000
₹5000 received 
Deposit Refund after check out.</t>
  </si>
  <si>
    <t xml:space="preserve">Booked by Brindesh</t>
  </si>
  <si>
    <t xml:space="preserve">26 May 2024 at 8:00 PM to 27 May 2024 at 7:30 AM
8 Persons
Rent: ₹4000
Deposit: ₹2000
₹4000 received 
Deposit Refund after check out.</t>
  </si>
  <si>
    <t xml:space="preserve">Masi na reference ma apyu</t>
  </si>
  <si>
    <t xml:space="preserve">Rent: ₹3000</t>
  </si>
  <si>
    <t xml:space="preserve">Booked by Kishan</t>
  </si>
  <si>
    <t xml:space="preserve">27 May 2024 at 7:00 PM to 28 May 2024 at 6:00 PM
15 Persons
Rent: ₹5500
Deposit: ₹2000
₹2000 received 
Deposit Refund after check out.</t>
  </si>
  <si>
    <t xml:space="preserve">Booked by Piyush</t>
  </si>
  <si>
    <t xml:space="preserve">28 May 2024 at 7:00 PM to 29 May 2024 at 6:00 PM
10 Persons max
Rent: ₹5000
Deposit: ₹2000
₹2000 received 
Deposit Refund after check out.</t>
  </si>
  <si>
    <t xml:space="preserve">Booked by Drupal</t>
  </si>
  <si>
    <t xml:space="preserve">29 May 2024 at 7:00 PM to 30 May 2024 at 6:00 PM
4 Persons
Rent: ₹6000
Deposit: ₹2000
₹2000 received
Deposit Refund after check out.</t>
  </si>
  <si>
    <t xml:space="preserve">Booked by Shiv</t>
  </si>
  <si>
    <t xml:space="preserve">30 May 2024 at 7:00 PM to 31 May 2024 at 6:00 PM
18 Persons
Rent: ₹6000
Deposit: ₹2000
₹2000 received
Deposit Refund after check out.</t>
  </si>
  <si>
    <t xml:space="preserve">Booked by Jagdish</t>
  </si>
  <si>
    <t xml:space="preserve">31 May 2024 at 7:00 PM to 1 Jun 2024 at 6:00 PM
15 Persons
Rent: ₹6000
Deposit: ₹2000
₹2000 received
Deposit Refund after check out.</t>
  </si>
  <si>
    <t xml:space="preserve">1 Jun 2024 at 7:00 PM to 2 Jun 2024 at 6:00 PM
12 Persons
Rent: ₹12000
Deposit: ₹2000
Deposit Refund after check out.</t>
  </si>
  <si>
    <t xml:space="preserve">Booked by Jenil</t>
  </si>
  <si>
    <t xml:space="preserve">Booking confirmed ✅ 
Farm number 11
2 Jun 2024 at 7:00 PM to 3 Jun 2024 at 6:00 PM
12 Persons
Rent: ₹5500
Deposit: ₹2000
₹2000 received 
Deposit Refund after check out.</t>
  </si>
  <si>
    <t xml:space="preserve">Booked by Rakesh</t>
  </si>
  <si>
    <t xml:space="preserve">3 Jun 2024 at 7:00 PM to 4 Jun 2024 at 6:00 PM
12 Persons
Rent: ₹6000
Deposit: ₹2000
₹2000 received
Deposit Refund after check out.</t>
  </si>
  <si>
    <t xml:space="preserve">Booked by Raj</t>
  </si>
  <si>
    <t xml:space="preserve">Booking confirmed ✅ 
Farm number 11
4 Jun 2024 at 7:00 PM to 5 Jun 2024 at 6:00 PM
15 Persons
Rent: ₹6000
Deposit: ₹2000
₹2000 received 
Deposit Refund after check out.</t>
  </si>
  <si>
    <t xml:space="preserve">Bragaining Booked by Dhruv</t>
  </si>
  <si>
    <t xml:space="preserve">Booking confirmed ✅ 
Farm number 11
5 Jun 2024 at 7:00 PM to 6 Jun 2024 at 6:00 PM
13 Persons
Rent: ₹6000
Deposit: ₹2000
₹2000 received 
Deposit Refund after check out.</t>
  </si>
  <si>
    <t xml:space="preserve">Booked by Mayur</t>
  </si>
  <si>
    <t xml:space="preserve">Booking confirmed ✅ 
Farm number 11
6 Jun 2024 at 7:00 PM to 7 Jun 2024 at 6:00 PM
15 Persons
Rent: ₹5500
Deposit: ₹2000
₹2000 received
Deposit Refund after check out.</t>
  </si>
  <si>
    <t xml:space="preserve">Booked by farm 14</t>
  </si>
  <si>
    <t xml:space="preserve">7 Jun 2024 at 7:00 PM to 8 Jun 2024 at 6:00 PM
15 Persons
Rent: ₹5000
Deposit: ₹2000
₹2000 received
Deposit Refund after check out.</t>
  </si>
  <si>
    <t xml:space="preserve">Booked by Surjit</t>
  </si>
  <si>
    <t xml:space="preserve">Booking confirmed ✅ 
Farm number 11
8 Jun 2024 at 7:00 PM to 9 Jun 2024 at 6:00 PM
10 Persons
Rent: ₹13000
Deposit: ₹2000
₹5000 received
Deposit Refund after check out.</t>
  </si>
  <si>
    <t xml:space="preserve">Booked by Renish</t>
  </si>
  <si>
    <t xml:space="preserve">Booking confirmed ✅ 
Farm number 11
9 Jun 2024 at 7:30 PM to 10 Jun 2024 at 6:00 PM
7 Persons
Rent: ₹5500
Deposit: ₹2000
₹2000 received 
Deposit Refund after check out.</t>
  </si>
  <si>
    <t xml:space="preserve">Booked by Farm number 12</t>
  </si>
  <si>
    <t xml:space="preserve">Rent: 3000 rent</t>
  </si>
  <si>
    <t xml:space="preserve">Booked by Yash</t>
  </si>
  <si>
    <t xml:space="preserve">Booking confirmed ✅ 
Farm number 11
11 Jun 2024 at 7:00 PM to 12 Jun 2024 at 6:00 PM
7 Persons
Rent: ₹5500
Deposit: ₹2000
₹2000 received
Deposit Refund after check out.</t>
  </si>
  <si>
    <t xml:space="preserve">12 Jun 2024 at 7:00 PM to 13 Jun 2024 at 6:00 PM
7 Persons
Rent: ₹5000
Deposit: ₹2000
₹2000 received 
Deposit Refund after check out.</t>
  </si>
  <si>
    <t xml:space="preserve">Booked by Sanjay</t>
  </si>
  <si>
    <t xml:space="preserve">Booking confirmed ✅ 
Farm number 11
13 Jun 2024 at 7:00 PM to 14 Jun 2024 at 6:00 PM
10 Persons
Rent: ₹5500
Deposit: ₹2000
₹2000 received 
Deposit Refund after check out.</t>
  </si>
  <si>
    <t xml:space="preserve">Booked by Sunil</t>
  </si>
  <si>
    <t xml:space="preserve">Booking confirmed ✅ 
Farm number 11
14 Jun 2024 at 7:00 PM to 15 Jun 2024 at 6:00 PM
10 Persons
Rent: ₹6000
Deposit: ₹2000
₹2000 received
Deposit Refund after check out.</t>
  </si>
  <si>
    <t xml:space="preserve">Booked by farm 16</t>
  </si>
  <si>
    <t xml:space="preserve">15 Jun 2024 at 7:00 PM to 16 Jun 2024 at 7:00 AM
10 Persons
Rent: ₹3000
Deposit: ₹2000
Deposit Refund after check out.</t>
  </si>
  <si>
    <t xml:space="preserve">Booked by Rahul</t>
  </si>
  <si>
    <t xml:space="preserve">Booking confirmed ✅ 
Farm number 11
16 Jun 2024 at 8:30 AM to 16 Jun 2024 at 8:30 PM
20 Persons
Rent: ₹10000
Deposit: ₹2000
₹3000 received
Deposit Refund after check out.</t>
  </si>
  <si>
    <t xml:space="preserve">Booked by Prakash</t>
  </si>
  <si>
    <t xml:space="preserve">Booking confirmed ✅ 
Farm number - 11
16 Jun 2024 at 7:00 PM to 17 Jun 2024 at 6:00 PM
14 Persons
Rent: ₹5500
Deposit: ₹2000
₹2000 received
Deposit Refund after check out.</t>
  </si>
  <si>
    <t xml:space="preserve">Booked by farm number 12 couple</t>
  </si>
  <si>
    <t xml:space="preserve">Rent: ₹2000</t>
  </si>
  <si>
    <t xml:space="preserve">Booked by Nishant</t>
  </si>
  <si>
    <t xml:space="preserve">Booking confirmed ✅ 
Farm number 11
21 Jun 2024 at 7:00 AM to 21 Jun 2024 at 6:00 PM
12 Persons
Rent: ₹4000
Deposit: ₹2000
₹2000 received
Payment name: Sushil pandey
Deposit Refund after check out.</t>
  </si>
  <si>
    <t xml:space="preserve">Booked by Krupesh</t>
  </si>
  <si>
    <t xml:space="preserve">Booking confirmed ✅ 
Farm number 11
22 Jun 2024 at 7:00 AM to 22 Jun 2024 at 6:00 PM
4 Persons
Rent: ₹3200
Deposit: ₹1000
₹2000 received 
Deposit Refund after check out.</t>
  </si>
  <si>
    <t xml:space="preserve">Booked by Jinash</t>
  </si>
  <si>
    <t xml:space="preserve">Booking confirmed ✅
Farm number 11
22 Jun 2024 at 7:00 PM to 23 Jun 2024 at 6:00 PM
10 Persons
Rent: ₹7000
Deposit: ₹2000
₹3000 received 
Deposit Refund after check out.</t>
  </si>
  <si>
    <t xml:space="preserve">Booked by Tushar</t>
  </si>
  <si>
    <t xml:space="preserve">Booking confirmed ✅ 
Farm number 11
23 Jun 2024 at 7:30 PM to 24 Jun 2024 at 7:30 PM
9 Persons
Rent: ₹3300
Deposit: ₹2000
₹1000 received
Deposit Refund after check out.</t>
  </si>
  <si>
    <t xml:space="preserve">Booked by Pankaj</t>
  </si>
  <si>
    <t xml:space="preserve">Booking confirmed ✅ 
Farm number 11
24 Jun 2024 at 8:00 PM to 25 Jun 2024 at 8:00 AM
10 Persons
Rent: ₹3000
Deposit: ₹2000
₹2000 received
Deposit Refund after check out.</t>
  </si>
  <si>
    <t xml:space="preserve">booked by Jay</t>
  </si>
  <si>
    <t xml:space="preserve">Rent: ₹700</t>
  </si>
  <si>
    <t xml:space="preserve">Booking confirmed ✅ 
Farm number 11
29 Jun 2024 at 9:00 AM to 29 Jun 2024 at 6:00 PM
4 Persons
Rent: ₹3000
Deposit: ₹1000
₹500 received
Deposit Refund after check out.</t>
  </si>
  <si>
    <t xml:space="preserve">booked by farm number 12</t>
  </si>
  <si>
    <t xml:space="preserve">Rent: ₹6000</t>
  </si>
  <si>
    <t xml:space="preserve">Booked by Mahendra</t>
  </si>
  <si>
    <t xml:space="preserve">Booking confirmed ✅ 
Farm number 11
1 Jul 2024 at 10:00 AM to 1 Jul 2024 at 6:00 PM
2 Persons
Rent: ₹2500
Deposit: ₹1000
₹1000 received 
Deposit Refund after check out.</t>
  </si>
  <si>
    <t xml:space="preserve">Booked by Parth</t>
  </si>
  <si>
    <t xml:space="preserve">Booking confirmed ✅ 
Farm number 11
2 Jul 2024 at 8:00 AM to 2 Jul 2024 at 6:00 PM
6 Persons
Rent: ₹3000
Deposit: ₹2000
₹1000 received
Deposit Refund after check out.</t>
  </si>
  <si>
    <t xml:space="preserve">Booking confirmed ✅ 
Farm number 11
3 Jul 2024 at 7:00 PM to 4 Jul 2024 at 8:00 AM
10 Persons
Rent: ₹3000
Deposit: ₹1000
Whole payment received 
Deposit Refund after check out.</t>
  </si>
  <si>
    <t xml:space="preserve">Booked by Rensi</t>
  </si>
  <si>
    <t xml:space="preserve">Booking confirmed ✅ 
5 Jul 2024 at 8:00 AM to 5 Jul 2024 at 5:00 PM
2 Persons
Rent: ₹2500
Deposit: ₹1000
₹1000 received
Deposit Refund after check out.</t>
  </si>
  <si>
    <t xml:space="preserve">Booked by Rishi</t>
  </si>
  <si>
    <t xml:space="preserve">Booking confirmed
Farm number 11
6 Jul 2024 at 7:00 PM to 7 Jul 2024 at 6:00 PM
10 Persons
Rent: ₹5500
Deposit: ₹2000
₹2500 received
Deposit Refund after check out.</t>
  </si>
  <si>
    <t xml:space="preserve">Booked by Brijesh</t>
  </si>
  <si>
    <t xml:space="preserve">Booking confirmed ✅ 
Farm number 11
10 Jul 2024 at 7:00 AM to 10 Jul 2024 at 6:00 PM
2 Persons
Rent: ₹2500
Deposit: ₹1000
₹1000 received 
Deposit Refund after check out.</t>
  </si>
  <si>
    <t xml:space="preserve">Booked by Krushit</t>
  </si>
  <si>
    <t xml:space="preserve">Booking confirmed ✅ 
Farm number 11
11 Jul 2024 at 7:00 AM to 11 Jul 2024 at 6:00 PM
2 Persons - With swimming pool
Rent: ₹2500
Deposit: ₹1000
₹1000 received
Deposit Refund after check out.</t>
  </si>
  <si>
    <t xml:space="preserve">Booked by Neha farm 12</t>
  </si>
  <si>
    <t xml:space="preserve">13 Jul 2024 at 7:00 PM to 14 Jul 2024 at 6:00 PM
10 Persons
Rent: ₹4500</t>
  </si>
  <si>
    <t xml:space="preserve">Booked by Bhautik</t>
  </si>
  <si>
    <t xml:space="preserve">Booking confirmed ✅ 
Farm number 11
17 Jul 2024 at 9:00 AM to 17 Jul 2024 at 6:00 PM
4 Persons
Rent: ₹3000
Deposit: ₹1000
₹1000 received 
Deposit Refund after check out.</t>
  </si>
  <si>
    <t xml:space="preserve">Booked by Nirmal</t>
  </si>
  <si>
    <t xml:space="preserve">Booking confirmed ✅ 
Farm number 11
18 Jul 2024 at 9:00 AM to 18 Jul 2024 at 6:00 PM
2 Persons
Rent: ₹2000
Deposit: ₹1000
Received ₹1000
Deposit Refund after check out.</t>
  </si>
  <si>
    <t xml:space="preserve">Booked by Rushabh</t>
  </si>
  <si>
    <t xml:space="preserve">Booking confirmed ✅ 
Farm number 11
19 Jul 2024 at 8:00 AM to 19 Jul 2024 at 6:00 PM
7 Persons
Rent: ₹3000
Deposit: ₹1000
Received: ₹1000
Deposit Refund after check out.</t>
  </si>
  <si>
    <t xml:space="preserve">Booked by bhautik</t>
  </si>
  <si>
    <t xml:space="preserve">Booking confirmed ✅ 
Farm number 11
24 Jul 2024 at 9:00 AM to 24 Jul 2024 at 6:00 PM
2 Persons
Rent: ₹2000
Deposit: ₹1000
₹1000 received 
Deposit Refund after check out.</t>
  </si>
  <si>
    <t xml:space="preserve">Booked by Sneha</t>
  </si>
  <si>
    <t xml:space="preserve">Booking confirmed ✅ 
Farm number 11
26 Jul 2024 at 10:00 AM to 26 Jul 2024 at 10:00 PM
22 Persons
Rent: ₹3500
Deposit: ₹1000
₹1000 received
Deposit Refund after check out.</t>
  </si>
  <si>
    <t xml:space="preserve">Booking by Meet</t>
  </si>
  <si>
    <t xml:space="preserve">Booking confirmed ✅ 
Farm number 11
27 Jul 2024 at 9:00 AM to 27 Jul 2024 at 6:00 PM
4 Persons
Rent: ₹2500
Deposit: ₹1000
Without Pool
₹1000 received 
Deposit Refund after check out.</t>
  </si>
  <si>
    <t xml:space="preserve">Booking confirmed ✅ 
Farm number 11
27 Jul 2024 at 7:00 PM to 28 Jul 2024 at 6:00 PM
4 Persons
Rent: ₹5000
Deposit: ₹2000
₹2000 received
Deposit Refund after check out.</t>
  </si>
  <si>
    <t xml:space="preserve">Rent: 1000 rent</t>
  </si>
  <si>
    <t xml:space="preserve">Booked by Vivek</t>
  </si>
  <si>
    <t xml:space="preserve">30 Jul 2024 at 8:00 AM to 30 Jul 2024 at 6:00 PM
2 Persons
Rent: ₹1500
Deposit: ₹1000
Deposit Refund after check out.</t>
  </si>
  <si>
    <t xml:space="preserve">Booking confirmed ✅ 
Farm number 11
31 Jul 2024 at 7:00 PM to 1 Aug 2024 at 6:00 AM
3 Persons - Without pool
Rent: ₹2000
Deposit: ₹1000
₹500 received 
Deposit Refund after check out.</t>
  </si>
  <si>
    <t xml:space="preserve">Farm number 11
Booking confirmed ✅ 
1 Aug 2024 at 8:00 AM to 1 Aug 2024 at 6:00 PM
2 Persons
Rent: ₹2500
Deposit: ₹1000
₹1000 received
Deposit Refund after check out.</t>
  </si>
  <si>
    <t xml:space="preserve">Rent: 1500 rent</t>
  </si>
  <si>
    <t xml:space="preserve">Booking confirmed ✅ 
Farm number 11
6 Aug 2024 at 8:00 AM to 6 Aug 2024 at 6:00 PM
6 Persons
Rent: ₹3000
Deposit: ₹2000
₹1000 received
Deposit Refund after check out.</t>
  </si>
  <si>
    <t xml:space="preserve">Booked by Aniket</t>
  </si>
  <si>
    <t xml:space="preserve">Booking Confirmed ✅
Farm number 11
3 Aug 2024 at 7:00 PM to 4 Aug 2024 at 6:00 PM
7 Persons
Rent: ₹3000
Deposit: ₹2000
₹2000 received
Deposit Refund after check out.</t>
  </si>
  <si>
    <t xml:space="preserve">Booked by agent vinay</t>
  </si>
  <si>
    <t xml:space="preserve">Booked by Ram</t>
  </si>
  <si>
    <t xml:space="preserve">Booking confirmed ✅ 
Farm number 11
7 Aug 2024 at 12:00 PM to 8 Aug 2024 at 11:00 AM
10 Persons
Rent: ₹3500
Deposit: ₹1000
₹500 received
Deposit Refund after check out.</t>
  </si>
  <si>
    <t xml:space="preserve">Booked by Sunita</t>
  </si>
  <si>
    <t xml:space="preserve">Booking confirmed ✅ 
Farm number 11
11 Aug 2024 at 8:00 PM to 12 Aug 2024 at 10:00 AM
12 Persons
Rent: ₹3000
Deposit: ₹2000
Deposit Refund after check out.
₹2000 received</t>
  </si>
  <si>
    <t xml:space="preserve">Booked by farm number 12</t>
  </si>
  <si>
    <t xml:space="preserve">Rent: ₹1000</t>
  </si>
  <si>
    <t xml:space="preserve">Booking confirmed ✅ 
Farm number 11
14 Aug 2024 at 8:00 AM to 14 Aug 2024 at 6:45 PM
15 Persons
Rent: ₹3000
Deposit: ₹1000
Deposit Refund after check out.
₹1000 received</t>
  </si>
  <si>
    <t xml:space="preserve">Booked by Ranjan</t>
  </si>
  <si>
    <t xml:space="preserve">Booking Confirmed ✅ 
Farm number 11
14 Aug 2024 at 7:00 PM to 15 Aug 2024 at 7:00 AM
12 Persons
Rent: ₹500
booking cancelled
₹500 received
Deposit Refund after check out.</t>
  </si>
  <si>
    <t xml:space="preserve">Booked by Agent Vinay</t>
  </si>
  <si>
    <t xml:space="preserve">17 Aug 2024 at 12:00 PM to 17 Aug 2024 at 6:00 PM
2 Persons
Rent: ₹1200
Deposit: ₹1000
₹1000 received
Deposit Refund after check out.</t>
  </si>
  <si>
    <t xml:space="preserve">Booked by Jaysukh</t>
  </si>
  <si>
    <t xml:space="preserve">Booking confirmed ✅ 
Farm numbr 11
18 Aug 2024 at 7:00 PM to 19 Aug 2024 at 6:00 PM
15 Persons
Rent: ₹4500
Deposit: ₹1000
₹1000 received
Deposit Refund after check out.</t>
  </si>
  <si>
    <t xml:space="preserve">Booked by Aman singh</t>
  </si>
  <si>
    <t xml:space="preserve">Booking confirmed ✅ 
Farm number 11
20 Aug 2024 at 7:00 PM to 22 Aug 2024 at 6:00 PM
4 Persons
Rent: ₹6500
Deposit: ₹2000
₹1000 received 
Deposit Refund after check out.</t>
  </si>
  <si>
    <t xml:space="preserve">Booked by Hemant</t>
  </si>
  <si>
    <t xml:space="preserve">Booking confirmed ✅ 
Farm number 11
23 Aug 2024 at 9:00 PM to 24 Aug 2024 at 9:00 AM
7 Persons
Rent: ₹2500
Deposit: ₹1000
₹1000 received
Deposit Refund after check out.</t>
  </si>
  <si>
    <t xml:space="preserve">Rent: ₹500</t>
  </si>
  <si>
    <t xml:space="preserve">Booked by Uttam</t>
  </si>
  <si>
    <t xml:space="preserve">24 Aug 2024 at 7:00 PM to 25 Aug 2024 at 7:00 PM
15 Persons
Rent: ₹4000
Deposit: ₹1000
Deposit Refund after check out.</t>
  </si>
  <si>
    <t xml:space="preserve">Booking confirmed ✅ 
27 Aug 2024 at 8:00 AM to 27 Aug 2024 at 6:00 PM
4 Persons without pool
Rent: ₹2500
Deposit: ₹1000
₹500 received
Deposit Refund after check out.</t>
  </si>
  <si>
    <t xml:space="preserve">Booked by Mahek</t>
  </si>
  <si>
    <t xml:space="preserve">Booking confirmed ✅ 
Farm number 11
30 Aug 2024 at 9:00 AM to 30 Aug 2024 at 6:00 PM
4 Persons
Rent: ₹2500 with swimming pool
Deposit: ₹1000
₹3500 received
Deposit Refund after check out.</t>
  </si>
  <si>
    <t xml:space="preserve">Booking confirmed ✅ 
Farm number 11
31 Aug 2024 at 9:00 AM to 31 Aug 2024 at 6:00 PM
4 Persons
Rent: ₹3000
Deposit: ₹1000
₹1000 received
Deposit Refund after check out.</t>
  </si>
  <si>
    <t xml:space="preserve">Booked by Agent Neha</t>
  </si>
  <si>
    <t xml:space="preserve">Rent: ₹2700</t>
  </si>
  <si>
    <t xml:space="preserve">Booked by Atul</t>
  </si>
  <si>
    <t xml:space="preserve">Booking confirmed ✅ 
Farm number 11
3 Sep 2024 at 10:00 AM to 3 Sep 2024 at 5:00 PM
15 Persons
Rent: ₹2500
Deposit: ₹2000
Deposit Refund after check out.
₹2000 received</t>
  </si>
  <si>
    <t xml:space="preserve">Booking confirmed ✅ 
5 Sep 2024 at 8:00 AM to 5 Sep 2024 at 6:00 PM
2 Persons
Rent: ₹1000</t>
  </si>
  <si>
    <t xml:space="preserve">Booked by santosh</t>
  </si>
  <si>
    <t xml:space="preserve">Booking confirmed ✅ 
Farm number 11
6 Sep 2024 at 9:00 AM to 6 Sep 2024 at 6:00 PM
2 Persons
Rent: ₹2000
Deposit: ₹1000
₹1000 received
Deposit Refund after check out.</t>
  </si>
  <si>
    <t xml:space="preserve">7 Sep 2024 at 12:00 PM to 7 Sep 2024 at 6:00 PM
2 Persons
Rent: ₹1500
Deposit: ₹1000
Deposit Refund after check out.</t>
  </si>
  <si>
    <t xml:space="preserve">Booked by Hitesh and Shakti sinh</t>
  </si>
  <si>
    <t xml:space="preserve">Booking confirmed ✅ 
Farm number 11
7 Sep 2024 at 8:00 PM to 8 Sep 2024 at 8:00 AM
8 Persons
Rent: ₹2500
Deposit: ₹1000 cash gate
₹1000 received
Deposit Refund after check out.</t>
  </si>
  <si>
    <t xml:space="preserve">Booked by Arjun</t>
  </si>
  <si>
    <t xml:space="preserve">Booking confirmed ✅ 
Farm number 11
9 Sep 2024 at 9:00 AM to 9 Sep 2024 at 6:00 PM
2 Persons
Rent: ₹2000
Deposit: ₹1000
₹2000 received, ₹1000 pending
Deposit Refund after check out.</t>
  </si>
  <si>
    <t xml:space="preserve">10 Sep 2024 at 10:00 AM to 10 Sep 2024 at 4:00 PM
2 Persons
Rent: ₹1000</t>
  </si>
  <si>
    <t xml:space="preserve">Booked by Keyur</t>
  </si>
  <si>
    <t xml:space="preserve">Booking confirmed ✅ 
Farm number 11
12 Sep 2024 at 6:00 AM to 12 Sep 2024 at 3:00 PM
3 Persons
Rent: ₹1500
Deposit: ₹1000
- No Swimming pool
- ⁠No Wall Decorations
- ⁠Self Cleaning for Decoration
Deposit Refund after check out.
Whole payment+deposit pending</t>
  </si>
  <si>
    <t xml:space="preserve">Booked by Sonu</t>
  </si>
  <si>
    <t xml:space="preserve">Booking confirmed ✅
Farm number 11
13 Sep 2024 at 11:00 AM to 13 Sep 2024 at 5:00 PM
2 Persons
Rent: ₹1500
Deposit: ₹1000
₹500 received 
Deposit Refund after check out.</t>
  </si>
  <si>
    <t xml:space="preserve">Booking confirmed ✅
Farm number 11
13 Sep 2024 at 8:00 PM to 14 Sep 2024 at 8:00 AM
5 Persons
Rent: ₹2500
Deposit: ₹1000
₹1000 received
Deposit Refund after check out.</t>
  </si>
  <si>
    <t xml:space="preserve">Booked by Ravi</t>
  </si>
  <si>
    <t xml:space="preserve">Booking confirmed ✅ 
Farm number 11
14 Sep 2024 at 8:00 PM to 15 Sep 2024 at 8:00 AM
8 Persons
Rent: ₹2800
Deposit: ₹1000
Deposit Refund after check out.
₹2800 received</t>
  </si>
  <si>
    <t xml:space="preserve">Booked by Bhavik</t>
  </si>
  <si>
    <t xml:space="preserve">Booking confirmed ✅ 
Farm number 11
17 Sep 2024 at 9:00 AM to 17 Sep 2024 at 6:00 PM
4 Persons
Rent: ₹2200
Deposit: ₹1000
₹1000 received
Deposit Refund after check out.</t>
  </si>
  <si>
    <t xml:space="preserve">Booked by Pruthvi</t>
  </si>
  <si>
    <t xml:space="preserve">Booking confirmed ✅ 
Farm number 11
19 Sep 2024 at 9:00 AM to 19 Sep 2024 at 6:00 PM
5 Persons
Rent: ₹2500
Deposit: ₹1000
₹1000 received
Deposit Refund after check out.</t>
  </si>
  <si>
    <t xml:space="preserve">Booked by Anshuma</t>
  </si>
  <si>
    <t xml:space="preserve">Booking confirmed ✅ 
Farm number 11
20 Sep 2024 at 9:00 AM to 20 Sep 2024 at 6:00 PM
2 Persons without pool
Rent: ₹1500
Deposit: ₹1000
₹1000 received
Deposit Refund after check out.</t>
  </si>
  <si>
    <t xml:space="preserve">Booked by Nikunj</t>
  </si>
  <si>
    <t xml:space="preserve">Booking confirmed ✅
Farm number 11
21 Sep 2024 at 9:00 AM to 21 Sep 2024 at 6:00 PM
2 Persons
Rent: ₹1500 without pool
Deposit: ₹1000
₹500 received
Deposit Refund after check out.</t>
  </si>
  <si>
    <t xml:space="preserve">Booked by Dinkey</t>
  </si>
  <si>
    <t xml:space="preserve">Booking confirmed ✅ 
Farm number 11
22 Sep 2024 at 10:00 AM to 22 Sep 2024 at 9:00 PM
8 Persons
Rent: ₹3500
Deposit: ₹1000
₹1000 received
Deposit Refund after check out.</t>
  </si>
  <si>
    <t xml:space="preserve">Booked by Jemin</t>
  </si>
  <si>
    <t xml:space="preserve">Booking confirmed ✅ 
Farm number 11
24 Sep 2024 at 9:00 AM to 24 Sep 2024 at 6:00 PM
4 Persons
Rent: ₹2000
Deposit: ₹1000
₹1000 received
Deposit Refund after check out.</t>
  </si>
  <si>
    <t xml:space="preserve">Booking confirmed ✅ 
Farm number 11
25 Sep 2024 at 8:00 PM to 26 Sep 2024 at 8:00 AM
9 Persons
Rent: ₹2500
Deposit: ₹1000
₹500 received
Deposit Refund after check out.</t>
  </si>
  <si>
    <t xml:space="preserve">Booked by Rohit</t>
  </si>
  <si>
    <t xml:space="preserve">Booking confirmed ✅ 
Farm number 11
28 Sep 2024 at 7:00 PM to 29 Sep 2024 at 7:00 PM
15 Persons
Rent: ₹4500
Deposit: ₹2000
₹1000 received
Deposit Refund after check out.</t>
  </si>
  <si>
    <t xml:space="preserve">Booked by Paras</t>
  </si>
  <si>
    <t xml:space="preserve">Booking confirmed ✅ 
Farm number 11
30 Sep 2024 at 11:00 PM to 30 Sep 2024 at 4:00 PM
2 Persons without pool
Rent: ₹1200
Deposit: ₹1000
₹500 received
Deposit Refund after check out.</t>
  </si>
  <si>
    <t xml:space="preserve">Booked by Deep</t>
  </si>
  <si>
    <t xml:space="preserve">3 Oct 2024 at 4:30 PM to 4 Oct 2024 at 8:00 AM
2 Persons without swimming pool
Rent: ₹2200
Deposit: ₹1000
₹1000 deposit received
Deposit Refund after check out.</t>
  </si>
  <si>
    <t xml:space="preserve">Couple Half Day</t>
  </si>
  <si>
    <t xml:space="preserve">Booking confirmed ✅ 
5 Oct 2024 at 9:00 AM to 5 October 2024 at 6:00 PM
2 Persons without pool
Rent: ₹2000
Deposit: ₹1000
₹300 received
Deposit Refund after check out.</t>
  </si>
  <si>
    <t xml:space="preserve">Booked by Drupad</t>
  </si>
  <si>
    <t xml:space="preserve">Booking confirmed ✅ 
Farm number 11
5 Oct 2024 at 7:00 PM to 6 Oct 2024 at 7:00 PM
10 Persons
Rent: ₹4500
Deposit: ₹2000
₹2000 received 
Deposit Refund after check out.</t>
  </si>
  <si>
    <t xml:space="preserve">Booked by Ketan/Sailesh</t>
  </si>
  <si>
    <t xml:space="preserve">Booking confirmed ✅ 
Farm number 11
10 Oct 2024 at 10:00 PM to 11 Oct 2024 at 5:00 AM
2 Persons
Rent: ₹2000
Deposit: ₹1000
₹1000 received
Deposit Refund after check out.</t>
  </si>
  <si>
    <t xml:space="preserve">Booking confirmed ✅ 
Farm number 11
11 Oct 2024 at 9:00 AM to 11 Oct 2024 at 6:00 PM
2 Persons
Rent: ₹2000
Deposit: ₹1000
₹1000 received 
Deposit Refund after check out.</t>
  </si>
  <si>
    <t xml:space="preserve">Booking confirmed ✅ 
Farm number 11
12 Oct 2024 at 1:00 PM to 13 Oct 2024 at 12:00 PM
5 Persons
Rent: ₹4300
Deposit: ₹1000
₹1000 received
Deposit Refund after check out.</t>
  </si>
  <si>
    <t xml:space="preserve">Booked by Jay</t>
  </si>
  <si>
    <t xml:space="preserve">Booking confirmed ✅ 
Farm number 11
₹1000 received
17 Oct 2024 at 9:00 AM to 17 Oct 2024 at 5:00 PM
4 Persons
Rent: ₹1500
Deposit: ₹1000
Deposit Refund after check out.</t>
  </si>
  <si>
    <t xml:space="preserve">Booking confirmed ✅ 
Farm number 11
17 Oct 2024 at 8:00 PM to 18 Oct 2024 at 8:00 AM
9 Persons
Rent: ₹2500
Deposit: ₹1000
₹1000 received 
Deposit Refund after check out.</t>
  </si>
  <si>
    <t xml:space="preserve">Booked by Vaibhavi</t>
  </si>
  <si>
    <t xml:space="preserve">Booking confirmed ✅ 
Farm number 11
18 Oct 2024 at 9:00 AM to 18 Oct 2024 at 3:00 PM
4 Persons
Rent: ₹2000
Deposit: ₹1000
₹1000 received
Deposit Refund after check out.</t>
  </si>
  <si>
    <t xml:space="preserve">Booking confirmed ✅ 
Farm number 11
19 Oct 2024 at 9:00 AM to 19 Oct 2024 at 5:00 PM
2 Persons
Rent: ₹1500 without pool
Deposit: ₹1000
₹1000 received
Deposit Refund after check out.</t>
  </si>
  <si>
    <t xml:space="preserve">Booked by Chintan</t>
  </si>
  <si>
    <t xml:space="preserve">Booking confirmed ✅ 
Farm number 11
₹1000 received
19 Oct 2024 at 7:00 PM to 20 Oct 2024 at 6:00 PM
10 Persons
Rent: ₹4500
Deposit: ₹1000
Deposit Refund after check out.</t>
  </si>
  <si>
    <t xml:space="preserve">Booking confirmed ✅ 
Farm number 11
₹1000 advance received
21 Oct 2024 at 5:00 PM to 22 Oct 2024 at 5:00 PM
12 Persons
Rent: ₹3500
Deposit: ₹1000
Deposit Refund after check out.</t>
  </si>
  <si>
    <t xml:space="preserve">Booked by Pritesh</t>
  </si>
  <si>
    <t xml:space="preserve">Booking confirmed ✅ 
Farm number 11
₹800 advance received
23 Oct 2024 at 8:00 AM to 23 Oct 2024 at 6:00 PM
10 Persons
Rent: ₹3000
Deposit: ₹1000
Deposit Refund after check out.</t>
  </si>
  <si>
    <t xml:space="preserve">Booked by Henil Patel</t>
  </si>
  <si>
    <t xml:space="preserve">Booking confirmed ✅ 
Farm number 11
₹500 advance received
₹4000 to get paid while check-in
23 Oct 2024 at 7:00 PM to 24 Oct 2024 at 6:00 PM
8 Persons
Rent: ₹3500
Deposit: ₹1000
Deposit Refund after check out.</t>
  </si>
  <si>
    <t xml:space="preserve">Booked by Nilesh</t>
  </si>
  <si>
    <t xml:space="preserve">Booking confirmed ✅ 
Farm number 11
₹1000 advance received
24 Oct 2024 at 7:00 PM to 25 Oct 2024 at 6:00 PM
12 Persons
Rent: ₹4000
Deposit: ₹2000
Deposit Refund after check out.</t>
  </si>
  <si>
    <t xml:space="preserve">Booked by Jayesh</t>
  </si>
  <si>
    <t xml:space="preserve">Booking confirmed ✅ 
Farm number - 11
₹1000 advance received
25 Oct 2024 at 7:00 PM to 26 Oct 2024 at 6:00 PM
10 Persons
Rent: ₹4500
Deposit: ₹2000
Deposit Refund after check out.</t>
  </si>
  <si>
    <t xml:space="preserve">Booked by Sujal</t>
  </si>
  <si>
    <t xml:space="preserve">Booking confirmed ✅ 
Farm number 11
₹1000 advance received
26 Oct 2024 at 8:00 AM to 27 Oct 2024 at 9:00 AM
4 Persons
Rent: ₹5500
Deposit: ₹1000
Deposit Refund after check out.</t>
  </si>
  <si>
    <t xml:space="preserve">Booked by Lalit</t>
  </si>
  <si>
    <t xml:space="preserve">Booking confirmed ✅ 
Farm number 11
₹1000 advance received
27 Oct 2024 at 12:00 PM to 27 Oct 2024 at 11:00 PM
10 Persons
Rent: ₹4000
Deposit: ₹2000
Deposit Refund after check out.</t>
  </si>
  <si>
    <t xml:space="preserve">Booked by Kalpesh</t>
  </si>
  <si>
    <t xml:space="preserve">Booking confirmed ✅ 
Farm number 11
27 Oct 2024 at 11:00 PM to 28 Oct 2024 at 9:00 AM
4 Persons
Rent: ₹2000
Deposit: ₹1000
Deposit Refund after check out.</t>
  </si>
  <si>
    <t xml:space="preserve">Booked by Krish</t>
  </si>
  <si>
    <t xml:space="preserve">[Updated] Booking confirmed ✅ 
Farm number 11
₹1000 advance received
28 Oct 2024 at 7:00 PM to 29 Oct 2024 at 6:00 PM
14 Persons
Rent: ₹4000
Deposit: ₹2000
Deposit Refund after check out.</t>
  </si>
  <si>
    <t xml:space="preserve">Booking confirmed ✅ 
Farm number 11
₹1000 advance received
29 Oct 2024 at 7:00 PM to 30 Oct 2024 at 7:00 PM
10 Persons
Rent: ₹4000
Deposit: ₹2000
Deposit Refund after check out.</t>
  </si>
  <si>
    <t xml:space="preserve">Booking confirmed ✅ 
Farm number 11
₹500 advance token received
1 Nov 2024 at 12:00 PM to 2 Nov 2024 at 12:00 PM
12 Persons
Rent: ₹4500
Deposit: ₹2000
Deposit Refund after check out.</t>
  </si>
  <si>
    <t xml:space="preserve">Booked by Ritik</t>
  </si>
  <si>
    <t xml:space="preserve">Booking confirmed ✅ 
Farm number 11
₹1500 advance received
2 Nov 2024 at 7:00 PM to 3 Nov 2024 at 6:00 PM
8 Persons
Rent: ₹6500
Deposit: ₹2000
Deposit Refund after check out.</t>
  </si>
  <si>
    <t xml:space="preserve">Booked by Prince</t>
  </si>
  <si>
    <t xml:space="preserve">Booking confirmed ✅ 
Farm number 11
₹1000 advance received
3 Nov 2024 at 7:00 PM to 4 Nov 2024 at 6:00 PM
15 Persons
Rent: ₹4000
Deposit: ₹2000
Deposit Refund after check out.</t>
  </si>
  <si>
    <t xml:space="preserve">Booked by Sweta</t>
  </si>
  <si>
    <t xml:space="preserve">Booking confirmed ✅ 
Farm number 11
₹6500 received
4 Nov 2024 at 7:00 PM to 5 Nov 2024 at 6:00 PM
17 Persons
Rent: ₹4500
Deposit: ₹2000
Deposit Refund after check out.</t>
  </si>
  <si>
    <t xml:space="preserve">5 Nov 2024 at 7:00 PM to 6 Nov 2024 at 6:00 PM
10 Persons
Rent: ₹4200
Deposit: ₹2000
Deposit Refund after check out.</t>
  </si>
  <si>
    <t xml:space="preserve">Booked by Ashish</t>
  </si>
  <si>
    <t xml:space="preserve">Booking confirmed ✅ 
Farm number 11
₹1000 advance received
6 Nov 2024 at 7:00 PM to 7 Nov 2024 at 6:00 PM
12 Persons
Rent: ₹4500
Deposit: ₹2000
Deposit Refund after check out.</t>
  </si>
  <si>
    <t xml:space="preserve">Booked by Chirag</t>
  </si>
  <si>
    <t xml:space="preserve">Booking confirmed ✅ 
Farm number 11
₹2000 advance received
8 Nov 2024 at 8:00 AM to 8 Nov 2024 at 6:00 PM
15 Persons
Rent: ₹4000
Deposit: ₹2000
Deposit Refund after check out.</t>
  </si>
  <si>
    <t xml:space="preserve">Booking confirmed ✅ 
Farm number 11
₹1000 advance received
8 Nov 2024 at 7:30 PM to 9 Nov 2024 at 6:00 PM
8 Persons
Rent: ₹4000
Deposit: ₹2000
Deposit Refund after check out.</t>
  </si>
  <si>
    <t xml:space="preserve">Booked by Chirag Chatrani</t>
  </si>
  <si>
    <t xml:space="preserve">Booking confirmed ✅ 
Farm number 11
₹1000 received
9 Nov 2024 at 7:00 PM to 10 Nov 2024 at 6:00 PM
15 Persons
Rent: ₹5000
Deposit: ₹2000
Deposit Refund after check out.</t>
  </si>
  <si>
    <t xml:space="preserve">Booked by Harsh</t>
  </si>
  <si>
    <t xml:space="preserve">Booking confirmed ✅ 
Farm number 11
₹1000 advance received
10 Nov 2024 at 7:00 PM to 11 Nov 2024 at 6:00 PM
10 Persons
Rent: ₹4500
Deposit: ₹2000
Deposit Refund after check out.</t>
  </si>
  <si>
    <t xml:space="preserve">Booking confirmed ✅ 
Farm number 11
₹1000 advance received
11 Nov 2024 at 8:00 PM to 12 Nov 2024 at 8:00 AM
3 Persons, Without pool
Rent: ₹2000
Deposit: ₹1000
Deposit Refund after check out.</t>
  </si>
  <si>
    <t xml:space="preserve">Booked by Hiren</t>
  </si>
  <si>
    <t xml:space="preserve">Booking confirmed ✅ 
Farm number 11
₹1000 advance received
13 Nov 2024 at 8:00 AM to 13 Nov 2024 at 6:00 PM
2 Persons
Rent: ₹2000
Deposit: ₹1000
Deposit Refund after check out.</t>
  </si>
  <si>
    <t xml:space="preserve">Booking confirmed ✅ 
Farm number 11
₹500 advance received
13 Nov 2024 at 7:00 PM to 13 Nov 2024 at 12:00 AM
7 Persons
Rent: ₹1000
Deposit: ₹1000
Deposit Refund after check out.</t>
  </si>
  <si>
    <t xml:space="preserve">Booked by Kaushik</t>
  </si>
  <si>
    <t xml:space="preserve">Booking confirmed ✅ 
₹1000 advance received online
14 Nov 2024 at 9:00 AM to 14 Nov 2024 at 6:00 PM
2 Persons without pool
Rent: ₹1500
Deposit: ₹1000
Deposit Refund after check out.</t>
  </si>
  <si>
    <t xml:space="preserve">Booked by Janki</t>
  </si>
  <si>
    <t xml:space="preserve">Booking confirmed ✅ 
Farm number 11
₹500 advance received
13 Nov 2024 at 7:00 PM to 14 Nov 2024 at 6:00 PM
12 Persons
Rent: ₹4500
Deposit: ₹2000
Deposit Refund after check out.</t>
  </si>
  <si>
    <t xml:space="preserve">Booking confirmed ✅
Farm number 11
₹4500 received
16 Nov 2024 at 8:00 AM to 17 Nov 2024 at 8:00 AM
8 Persons
Rent: ₹4500
Deposit: ₹2000
Deposit Refund after check out.</t>
  </si>
  <si>
    <t xml:space="preserve">Booking confirmed ✅ 
Farm number 11
₹1000 advance received 
17 Nov 2024 at 9:00 AM to 17 Nov 2024 at 7:00 PM
10 Persons
Rent: ₹3500
Deposit: ₹1000
Deposit Refund after check out.</t>
  </si>
  <si>
    <t xml:space="preserve">18 Nov 2024 at 11:00 AM to 18 Nov 2024 at 5:00 PM
2 Persons
Rent: ₹1000
Deposit: ₹1000
Deposit Refund after check out.</t>
  </si>
  <si>
    <t xml:space="preserve">Booked by Anil</t>
  </si>
  <si>
    <t xml:space="preserve">Booking confirmed ✅ 
Farm number 11
₹1000 advance received
19 Nov 2024 at 8:00 AM to 19 Nov 2024 at 6:00 PM
7 Persons
Rent: ₹3000
Deposit: ₹1000
Deposit Refund after check out.</t>
  </si>
  <si>
    <t xml:space="preserve">Rent: ₹2000
2 person + 4 kid
Agent Shyam</t>
  </si>
  <si>
    <t xml:space="preserve">Booking confirmed ✅ 
Farm number 11
₹2000 advance received
22 Nov 2024 at 8:00 PM to 23 Nov 2024 at 8:00 AM
15 Persons
Rent: ₹2300
Deposit: ₹2000
Deposit Refund after check out.</t>
  </si>
  <si>
    <t xml:space="preserve">Booked by Manish</t>
  </si>
  <si>
    <t xml:space="preserve">Booking confirmed ✅ 
Farm number 11
₹300 advance received
23 Nov 2024 at 9:00 AM to 23 Nov 2024 at 5:00 PM
2 Persons
Rent: ₹1500
Deposit: ₹1000
Deposit Refund after check out.</t>
  </si>
  <si>
    <t xml:space="preserve">Booked by Yashna</t>
  </si>
  <si>
    <t xml:space="preserve">Booking confirmed ✅ 
Farm number 11
₹1000 advance received
23 Nov 2024 at 7:00 PM to 24 Nov 2024 at 6:00 PM
6 Persons
Rent: ₹5000
Deposit: ₹1000
Deposit Refund after check out.</t>
  </si>
  <si>
    <t xml:space="preserve">Booking confirmed ✅ 
Farm number 11
₹500 advance received
24 Nov 2024 at 7:00 PM to 25 Nov 2024 at 8:00 AM
5 Persons
Rent: ₹2000
Deposit: ₹1000
Deposit Refund after check out.</t>
  </si>
  <si>
    <t xml:space="preserve">Booking confirmed ✅ 
Farm number 11
₹1000 advance received
25 Nov 2024 at 9:00 AM to 25 Nov 2024 at 6:00 PM
5 Persons
Rent: ₹2500
Deposit: ₹1000
Deposit Refund after check out.</t>
  </si>
  <si>
    <t xml:space="preserve">Booked by Jenish</t>
  </si>
  <si>
    <t xml:space="preserve">Booking confirmed ✅
Farm number 11
₹1000 advance received
27 Nov 2024 at 9:00 AM to 27 Nov 2024 at 6:00 PM
2 Persons with pool
Rent: ₹1900
Deposit: ₹1000
Deposit Refund after check out.</t>
  </si>
  <si>
    <t xml:space="preserve">Booked by Mit</t>
  </si>
  <si>
    <t xml:space="preserve">Booking confirmed ✅
Farm number 11
₹1000 advance received
28 Nov 2024 at 9:00 AM to 28 Nov 2024 at 6:00 PM
4 Persons
Rent: ₹3000
Deposit: ₹1000
Deposit Refund after check out.</t>
  </si>
  <si>
    <t xml:space="preserve">Booking confirmed ✅ 
Farm number 11
₹500 advance received
29 November 2024 at 9:00 AM to 29 November 2024 at 6:00 PM
2 Persons without pool
Rent: ₹2000
Deposit: ₹1000
Deposit Refund after check out.</t>
  </si>
  <si>
    <t xml:space="preserve">Booked by Akash</t>
  </si>
  <si>
    <t xml:space="preserve">Booking confirmed ✅ 
Farm number 11
₹2000 advance received
29 Nov 2024 at 8:00 PM to 30 Nov 2024 at 8:00 AM
5 Persons
Rent: ₹2500
Deposit: ₹1000
Deposit Refund after check out.</t>
  </si>
  <si>
    <t xml:space="preserve">Booking confirmed ✅ 
Farm number 11
₹1000 advance received
cancelled due to accident - no refund
1 Dec 2024 at 7:00 AM to 1 Dec 2024 at 8:00 PM
8 Persons
Rent: ₹3500
Deposit: ₹1000
Deposit Refund after check out.</t>
  </si>
  <si>
    <t xml:space="preserve">Booked by Pooja</t>
  </si>
  <si>
    <t xml:space="preserve">Booking confirmed ✅ 
Farm number 11
₹1000 advance received
3 Dec 2024 at 12:00 PM to 3 Dec 2024 at 5:00 PM
2 Persons
Rent: ₹1500
Deposit: ₹1000
Deposit Refund after check out.</t>
  </si>
  <si>
    <t xml:space="preserve">Booking confirmed ✅ 
Farm number 11
₹1500 advance received
4 Dec 2024 at 9:00 AM to 4 Dec 2024 at 6:00 PM
2 Persons without pool
Rent: ₹1500
Deposit: ₹1000
Deposit Refund after check out.</t>
  </si>
  <si>
    <t xml:space="preserve">Booking confirmed ✅ 
Farm number 11
₹1000 advance received
5 Dec 2024 at 7:00 PM to 6 Dec 2024 at 6:00 PM
8 Persons
Rent: ₹4000
Deposit: ₹1000
Deposit Refund after check out.</t>
  </si>
  <si>
    <t xml:space="preserve">Booking confirmed ✅ 
Farm number 11
₹1000 advance received
6 Dec 2024 at 7:00 PM to 7 Dec 2024 at 6:00 PM
5 Persons
Rent: ₹3800
Deposit: ₹2000
Deposit Refund after check out.</t>
  </si>
  <si>
    <t xml:space="preserve">booked by Akash</t>
  </si>
  <si>
    <t xml:space="preserve">Rent: 2000 - only night with some muslim girl</t>
  </si>
  <si>
    <t xml:space="preserve">Booking confirmed ✅ 
Farm number 11
₹1000 advance received
9 Dec 2024 at 8:00 AM to 9 Dec 2024 at 6:00 PM
7 Persons
Rent: ₹2700
Deposit: ₹1000
Deposit Refund after check out.</t>
  </si>
  <si>
    <t xml:space="preserve">Booking confirmed ✅ 
Farm number 11
₹1000 advance received
Dec 11, 2024 at 9:00 AM to Dec 11, 2024 at 6:00 PM
2 Persons
Rent: ₹1500
Deposit: ₹1000
Deposit Refund after check out.</t>
  </si>
  <si>
    <t xml:space="preserve">Booked by Bhoomi</t>
  </si>
  <si>
    <t xml:space="preserve">Bookings confirmed ✅ 
Farm number 11
₹1000 advance received
11 Dec 2024 at 7:00 PM to 12 Dec 2024 at 8:00 AM
2 Persons
Rent: ₹2000
Deposit: ₹1000
Deposit Refund after check out.</t>
  </si>
  <si>
    <t xml:space="preserve">13 Dec 2024 at 3:00 PM to 14 Dec 2024 at 2:00 PM
10 Persons
Rent: ₹3000
Deposit: ₹2000
Deposit Refund after check out.</t>
  </si>
  <si>
    <t xml:space="preserve">Booked by Prashant</t>
  </si>
  <si>
    <t xml:space="preserve">Booking confirmed ✅ 
Farm number 11
₹1000 advance received
14 Dec 2024 at 5:00 PM to 15 Dec 2024 at 7:00 AM
8 Persons
Rent: ₹2500
Deposit: ₹1000
Deposit Refund after check out.</t>
  </si>
  <si>
    <t xml:space="preserve">Booked by agent vithani darshan</t>
  </si>
  <si>
    <t xml:space="preserve">Booking confirmed ✅ 
Farm number 11
₹1000 advance received
18 Dec 2024 at 9:00 AM to 18 December 2024 at 5:00 PM
2 Persons
Rent: ₹1500 without pool
Deposit: ₹1000
Deposit Refund after check out.</t>
  </si>
  <si>
    <t xml:space="preserve">Booking confirmed ✅ 
Farm number 11
₹2000 advance received
19 Dec 2024 at 8:00 AM to 19 Dec 2024 at 6:00 PM
15 Persons
Rent: ₹2500
Deposit: ₹2000
Deposit Refund after check out.</t>
  </si>
  <si>
    <t xml:space="preserve">Booked by Sagar
Rent: 0
Free</t>
  </si>
  <si>
    <t xml:space="preserve">Booked by Pariketh</t>
  </si>
  <si>
    <t xml:space="preserve">Booking confirmed ✅ 
Farm number 11
₹1000 advance received 
21 Dec 2024 at 7:00 PM to 22 Dec 2024 at 7:00 PM
8 Persons
Rent: ₹5000
Deposit: ₹2000
Deposit Refund after check out.</t>
  </si>
  <si>
    <t xml:space="preserve">Booked by Saurabh</t>
  </si>
  <si>
    <t xml:space="preserve">Booking confirmed ✅ 
Farm number 11
₹2000 advance received
25 Dec 2024 at 1:00 PM to 25 Dec 2024 at 6:00 PM
2 Persons
Rent: ₹1500
Deposit: ₹500
Deposit Refund after check out.</t>
  </si>
  <si>
    <t xml:space="preserve">Booking confirmed ✅ 
Farm number 11
₹1500 advance received
27 Dec 2024 at 10:00 AM to 28 Dec 2024 at 6:00 PM
2 Persons
Rent: ₹4500
Deposit: ₹2000
Deposit Refund after check out.</t>
  </si>
  <si>
    <t xml:space="preserve">Booked by Mitul patel</t>
  </si>
  <si>
    <t xml:space="preserve">Booking confirmed ✅ 
Farm number 11
₹5000 advance received
28 Dec 2024 at 7:00 PM to 29 Dec 2024 at 7:00 PM
4 Persons
Rent: ₹5000
Deposit: ₹2000
Deposit Refund after check out.</t>
  </si>
  <si>
    <t xml:space="preserve">Booked by Hardik</t>
  </si>
  <si>
    <t xml:space="preserve">Booking confirmed ✅ 
Farm number 11
₹3700 advance received
31 Dec 2024 at 12:00 PM to 31 Dec 2024 at 6:00 PM
3 Persons
Rent: ₹2700
Deposit: ₹1000
Deposit Refund after check out.</t>
  </si>
  <si>
    <t xml:space="preserve">Booked by Sibu</t>
  </si>
  <si>
    <t xml:space="preserve">Booking confirmed ✅ 
Farm number 11
₹2000 advance received
31 Dec 2024 at 7:00 PM to 1 Jan 2025 at 8:00 AM
8 Persons
Rent: ₹4000
Deposit: ₹2000
Deposit Refund after check out.</t>
  </si>
  <si>
    <t xml:space="preserve">Booked by Viram</t>
  </si>
  <si>
    <t xml:space="preserve">Booking confirmed ✅ 
Farm number 11
₹1000 advance received
2 Jan 2025 at 9:00 AM to 2 Jan 2025 at 5:00 PM
2 Persons
Rent: ₹2000
Deposit: ₹1000
Deposit Refund after check out.</t>
  </si>
  <si>
    <t xml:space="preserve">Booked by Anshul</t>
  </si>
  <si>
    <t xml:space="preserve">Booking confirmed ✅ 
₹1000 advance received 
4 Jan 2025 at 8:00 AM to 4 Jan 2025 at 5:00 PM
5 Persons
Rent: ₹3000
Deposit: ₹1000
Deposit Refund after check out.</t>
  </si>
  <si>
    <t xml:space="preserve">Booked by Vivek | Rutish’s frd</t>
  </si>
  <si>
    <t xml:space="preserve">Booking confirmed ✅ 
Farm number 11
4 Jan 2025 at 7:00 PM to 5 Jan 2025 at 6:00 PM
15 Persons
Rent: ₹5000</t>
  </si>
  <si>
    <t xml:space="preserve">Booked by Anshu</t>
  </si>
  <si>
    <t xml:space="preserve">Booking confirmed ✅ 
Farm number 11
₹1000 advance received
6 Jan 2025 at 9:00 AM to 6 Jan 2025 at 6:00 PM
5 Persons
Rent: ₹2500
Deposit: ₹1000
Deposit Refund after check out.</t>
  </si>
  <si>
    <t xml:space="preserve">Booking confirmed ✅ 
Farm number 11
₹1000 advance received
8 Jan 2025 at 9:00 AM to 8 Jan 2025 at 6:00 PM
4 Persons
Rent: ₹2500
Deposit: ₹1000
Deposit Refund after check out.</t>
  </si>
  <si>
    <t xml:space="preserve">Booked by Monesh</t>
  </si>
  <si>
    <t xml:space="preserve">Booking confirmed ✅ 
Farm number 11
₹1000 advance received
8 Jan 2025 at 7:00 PM to 9 Jan 2025 at 6:00 PM
10 Persons
Rent: ₹4200
Deposit: ₹2000
Deposit Refund after check out.</t>
  </si>
  <si>
    <t xml:space="preserve">Booking confirmed ✅ 
Farm number 11
₹1000 advance received
10 Jan 2025 at 9:00 AM to 10 Jan 2025 at 6:00 PM
2 Persons
Rent: ₹2000
Deposit: ₹1000
Deposit Refund after check out.</t>
  </si>
  <si>
    <t xml:space="preserve">Booking confirmed ✅ 
Farm number 11
₹500 advance received
11 Jan 2025 at 9:00 AM to 11 Jan 2025 at 6:00 PM
2 Persons without pool
Rent: ₹2000
Deposit: ₹1000
Deposit Refund after check out.</t>
  </si>
  <si>
    <t xml:space="preserve">Booking confirmed ✅ 
Farm number 11
₹1000 advance received
11 Jan 2025 at 7:00 PM to 12 Jan 2025 at 6:00 PM
2 Persons
Rent: ₹5000 - 250 for booking transfer
Deposit: ₹2000
Deposit Refund after check out.</t>
  </si>
  <si>
    <t xml:space="preserve">Booking confirmed ✅ 
Farm number 11
₹500 advance received
12 Jan 2025 at 7:00 PM to 13 Jan 2025 at 6:00 PM
10 Persons
Rent: ₹4000
Deposit: ₹1000
Deposit Refund after check out.</t>
  </si>
  <si>
    <t xml:space="preserve">Booking confirmed ✅ 
Farm number 11
₹2000 advance received
13 Jan 2025 at 7:00 PM to 14 Jan 2025 at 6:00 PM
10 Persons
Rent: ₹8000
Deposit: ₹2000
Deposit Refund after check out.</t>
  </si>
  <si>
    <t xml:space="preserve">Booked by Agent Akash</t>
  </si>
  <si>
    <t xml:space="preserve">Booking confirmed ✅ 
Farm number 11
₹2000 advance received
15 Jan 2025 at 8:00 PM to 16 Jan 2025 at 6:00 PM
8 Persons
Rent: ₹4000
Deposit: ₹1000
Deposit Refund after check out.</t>
  </si>
  <si>
    <t xml:space="preserve">Rent: ₹1500 - 2 couple</t>
  </si>
  <si>
    <t xml:space="preserve">Booked by Bharat</t>
  </si>
  <si>
    <t xml:space="preserve">Booking confirmed ✅ 
Farm number 11
₹500 advance received
18 Jan 2025 at 7:00 PM to 19 Jan 2025 at 6:00 PM
10 Persons
Rent: ₹5000
Deposit: ₹2000
Deposit Refund after check out.</t>
  </si>
  <si>
    <t xml:space="preserve">Booked by Abhishek</t>
  </si>
  <si>
    <t xml:space="preserve">24 Jan 2025 at 3:00 PM to 24 Jan 2025 at 8:00 PM
4 Persons without pool
Rent: ₹1500
Deposit: ₹1000
Deposit Refund after check out.</t>
  </si>
  <si>
    <t xml:space="preserve">Booking confirmed ✅ 
Farm number 11
₹1000 advance received 
24 Jan 2025 at 10:00 PM to 25 Jan 2025 at 10:00 AM
7 Persons
Rent: ₹2500
Deposit: ₹1000
Deposit Refund after check out.</t>
  </si>
  <si>
    <t xml:space="preserve">Booking confirmed ✅ 
Farm number 11
₹1000 advance received
25 Jan 2025 at 10:30 AM to 25 Jan 2025 at 6:00 PM
2 Persons with Pool
Rent: ₹2000
Deposit: ₹1000
Deposit Refund after check out.</t>
  </si>
  <si>
    <t xml:space="preserve">Booked by Riyal</t>
  </si>
  <si>
    <t xml:space="preserve">Booking confirmed ✅ 
Farm number 11
₹1000 advance received
25 Jan 2025 at 7:00 PM to 26 Jan 2025 at 6:00 PM
6 Persons
Rent: ₹4000
Deposit: ₹2000
Deposit Refund after check out.</t>
  </si>
  <si>
    <t xml:space="preserve">Booked by Gaurav</t>
  </si>
  <si>
    <t xml:space="preserve">27 Jan 2025 at 7:00 PM to 28 Jan 2025 at 8:30 AM
12 Persons
Rent: ₹2000
Deposit: ₹1000
Deposit Refund after check out.</t>
  </si>
  <si>
    <t xml:space="preserve">Booked by Dhruv</t>
  </si>
  <si>
    <t xml:space="preserve">Booking confirmed ✅ 
Farm number 11
₹1000 advance received
28 Jan 2025 at 9:00 AM to 28 Jan 2025 at 6:00 PM
2 Persons without pool
Rent: ₹2000
Deposit: ₹1000
Deposit Refund after check out.</t>
  </si>
  <si>
    <t xml:space="preserve">Booking confirmed ✅ 
Farm number 11
₹1000 advance received
28 Jan 2025 at 7:00 PM to 29 Jan 2025 at 6:00 PM
7 Persons
Rent: ₹3000
Deposit: ₹1000
Deposit Refund after check out.</t>
  </si>
  <si>
    <t xml:space="preserve">Booked by Nimesh</t>
  </si>
  <si>
    <t xml:space="preserve">Booking confirmed ✅ 
Farm number 11
₹1000 advance received
31 Jan 2025 at 9:00 AM to 31 Jan 2025 at 6:00 PM
5 Persons
Rent: ₹2000
Deposit: ₹1000
Deposit Refund after check out.</t>
  </si>
  <si>
    <t xml:space="preserve">Booked by Devendra</t>
  </si>
  <si>
    <t xml:space="preserve">Booking confirmed ✅ 
Farm number 11
₹1000 advance received
31 Jan 2025 at 7:00 PM to 1 Feb 2025 at 6:00 PM
10 Persons
Rent: ₹3800
Deposit: ₹1000
Deposit Refund after check out.</t>
  </si>
  <si>
    <t xml:space="preserve">Booked by Sumit</t>
  </si>
  <si>
    <t xml:space="preserve">Booking confirmed ✅ 
Farm number 11
₹1000 advance received
1 Feb 2025 at 7:00 PM to 2 Feb 2025 at 6:00 PM
7 Persons
Rent: ₹5500
Deposit: ₹2000
Deposit Refund after check out.</t>
  </si>
  <si>
    <t xml:space="preserve">Booked by Amiras</t>
  </si>
  <si>
    <t xml:space="preserve">Booking confirmed ✅ 
Farm number 11
₹500 advance received.
3 Feb 2025 at 9:00 PM to 4 Feb 2025 at 8:00 AM
4 Persons without pool
Rent: ₹1500
Deposit: ₹1000
Deposit Refund after check out.</t>
  </si>
  <si>
    <t xml:space="preserve">Booking confirmed ✅ 
Farm number 11
₹1000 advance received
7 Feb 2025 at 9:00 AM to 7 Feb 2025 at 6:00 PM
4 Persons
Rent: ₹2500
Deposit: ₹1000
Deposit Refund after check out.</t>
  </si>
  <si>
    <t xml:space="preserve">Booked by Satyam</t>
  </si>
  <si>
    <t xml:space="preserve">Booking confirmed ✅ 
Farm number 11
₹1000 advance received
8 Feb 2025 at 8:00 AM to 8 Feb 2025 at 6:00 PM
8 Persons
Rent: ₹2500
Deposit: ₹1000
Deposit Refund after check out.</t>
  </si>
  <si>
    <t xml:space="preserve">Booking confirmed ✅ 
Farm number 11
₹2000 advance received
9 Feb 2025 at 7:00 PM to 10 Feb 2025 at 6:00 PM
10 Persons
Rent: ₹3500
Deposit: ₹1000
Deposit Refund after check out.</t>
  </si>
  <si>
    <t xml:space="preserve">Booked by Henil</t>
  </si>
  <si>
    <t xml:space="preserve">Booking confirmed ✅ 
Farm number 11
₹1000 advance received
10 Feb 2025 at 7:00 PM to 11 Feb 2025 at 6:00 PM
10 Persons
Rent: ₹3500
Deposit: ₹1000
Deposit Refund after check out.</t>
  </si>
  <si>
    <t xml:space="preserve">Booked by Arvind</t>
  </si>
  <si>
    <t xml:space="preserve">Booking confirmed ✅ 
Farm number 11
₹1000 advance received
12 Feb 2025 at 9:00 AM to 12 Feb 2025 at 6:00 PM
10 Persons
Rent: ₹2500
Deposit: ₹1000
Deposit Refund after check out.</t>
  </si>
  <si>
    <t xml:space="preserve">Booked by Ajay</t>
  </si>
  <si>
    <t xml:space="preserve">Booking confirmed ✅ 
Farm number 11
₹1000 advance received
14 Feb 2025 at 9:00 AM to 14 Feb 2025 at 6:00 PM
4 Persons
Rent: ₹3000
Deposit: ₹1000
Deposit Refund after check out.</t>
  </si>
  <si>
    <t xml:space="preserve">Booking confirmed ✅ 
Farm number 11
₹1000 advance received
14 Feb 2025 at 7:00 PM to 15 Feb 2025 at 6:00 PM
5 Persons
Rent: ₹3500
Deposit: ₹1000
Deposit Refund after check out.</t>
  </si>
  <si>
    <t xml:space="preserve">Booking confirmed ✅ 
Farm number 11
₹1500 advance received
17 Feb 2025 at 8:00 AM to 17 Feb 2025 at 2:00 PM
2 Persons
Rent: ₹1500
Deposit: ₹1000
Deposit Refund after check out.</t>
  </si>
  <si>
    <t xml:space="preserve">Booking confirmed ✅ 
Farm number 11
18 Feb 2025 at 9:00 AM to 18 Feb 2025 at 5:00 PM
2 Persons without pool
Rent: ₹2000
Deposit: ₹1000
Deposit Refund after check out.</t>
  </si>
  <si>
    <t xml:space="preserve">Booked by Pradip</t>
  </si>
  <si>
    <t xml:space="preserve">Booking confirmed ✅ 
Farm number 11
₹1000 advance received
19 Feb 2025 at 9:00 AM to 19 Feb 2025 at 6:00 PM
2 Persons
Rent: ₹2500
Deposit: ₹1000
Deposit Refund after check out.</t>
  </si>
  <si>
    <t xml:space="preserve">Booking confirmed ✅ 
Farm number 11
₹1000 advance received
20 Feb 2025 at 9:00 AM to 20 Feb 2025 at 5:00 PM
2 Persons without pool
Rent: ₹2000
Deposit: ₹1000
Deposit Refund after check out.</t>
  </si>
  <si>
    <t xml:space="preserve">Booked by Nirmal
Rent: 0</t>
  </si>
  <si>
    <t xml:space="preserve">Booked by Agent shyam</t>
  </si>
  <si>
    <t xml:space="preserve">Rent: ₹1500</t>
  </si>
  <si>
    <t xml:space="preserve">Booked by Krunal</t>
  </si>
  <si>
    <t xml:space="preserve">23 Feb 2025 at 12:00 PM to 23 Feb 2025 at 11:00 PM
8 Persons
Rent: ₹3500
Deposit: ₹1000
Deposit Refund after check out.</t>
  </si>
  <si>
    <t xml:space="preserve">Booked by Nirav</t>
  </si>
  <si>
    <t xml:space="preserve">Booking confirmed ✅ 
₹3000 advance received
3 Mar 2025 at 7:00 PM to 4 Mar 2025 at 6:00 PM
10 Persons
Rent: ₹4000
Deposit: ₹2000
Deposit Refund after check out.</t>
  </si>
  <si>
    <t xml:space="preserve">Booking confirmed ✅ 
Farm number 11
₹1000 advance received
4 Mar 2025 at 7:00 PM to 5 Mar 2025 at 7:30 AM
7 Persons
Rent: ₹2500
Deposit: ₹1000
Deposit Refund after check out.</t>
  </si>
  <si>
    <t xml:space="preserve">Booking confirmed ✅ 
Farm number 11
₹2000 advance received 
8 Mar 2025 at 7:00 PM to 9 Mar 2025 at 6:00 PM
11 Persons
Rent: ₹7000
Deposit: ₹2000
Deposit Refund after check out.</t>
  </si>
  <si>
    <t xml:space="preserve">Booked by Snehit</t>
  </si>
  <si>
    <t xml:space="preserve">Booking confirmed ✅ 
Farm number 11
₹500 advance received
9 Mar 2025 at 7:00 PM to 10 Mar 2025 at 6:00 PM
7 Persons
Rent: ₹4000
Deposit: ₹1000
Deposit Refund after check out.</t>
  </si>
  <si>
    <t xml:space="preserve">Booking confirmed ✅ 
Farm number 11
₹2000 advance received
10 Mar 2025 at 7:00 PM to 11 Mar 2025 at 6:00 PM
10 Persons
Rent: ₹5000
Deposit: ₹2000
Deposit Refund after check out.</t>
  </si>
  <si>
    <t xml:space="preserve">Booked by Lakshya</t>
  </si>
  <si>
    <t xml:space="preserve">Booking confirmed ✅ 
Farm number 11
₹2000 advance received
11 Mar 2025 at 7:00 PM to 12 Mar 2025 at 6:00 PM
10 Persons
Rent: ₹5000
Deposit: ₹2000
Deposit Refund after check out.</t>
  </si>
  <si>
    <t xml:space="preserve">Booked by Jaydeep Italiya</t>
  </si>
  <si>
    <t xml:space="preserve">Booking confirmed ✅ 
Farm number 11
₹2000 advance received
12 Mar 2025 at 7:00 PM to 13 Mar 2025 at 6:00 PM
8 Persons Max
Rent: ₹6000
Deposit: ₹2000
Deposit Refund after check out.</t>
  </si>
  <si>
    <t xml:space="preserve">Booked by Agent Meet Limbani</t>
  </si>
  <si>
    <t xml:space="preserve">Booking Confirmed
Farm number - 11
₹5000 advance received
13 Mar 2025 at 7:00 PM to 14 Mar 2025 at 6:00 PM
20 Persons
Rent: ₹20000
Deposit: ₹2000
Deposit Refund after check out.</t>
  </si>
  <si>
    <t xml:space="preserve">Booking confirmed ✅ 
Farm number 11
₹3000 advance received
14 Mar 2025 at 7:00 PM to 15 Mar 2025 at 6:00 PM
12 Persons
Rent: ₹7000
Deposit: ₹2000
Deposit Refund after check out.</t>
  </si>
  <si>
    <t xml:space="preserve">Booked by Rupesh</t>
  </si>
  <si>
    <t xml:space="preserve">Booking confirmed ✅ 
Farm number 11
₹2000 advance received
15 Mar 2025 at 7:00 PM to 16 Mar 2025 at 6:00 PM
8 Persons
Rent: ₹7500
Deposit: ₹2000
Deposit Refund after check out.</t>
  </si>
  <si>
    <t xml:space="preserve">Booked by Utkarsh</t>
  </si>
  <si>
    <t xml:space="preserve">Booking confirmed ✅ 
Farm number 11
₹1000 advance received
16 Mar 2025 at 7:00 PM to 17 Mar 2025 at 8:00 AM
8 Persons
Rent: ₹3000
Deposit: ₹2000
Deposit Refund after check out.</t>
  </si>
  <si>
    <t xml:space="preserve">Booked by Agent Meet</t>
  </si>
  <si>
    <t xml:space="preserve">Booking confirmed ✅ 
Farm number 11
18 Mar 2025 at 8:00 PM to 19 Mar 2025 at 7:00 PM
15 Persons
Rent: ₹4000
Deposit: ₹2000
Deposit Refund after check out.</t>
  </si>
  <si>
    <t xml:space="preserve">Booked by Mantra</t>
  </si>
  <si>
    <t xml:space="preserve">Booking confirmed
Farm number 11
₹500 advance received
19 Mar 2025 at 7:00 PM to 20 Mar 2025 at 6:00 PM
6 Persons
Rent: ₹4000
Deposit: ₹1000
Deposit Refund after check out.</t>
  </si>
  <si>
    <t xml:space="preserve">Booked by Umang</t>
  </si>
  <si>
    <t xml:space="preserve">Booking confirmed ✅ 
Farm number 11
₹1000 advance received
20 Mar 2025 at 7:00 PM to 21 Mar 2025 at 8:00 AM
5 Persons
Rent: ₹2500
Deposit: ₹1000
Deposit Refund after check out.</t>
  </si>
  <si>
    <t xml:space="preserve">Booked by Prem</t>
  </si>
  <si>
    <t xml:space="preserve">Booking confirmed ✅ 
Farm number 11
₹500 advance received
21 Mar 2025 at 12:30 PM to 21 Mar 2025 at 6:00 PM
2 Persons
Rent: ₹2000
Deposit: ₹1000
Deposit Refund after check out.</t>
  </si>
  <si>
    <t xml:space="preserve">Booking confirmed ✅ 
Farm number 11
₹2000 advance received
21 Mar 2025 at 7:00 PM to 22 Mar 2025 at 6:00 PM
10 Persons
Rent: ₹4500
Deposit: ₹2000
Deposit Refund after check out.</t>
  </si>
  <si>
    <t xml:space="preserve">Booking confirmed ✅ 
Farm number 11
₹2000 advance received
22 Mar 2025 at 7:00 PM to 23 Mar 2025 at 6:00 PM
10 Persons
Rent: ₹9500
Deposit: ₹2000
Deposit Refund after check out.</t>
  </si>
  <si>
    <t xml:space="preserve">Booked by Hasu</t>
  </si>
  <si>
    <t xml:space="preserve">Booking confirmed ✅ 
Farm number 11
No advance - Family member - Hasu
23 Mar 2025 at 7:00 PM to 24 Mar 2025 at 6:00 PM
12 Persons
Rent: ₹3500
Deposit: ₹2000
Deposit Refund after check out.</t>
  </si>
  <si>
    <t xml:space="preserve">booked by Jay Kunvariya</t>
  </si>
  <si>
    <t xml:space="preserve">Couple
Rent: ₹1000</t>
  </si>
  <si>
    <t xml:space="preserve">Booked by Akash Yadav</t>
  </si>
  <si>
    <t xml:space="preserve">Booking confirmed ✅ 
Farm number 11
₹1000 advance received
27 Mar 2025 at 9:00 AM to 27 Mar 2025 at 6:00 PM
5 Persons Max
Rent: ₹3000
Deposit: ₹1000
Deposit Refund after check out.</t>
  </si>
  <si>
    <t xml:space="preserve">Booking confirmed ✅ 
Farm number 11
28 Mar 2025 at 8:00 AM to 28 Mar 2025 at 6:00 PM
10 Persons Max
Rent: ₹2500
Deposit: ₹1000
Deposit Refund after check out.</t>
  </si>
  <si>
    <t xml:space="preserve">Booked by Jignesh Tejani</t>
  </si>
  <si>
    <t xml:space="preserve">Booking confirmed ✅ 
Rent: ₹4000
Jignesh Tejani</t>
  </si>
  <si>
    <t xml:space="preserve">Booked by Pankaj Jikadra</t>
  </si>
  <si>
    <t xml:space="preserve">Booking confirmed ✅ 
Farm number 11
₹3000 advance received
29 Mar 2025 at 7:00 PM to 30 Mar 2025 at 6:00 PM
15 Persons Max
Rent: ₹9500
Deposit: ₹2000
Deposit Refund after check out.</t>
  </si>
  <si>
    <t xml:space="preserve">Booked by Vipul Chovatiya</t>
  </si>
  <si>
    <t xml:space="preserve">Booking confirmed ✅ 
Farm number 11
₹1000 advance received
30 Mar 2025 at 7:00 PM to 31 Mar 2025 at 6:00 PM
15 Persons Max
Rent: ₹4500
Deposit: ₹2000
Deposit Refund after check out.</t>
  </si>
  <si>
    <t xml:space="preserve">Booked by Ankit Pandey</t>
  </si>
  <si>
    <t xml:space="preserve">Booking confirmed ✅ 
Farm number 11
₹1000 advance received
31 Mar 2025 at 7:00 PM to 1 Apr 2025 at 7:00 AM
12 Persons Max
Rent: ₹3000
Deposit: ₹1000
Deposit Refund after check out.</t>
  </si>
  <si>
    <t xml:space="preserve">Booked by Daksh</t>
  </si>
  <si>
    <t xml:space="preserve">Booking confirmed ✅ 
Farm number 11
₹2000 advance received
+91 88491 67128‬
1 Apr 2025 at 7:00 PM to 2 Apr 2025 at 6:00 PM
10 Persons Max
Rent: ₹4500
Deposit: ₹2000
Deposit Refund after check out.</t>
  </si>
  <si>
    <t xml:space="preserve">Booked by Deep Vadi</t>
  </si>
  <si>
    <t xml:space="preserve">Booking confirmed ✅ 
Farm number 11
₹2000 advance received
+91 93280 38725
2 Apr 2025 at 7:00 PM to 3 Apr 2025 at 6:00 PM
4 Persons Max
Rent: ₹5500
Deposit: ₹2000
Deposit Refund after check out.</t>
  </si>
  <si>
    <t xml:space="preserve">Booked by Sharad Chauhan</t>
  </si>
  <si>
    <t xml:space="preserve">Booking confirmed ✅ 
Farm number 11
₹2000 advance received
4 Apr 2025 at 7:00 PM to 5 Apr 2025 at 6:00 PM
10 Persons Max
Rent: ₹5400
Deposit: ₹2000
Deposit Refund after check out.</t>
  </si>
  <si>
    <t xml:space="preserve">Booked by Meet</t>
  </si>
  <si>
    <t xml:space="preserve">Booking confirmed ✅ 
Farm number 11
₹2000 advance received
5 Apr 2025 at 7:00 PM to 6 Apr 2025 at 6:00 PM
7 Persons Max
Rent: ₹7000
Deposit: ₹2000
Deposit Refund after check out.</t>
  </si>
  <si>
    <t xml:space="preserve">Booked by Roopen </t>
  </si>
  <si>
    <t xml:space="preserve">Booking confirmed ✅ 
Farm number 11
₹2000 advance received
+91 93163 53661
10 Apr 2025 at 7:00 PM to 11 Apr 2025 at 6:00 PM
10 Persons Max
Rent: ₹5000
Deposit: ₹2000
Deposit Refund after check out.</t>
  </si>
  <si>
    <t xml:space="preserve">Booking confirmed ✅ 
Farm number 11
₹2000 advance received
11 Apr 2025 at 7:00 PM to 12 Apr 2025 at 6:00 PM
10 Persons Max
Rent: ₹6000
Deposit: ₹2000
Deposit Refund after check out.</t>
  </si>
  <si>
    <t xml:space="preserve">Booked by Dev Danej</t>
  </si>
  <si>
    <t xml:space="preserve">+91 98240 43044
12 Apr 2025 at 7:00 PM to 13 Apr 2025 at 6:00 PM
12 Persons Max
Rent: ₹12000
Deposit: ₹2000
Deposit Refund after check out.</t>
  </si>
  <si>
    <t xml:space="preserve">Booked by Neel Patel</t>
  </si>
  <si>
    <t xml:space="preserve">Booking confirmed ✅ 
Farm number 11
₹1000 advance received
13 Apr 2025 at 7:00 PM to 14 Apr 2025 at 6:00 PM
15 Persons Max
Rent: ₹5000
Deposit: ₹2000
Deposit Refund after check out.</t>
  </si>
  <si>
    <t xml:space="preserve">Booked by Smit</t>
  </si>
  <si>
    <t xml:space="preserve">Booking Confirmed
Farm number 11
₹2000 advance received
14 Apr 2025 at 7:00 PM to 15 Apr 2025 at 6:00 PM
10 Persons Max
Rent: ₹5500
Deposit: ₹2000
Deposit Refund after check out.</t>
  </si>
  <si>
    <t xml:space="preserve">Booking confirmed ✅ 
Farm number 11
₹1000 advance received
16 Apr 2025 at 2:00 PM to 16 Apr 2025 at 6:00 PM
6 Persons Max
Rent: ₹2500
Deposit: ₹1000
Deposit Refund after check out.</t>
  </si>
  <si>
    <t xml:space="preserve">Booked by Shubham</t>
  </si>
  <si>
    <t xml:space="preserve">Booking confirmed ✅ 
Farm number 11
₹2000 advance received
16 Apr 2025 at 7:00 PM to 17 Apr 2025 at 6:00 PM
10 Persons Max
Rent: ₹5500
Deposit: ₹2000
Deposit Refund after check out.</t>
  </si>
  <si>
    <t xml:space="preserve">Booked by Vansh</t>
  </si>
  <si>
    <t xml:space="preserve">Booking confirmed ✅ 
Farm number 11
₹2000 advance received
17 Apr 2025 at 7:00 PM to 18 Apr 2025 at 6:00 PM
15 Adult Persons Max
Rent: ₹6000
Deposit: ₹2000
Deposit Refund after check out.</t>
  </si>
  <si>
    <t xml:space="preserve">Booked by Karan</t>
  </si>
  <si>
    <t xml:space="preserve">Booking confirmed ✅ 
Farm number 11
₹2000 advance received
18 Apr 2025 at 7:00 PM to 19 Apr 2025 at 6:00 PM
6 Persons Max
Rent: ₹5500
Deposit: ₹2000
Deposit Refund after check out.</t>
  </si>
  <si>
    <t xml:space="preserve">Booking confirmed ✅ 
Farm number 11
₹4000 advance received
+91 99248 29037
19 Apr 2025 at 7:00 PM to 20 Apr 2025 at 6:00 PM
10 Persons Max
Rent: ₹12000
Deposit: ₹2000
Deposit Refund after check out.</t>
  </si>
  <si>
    <t xml:space="preserve">Booked by Lavkush</t>
  </si>
  <si>
    <t xml:space="preserve">Booking confirmed ✅ 
Farm number 11
₹1000 advance received
20 Apr 2025 at 7:00 PM to 21 Apr 2025 at 6:00 PM
10 Persons Max
Rent: ₹5500
Deposit: ₹2000
Deposit Refund after check out.</t>
  </si>
  <si>
    <t xml:space="preserve">Booked by Dev</t>
  </si>
  <si>
    <t xml:space="preserve">Booking confirmed ✅ 
Farm number 11
₹2000 advance received 
21 Apr 2025 at 7:00 PM to 22 Apr 2025 at 6:00 PM
12 Persons Max
Rent: ₹5500
Deposit: ₹2000
Deposit Refund after check out.</t>
  </si>
  <si>
    <t xml:space="preserve">Booked by Meet Rakhasiya</t>
  </si>
  <si>
    <t xml:space="preserve">Booking confirmed ✅ 
Farm number 11
₹2000 advance received 
22 Apr 2025 at 7:00 PM to 23 Apr 2025 at 6:00 PM
5 Persons Max
Rent: ₹4500
Deposit: ₹2000
Deposit Refund after check out.</t>
  </si>
  <si>
    <t xml:space="preserve">Booked by Vinay</t>
  </si>
  <si>
    <t xml:space="preserve">Booking confirmed ✅ 
Farm number 11
₹2000 advance received
23 Apr 2025 at 7:00 PM to 24 Apr 2025 at 7:00 AM
5 Persons Max
Rent: ₹3500
Deposit: ₹2000
Deposit Refund after check out.</t>
  </si>
  <si>
    <t xml:space="preserve">Booked by Chirag Desai</t>
  </si>
  <si>
    <t xml:space="preserve">Booking confirmed ✅ 
Farm number 11
₹1000 advance received
25 Apr 2025 at 12:00 PM to 25 Apr 2025 at 6:00 PM
3 Persons Max
Rent: ₹3000
Deposit: ₹1000
Deposit Refund after check out.</t>
  </si>
  <si>
    <t xml:space="preserve">Booking confirmed ✅ 
Farm number 11
₹2000 advance received
+91 88667 89213
25 Apr 2025 at 7:00 PM to 26 Apr 2025 at 6:00 PM
8 Persons Max
Rent: ₹5500
Deposit: ₹2000
Deposit Refund after check out.</t>
  </si>
  <si>
    <t xml:space="preserve">Booked by Nitin mama</t>
  </si>
  <si>
    <t xml:space="preserve">Booking confirmed ✅ 
Farm number 11
Reference: Nitin Mama Patoliya
26 Apr 2025 at 7:00 PM to 27 Apr 2025 at 6:00 PM
15 Persons Max
Rent: ₹13000
Deposit: ₹2000
Deposit Refund after check out.</t>
  </si>
  <si>
    <t xml:space="preserve">Booked by Santosh</t>
  </si>
  <si>
    <t xml:space="preserve">Booking confirmed ✅ 
Farm number 11
₹1000 advance received
28 Apr 2025 at 9:00 AM to 28 Apr 2025 at 6:00 PM
2 Persons Max
Rent: ₹3000
Deposit: ₹1000
Deposit Refund after check out.</t>
  </si>
  <si>
    <t xml:space="preserve">Booked by Darsh</t>
  </si>
  <si>
    <t xml:space="preserve">Booking confirmed ✅ 
Farm number 11
₹2000 advance received
28 Apr 2025 at 7:00 PM to 29 Apr 2025 at 6:00 PM
6 Persons Max
Rent: ₹5500
Deposit: ₹2000
Deposit Refund after check out.</t>
  </si>
  <si>
    <t xml:space="preserve">Booked by Girish</t>
  </si>
  <si>
    <t xml:space="preserve">Booking confirmed ✅ 
Farm number 11
₹2000 advanced received
30 Apr 2025 at 8:00 AM to 30 Apr 2025 at 6:00 PM
6 Persons Max
Rent: ₹4000
Deposit: ₹2000
Deposit Refund after check out.</t>
  </si>
  <si>
    <t xml:space="preserve">Booking confirmed ✅ 
Farm number 11
₹1000 advance received
+91 8733-839699
30 Apr 2025 at 7:00 PM to 1 May 2025 at 6:00 PM
12 Persons Max
Rent: ₹5500
Deposit: ₹2000
Deposit Refund after check out.</t>
  </si>
  <si>
    <t xml:space="preserve">Booked by Masi’s chokro</t>
  </si>
  <si>
    <t xml:space="preserve">Rent: ₹5000</t>
  </si>
  <si>
    <t xml:space="preserve">booked by Atul</t>
  </si>
  <si>
    <t xml:space="preserve">Rent: 0</t>
  </si>
  <si>
    <t xml:space="preserve">Booked by Manish Jadav</t>
  </si>
  <si>
    <t xml:space="preserve">Booking confirmed ✅ 
Farm number 11
₹5000 advanced received
3 May 2025 at 7:00 PM to 4 May 2025 at 6:00 PM
12 Persons Max
Rent: ₹12000
Deposit: ₹2000
Deposit Refund after check out.</t>
  </si>
  <si>
    <t xml:space="preserve">Booked by Nayan</t>
  </si>
  <si>
    <t xml:space="preserve">Booking confirmed ✅ 
Farm number 11
₹2000 advance received
5 May 2025 at 8:00 AM to 5 May 2025 at 7:00 PM
15 Persons Max
Rent: ₹4500
Deposit: ₹2000
Deposit Refund after check out.</t>
  </si>
  <si>
    <t xml:space="preserve">Booked by Manoj Kachhadia</t>
  </si>
  <si>
    <t xml:space="preserve">Booking confirmed ✅ 
Farm number 11
₹1000 advance received 
6 May 2025 at 1:00 PM to 6 May 2025 at 6:00 PM
2 Persons Max
Rent: ₹2000
Deposit: ₹1000
Deposit Refund after check out.</t>
  </si>
  <si>
    <t xml:space="preserve">Booked by Kavya</t>
  </si>
  <si>
    <t xml:space="preserve">Booking confirmed ✅ 
Farm number 11
₹2000 advance received 
6 May 2025 at 7:00 PM to 7 May 2025 at 6:00 PM
10 Persons Max
Rent: ₹5500
Deposit: ₹2000
Deposit Refund after check out.</t>
  </si>
  <si>
    <t xml:space="preserve">Booked by Savaliya M L</t>
  </si>
  <si>
    <t xml:space="preserve">Booking confirmed ✅ 
8 May 2025 at 10:00 PM to 9 May 2025 at 9:00 AM
12 Persons Max
Rent: ₹2500
Deposit: ₹1000
Deposit Refund after check out.</t>
  </si>
  <si>
    <t xml:space="preserve">Booked by Rahul chauhan</t>
  </si>
  <si>
    <t xml:space="preserve">Booking confirmed ✅ 
9 May 2025 at 7:00 PM to 10 May 2025 at 10:00 AM
10 Persons Max
Rent: ₹3000
Deposit: ₹1000
Deposit Refund after check out.</t>
  </si>
  <si>
    <t xml:space="preserve">Naitik pandya</t>
  </si>
  <si>
    <t xml:space="preserve">
10 May 2025 at 10:00 AM to 10 May 2025 at 6:00 PM
7 Persons Max
Rent: ₹2000
Deposit: ₹1000
Deposit Refund after check out.</t>
  </si>
  <si>
    <t xml:space="preserve">Booked by Renish gajera</t>
  </si>
  <si>
    <t xml:space="preserve">
10 May 2025 at 7:00 PM to 11 May 2025 at 6:00 PM
12 Persons Max
Rent: ₹10000
Deposit: ₹2000
Deposit Refund after check out.</t>
  </si>
  <si>
    <t xml:space="preserve">Booked by Jay kunvariya</t>
  </si>
  <si>
    <t xml:space="preserve">Booking confirmed ✅ 
12 May 2025 at 11:00 AM to 12 May 2025 at 5:00 PM
2 Persons Max
Rent: ₹2000
Deposit: ₹1000
Deposit Refund after check out.</t>
  </si>
  <si>
    <t xml:space="preserve">Booking confirmed ✅ 
Farm number 11
₹2000 advance received
12 May 2025 at 7:00 PM to 13 May 2025 at 6:00 PM
20 Persons Max
Rent: ₹6000
Deposit: ₹2000
Deposit Refund after check out.</t>
  </si>
  <si>
    <t xml:space="preserve">Booked by Jenish Rana</t>
  </si>
  <si>
    <t xml:space="preserve">Booking confirmed ✅ 
Farm number 11
₹2000 advance received
+91 90163 85374
13 May 2025 at 7:00 PM to 14 May 2025 at 6:00 PM
14 Persons Max
Rent: ₹5500
Deposit: ₹2000
Deposit Refund after check out.</t>
  </si>
  <si>
    <t xml:space="preserve">Booked by Dhruv Ghodani</t>
  </si>
  <si>
    <t xml:space="preserve">Booking confirmed ✅ 
₹1000 Advance received 
14 May 2025 at 7:00 PM to 15 May 2025 at 7:00 AM
15 Persons Max
Rent: ₹2000
Deposit: ₹1000
Deposit Refund after check out.</t>
  </si>
  <si>
    <t xml:space="preserve">₹2000 advance received 
8 Persons Max
Rent: ₹4000
Deposit: ₹2000
Deposit Refund after check out.</t>
  </si>
  <si>
    <t xml:space="preserve">Booked by Lalkrushan</t>
  </si>
  <si>
    <t xml:space="preserve">Booking confirmed ✅ 
₹2000 Advance received 
15 May 2025 at 7:00 PM to 17 May 2025 at 6:00 PM
15 Persons Max
Rent: ₹10000
Deposit: ₹2000
Deposit Refund after check out.</t>
  </si>
  <si>
    <t xml:space="preserve">Booked by Bhavesh rana</t>
  </si>
  <si>
    <t xml:space="preserve">Booking confirmed 
₹5000 advance received 
15 Persons Max
Rent: ₹11500
Deposit: ₹2000
Deposit Refund after check out.</t>
  </si>
  <si>
    <t xml:space="preserve">Booked by Sagar Sabhaya</t>
  </si>
  <si>
    <t xml:space="preserve">
₹2000 advance received 
22 Persons Max
Rent: ₹5000
Deposit: ₹2000
</t>
  </si>
  <si>
    <t xml:space="preserve">Booked by Jayakantbhai </t>
  </si>
  <si>
    <t xml:space="preserve">
₹2000 advance received 
18 Persons Max
Rent: ₹5500
Deposit: ₹2000
</t>
  </si>
  <si>
    <t xml:space="preserve">Booked by Mayank shukla</t>
  </si>
  <si>
    <t xml:space="preserve">Booking confirmed ✅ 
Farm number 11
₹2000 advance received 
15 Persons Max
Rent: ₹5000
Deposit: ₹2000
Deposit Refund after check out.</t>
  </si>
  <si>
    <t xml:space="preserve">Booked by Dinesh joshi</t>
  </si>
  <si>
    <t xml:space="preserve">₹2000 advance received 
8 Persons Max
Rent: ₹5000
Deposit: ₹2000</t>
  </si>
  <si>
    <t xml:space="preserve">Booked by Fenil Gopani</t>
  </si>
  <si>
    <t xml:space="preserve">
₹2000 advance received 
20 Persons Max
Rent: ₹5500
Deposit: ₹2000
</t>
  </si>
  <si>
    <t xml:space="preserve">Booked by Saurav Rajput</t>
  </si>
  <si>
    <t xml:space="preserve">Booking confirmed ✅ 
₹500 advance received 
8 Persons Max
Rent: ₹2500
Deposit: ₹1000
</t>
  </si>
  <si>
    <t xml:space="preserve">Booked by Miten savani</t>
  </si>
  <si>
    <t xml:space="preserve">Booking confirmed ✅ 
₹2000 advance received 
4 Persons Max
Rent: ₹3500
Deposit: ₹1000
</t>
  </si>
  <si>
    <t xml:space="preserve">Booked by Vraj Beladiya</t>
  </si>
  <si>
    <t xml:space="preserve">
₹5000 advance received 
20 Persons Max
Rent: ₹11000
Deposit: ₹2000
</t>
  </si>
  <si>
    <t xml:space="preserve">Booked by Sujit</t>
  </si>
  <si>
    <t xml:space="preserve">
₹1000 advance received 
10 Persons Max
Rent: ₹2500
Deposit: ₹1000
</t>
  </si>
  <si>
    <t xml:space="preserve">
Farm number 11
₹500 advance received 
18 Persons Max
Rent: ₹2550
Deposit: ₹500
₹3000 -150(vasan)-300
Deposit Refund after check out.</t>
  </si>
  <si>
    <t xml:space="preserve">
₹500 advance received 
5 Persons Max
Rent: ₹2500
Deposit: ₹1000
</t>
  </si>
  <si>
    <t xml:space="preserve">Booked by Shravan Ankur</t>
  </si>
  <si>
    <t xml:space="preserve">
Farm number 11
₹1000 advance received
9 Persons Max
Rent: ₹3500
Deposit: ₹2000
Deposit Refund after check out.</t>
  </si>
  <si>
    <t xml:space="preserve">Booked by Anil Kalsariya</t>
  </si>
  <si>
    <t xml:space="preserve">Rent: ₹2000
Deposit: ₹1000</t>
  </si>
  <si>
    <t xml:space="preserve">Booked by kalpeshbhai</t>
  </si>
  <si>
    <t xml:space="preserve">
₹2000 advance received 
10 Persons Max
Rent: ₹3000
Deposit: ₹1000
</t>
  </si>
  <si>
    <t xml:space="preserve">28 May 2025 at 9:00 PM to 29 May 2025 at 6:00 PM
15 Persons Max
Rent: ₹4000
Deposit: ₹1000
Deposit Refund after check out.</t>
  </si>
  <si>
    <t xml:space="preserve">Booked by Mayur Padvani</t>
  </si>
  <si>
    <t xml:space="preserve">
10 Persons Max
Rent: ₹5000
Deposit: ₹2000
₹2000 advance received 
</t>
  </si>
  <si>
    <t xml:space="preserve">Booked by Nikunj Jariwala</t>
  </si>
  <si>
    <t xml:space="preserve">₹2000 advance received
30 May 2025 at 7:00 PM to 31 May 2025 at 6:00 PM
10 Persons Max
Rent: ₹5000
Deposit: ₹2000
Deposit Refund after check out.</t>
  </si>
  <si>
    <t xml:space="preserve">Booked by Harsh ghalani</t>
  </si>
  <si>
    <t xml:space="preserve">Booking confirmed
₹5000 advance received
31 May 2025 at 7:00 PM to 1 Jun 2025 at 6:00 PM
10 Persons Max
Rent: ₹12000
Deposit: ₹2000
Deposit Refund after check out.</t>
  </si>
  <si>
    <t xml:space="preserve">Booked by Ghanshyambhai nasit</t>
  </si>
  <si>
    <t xml:space="preserve">
₹2000 advance received 
20 Persons Max
Rent: ₹5000
Deposit: ₹2000
</t>
  </si>
  <si>
    <t xml:space="preserve">Call with Chet</t>
  </si>
  <si>
    <t xml:space="preserve">Booked by Mukesh aditya</t>
  </si>
  <si>
    <t xml:space="preserve">Booking confirmed ✅ 
₹2000 advance received 
Farm number 11
15 Persons Max
Rent: ₹5500
Deposit: ₹2000
Deposit Refund after check out.</t>
  </si>
  <si>
    <t xml:space="preserve">Booked by Deep vadi</t>
  </si>
  <si>
    <t xml:space="preserve">₹1000 advance received 
2 Persons Max
Rent: ₹3000
Deposit: ₹500
</t>
  </si>
  <si>
    <t xml:space="preserve">Couple Half Night</t>
  </si>
  <si>
    <t xml:space="preserve">Booked by Agent </t>
  </si>
  <si>
    <t xml:space="preserve">
Rent: ₹2500
</t>
  </si>
  <si>
    <t xml:space="preserve">Booked by Nisarg</t>
  </si>
  <si>
    <t xml:space="preserve">
₹2000 advance received 
15 Persons Max
Rent: ₹5500
Deposit: ₹2000
</t>
  </si>
  <si>
    <t xml:space="preserve">Booking confirmed ✅ 
₹2000 advance received
5 Jun 2025 at 7:00 PM to 6 Jun 2025 at 6:00 PM
12 Persons Max
Rent: ₹5500
Deposit: ₹2000
Deposit Refund after check out.</t>
  </si>
  <si>
    <t xml:space="preserve">Booked by chirag ramani</t>
  </si>
  <si>
    <t xml:space="preserve">
₹1500 received 
2 Persons Max
Rent: ₹1500
Deposit: ₹500
</t>
  </si>
  <si>
    <t xml:space="preserve">Booked by Mohit Nimavat</t>
  </si>
  <si>
    <t xml:space="preserve">7 Jun 2025 at 11:00 AM to 7 Jun 2025 at 6:00 PM
8 Persons Max
Rent: ₹2000
Deposit: ₹1000
Deposit Refund after check out.</t>
  </si>
  <si>
    <t xml:space="preserve">Booking confirmed ✅ 
Farm number 11
₹2000 advance received
7 Jun 2025 at 7:00 PM to 8 Jun 2025 at 8:00 AM
18 Persons Max
Rent: ₹5000
Deposit: ₹2000
Deposit Refund after check out.</t>
  </si>
  <si>
    <t xml:space="preserve">
₹3000 advance received 
4 Persons
Rent: ₹6000
Deposit: ₹2000
</t>
  </si>
  <si>
    <t xml:space="preserve">Booked by Chirag Ramani</t>
  </si>
  <si>
    <t xml:space="preserve">
₹2000 received 
2 Persons Max
Rent: ₹1500
Deposit: ₹500
</t>
  </si>
  <si>
    <t xml:space="preserve">Booking confirmed ✅ 
Farm number 11
₹4000 received 
9 Jun 2025 at 9:00 AM to 9 Jun 2025 at 6:00 PM
10 Persons Max
Rent: ₹3000
Deposit: ₹2000
Deposit Refund after check out.</t>
  </si>
  <si>
    <t xml:space="preserve">Booked by Pravanbhai Parmar</t>
  </si>
  <si>
    <t xml:space="preserve">
₹2000 advance received 
8 Persons Max
Rent: ₹3000
Deposit: ₹2000
</t>
  </si>
  <si>
    <t xml:space="preserve">
Rent: ₹1500
</t>
  </si>
  <si>
    <t xml:space="preserve">Booked by Prince pandey</t>
  </si>
  <si>
    <t xml:space="preserve">
₹1000 advance received 
10 Persons Max
Rent: ₹2500
Deposit: ₹1000
</t>
  </si>
  <si>
    <t xml:space="preserve">
₹1000 advance received 
2 Persons Max
Rent: ₹2500
Deposit: ₹1000
</t>
  </si>
  <si>
    <t xml:space="preserve">Booked by Aakash singh</t>
  </si>
  <si>
    <t xml:space="preserve">
₹1000 received 
15 Persons Max
Rent: ₹2500
Deposit: ₹1000
</t>
  </si>
  <si>
    <t xml:space="preserve">Booked by Vaibhavi Patel</t>
  </si>
  <si>
    <t xml:space="preserve">
₹1000 advance received 
4 Persons Max
Rent: ₹2500
Deposit: ₹2000
</t>
  </si>
  <si>
    <t xml:space="preserve">Booked by Dhyey Vadhadiya</t>
  </si>
  <si>
    <t xml:space="preserve">
₹4000 advance received 
15 Persons Max
Rent: ₹10000
Deposit: ₹2000
</t>
  </si>
  <si>
    <t xml:space="preserve">Booked by Harsh Kanoje</t>
  </si>
  <si>
    <t xml:space="preserve">
₹1000 advance received 
10 Persons Max
Rent: ₹4500
Security Deposit: ₹1000 
</t>
  </si>
  <si>
    <t xml:space="preserve">Booked by Viraj Parakhiya</t>
  </si>
  <si>
    <t xml:space="preserve">
₹1000 advance received 
2 Persons Max
Rent: ₹2400
Deposit: ₹500
</t>
  </si>
  <si>
    <t xml:space="preserve">Booked by Rabindra swain</t>
  </si>
  <si>
    <t xml:space="preserve">
₹500 received 
10 Persons Max
Rent: ₹2500
Deposit: ₹500
</t>
  </si>
  <si>
    <t xml:space="preserve">Booked by mukesh vadadoriya</t>
  </si>
  <si>
    <t xml:space="preserve">Booking confirmed ✅ 
Farm number 11
₹1000 advance received 
2 Persons Max
Rent: ₹2000
Deposit: ₹500
</t>
  </si>
  <si>
    <t xml:space="preserve">Booked by Nitesh</t>
  </si>
  <si>
    <t xml:space="preserve">₹1000 advance received 
20 Jun 2025 at 7:00 PM to 21 Jun 2025 at 6:00 PM
8 Persons Max
Rent: ₹4500
Deposit: ₹2000
Deposit Refund after check out.</t>
  </si>
  <si>
    <t xml:space="preserve">Booked by Ketan sir</t>
  </si>
  <si>
    <t xml:space="preserve">Booking confirmed
Farm number 11
₹2000 advance received 
Ref: Ketan Sir
21 Jun 2025 at 7:00 PM to 22 Jun 2025 at 6:00 PM
15 Persons Max
Rent: ₹0
Deposit: ₹2000
Deposit Refund after check out.</t>
  </si>
  <si>
    <t xml:space="preserve">Booked by Chirag Sonpal</t>
  </si>
  <si>
    <t xml:space="preserve">Booking confirmed ✅ 
Farm number 11
₹500 received 
22 Jun 2025 at 8:00 PM to 23 Jun 2025 at 6:00 PM
2 Persons Max
Rent: ₹3500
Deposit: ₹500
Deposit Refund after check out.</t>
  </si>
  <si>
    <t xml:space="preserve">Booked by Smit Solanki</t>
  </si>
  <si>
    <t xml:space="preserve">
₹1000 advance received 
15 Persons Max
Rent: ₹4000
Deposit: ₹1000
</t>
  </si>
  <si>
    <t xml:space="preserve">Booked by Kenil Patel</t>
  </si>
  <si>
    <t xml:space="preserve">
₹1000 advance received
2 Persons Max
Rent: ₹2300
Deposit: ₹1000
</t>
  </si>
  <si>
    <t xml:space="preserve">Booked by Hitesh Fofliya</t>
  </si>
  <si>
    <t xml:space="preserve">
₹1000 received 
15 Persons Max
Rent: ₹3000
Deposit: ₹1000
</t>
  </si>
  <si>
    <t xml:space="preserve">Booked by Solanki Mihir</t>
  </si>
  <si>
    <t xml:space="preserve">₹1000 received 
4 Persons Max
Rent: ₹3500
Deposit: ₹1000
</t>
  </si>
  <si>
    <t xml:space="preserve">Booked by Manish Sada</t>
  </si>
  <si>
    <t xml:space="preserve">Booking confirmed ✅ 
₹1000 advance received
29 Jun 2025 at 7:00 PM to 30 Jun 2025 at 6:00 PM
10 Persons Max
Rent: ₹3500
Deposit: ₹1000
Deposit Refund after check out.</t>
  </si>
  <si>
    <t xml:space="preserve">Patel Mihir</t>
  </si>
  <si>
    <t xml:space="preserve">Farm number 12
Rent: ₹500
</t>
  </si>
  <si>
    <t xml:space="preserve">Booked by Indrapratap Singh</t>
  </si>
  <si>
    <t xml:space="preserve">
₹500 received 
2 Persons Max
Rent: ₹2000
Deposit: ₹500
</t>
  </si>
  <si>
    <t xml:space="preserve">Booked by Bhagya shah</t>
  </si>
  <si>
    <t xml:space="preserve">
₹2000 received 
15 Persons Max
Rent: ₹5000
Deposit: ₹2000
</t>
  </si>
  <si>
    <t xml:space="preserve">Booked by Mehul Jethva</t>
  </si>
  <si>
    <t xml:space="preserve">
₹500 advance received 
8 Persons Max
Rent: ₹2000
Deposit: ₹500
</t>
  </si>
  <si>
    <t xml:space="preserve">Booked by Rutvik Mandanka</t>
  </si>
  <si>
    <t xml:space="preserve">₹500 advance received 
Vinit Pipaliya
2 Persons Max
Rent: ₹2000
Deposit: ₹500
</t>
  </si>
  <si>
    <t xml:space="preserve">Booked by Heet</t>
  </si>
  <si>
    <t xml:space="preserve">
Farm number 11
₹500 received 
2 Persons Max
Rent: ₹2000
Deposit: ₹500
</t>
  </si>
  <si>
    <t xml:space="preserve">Booked by Mit kukadiya</t>
  </si>
  <si>
    <t xml:space="preserve">
Farm number 11
₹500 advance received 
2 Persons Max
Rent: ₹2000
Deposit: ₹500
</t>
  </si>
  <si>
    <t xml:space="preserve">Booked by Tanmay Agarval</t>
  </si>
  <si>
    <t xml:space="preserve">
₹1000 received 
12 Persons Max
Rent: ₹3000
Deposit: ₹1000
</t>
  </si>
  <si>
    <t xml:space="preserve">Booked by Ganesh Vasava</t>
  </si>
  <si>
    <t xml:space="preserve">
₹1000 received 
15 Persons Max
Rent: ₹4500
Deposit: ₹2000
</t>
  </si>
  <si>
    <t xml:space="preserve">Booked by Gaurang Patel</t>
  </si>
  <si>
    <t xml:space="preserve">
₹1000 received 
Farm number 11
5 Persons Max
Rent: ₹2500
Deposit: ₹1000
</t>
  </si>
  <si>
    <t xml:space="preserve">Booked by patel mihir</t>
  </si>
  <si>
    <t xml:space="preserve">
Booking confirmed ✅ 
Farm number 11
₹2000 received 
2 Persons Max
Rent: ₹2000
Deposit: ₹500
</t>
  </si>
  <si>
    <t xml:space="preserve">Booked by Parmar Darshan</t>
  </si>
  <si>
    <t xml:space="preserve">Booking confirmed ✅ 
Farm number 11
₹500 received 
6 Persons Max
Rent: ₹2000
Deposit: ₹500
</t>
  </si>
  <si>
    <t xml:space="preserve">Booked by Roshani modi</t>
  </si>
  <si>
    <t xml:space="preserve">
Farm number 11
₹1000 received 
12 Persons Max
Rent: ₹4000
Deposit: ₹1000
</t>
  </si>
  <si>
    <t xml:space="preserve">Booked by Himanshu Chandak</t>
  </si>
  <si>
    <t xml:space="preserve">Booked in Agent shyam
Rate ₹2000 
2 Persons Max
Rent: ₹1000
Deposit: ₹1000
Deposit Refund after check out.</t>
  </si>
  <si>
    <t xml:space="preserve">Booked by jitu padhara</t>
  </si>
  <si>
    <t xml:space="preserve">Booking confirmed ✅ 
Farm number 11
₹1000 advance received
19 Jul 2025 at 7:00 PM to 20 Jul 2025 at 6:00 PM
13 Persons Max
Rent: ₹4500
Deposit: ₹1000
Deposit Refund after check out.</t>
  </si>
  <si>
    <t xml:space="preserve">Booked by Kurhe Hrishabh</t>
  </si>
  <si>
    <t xml:space="preserve">
Farm number 11
₹1000 received 
2 Persons Max
Rent: ₹5500
Deposit: ₹1000
</t>
  </si>
  <si>
    <t xml:space="preserve">Booked by Yogesh bhanderi</t>
  </si>
  <si>
    <t xml:space="preserve">
₹500 received 
Farm number 11
10 Persons Max
Rent: ₹3000
Deposit: ₹500
</t>
  </si>
  <si>
    <t xml:space="preserve">Booked by Bhavin chandekar</t>
  </si>
  <si>
    <t xml:space="preserve">Booking confirmed ✅ 
₹1000 received 
Rate ₹2300 
₹1300 pending to Agent shyam
12 Persons Max
Rent: ₹700
Deposit: ₹1000
</t>
  </si>
  <si>
    <t xml:space="preserve">Booked by Rohit sharma</t>
  </si>
  <si>
    <t xml:space="preserve">Booking confirmed ✅ 
Farm number 11
₹1000 received 
2 Persons Max
Rent: ₹2500
Deposit: ₹500
</t>
  </si>
  <si>
    <t xml:space="preserve">Booked by Vanraj</t>
  </si>
  <si>
    <t xml:space="preserve">Booking confirmed ✅ 
Farm number 11
₹500 received 
25 Jul 2025 at 10:00 AM to 25 Jul 2025 at 7:00 PM
8 Persons Max
Rent: ₹2500
Deposit: ₹1000
Deposit Refund after check out.</t>
  </si>
  <si>
    <t xml:space="preserve">Booked by Abhay Singh</t>
  </si>
  <si>
    <t xml:space="preserve">
₹500 received 
8 Persons Max
Rent: ₹3000
Deposit: ₹1000
</t>
  </si>
  <si>
    <t xml:space="preserve">Booking confirmed
₹500 advance received
28 Jul 2025 at 9:00 AM to 28 Jul 2025 at 6:00 PM
2 Persons Max
Rent: ₹2000
Deposit: ₹500
Deposit Refund after check out.</t>
  </si>
  <si>
    <t xml:space="preserve">Booked by Kalsariya hardik</t>
  </si>
  <si>
    <t xml:space="preserve">
₹500 received 
2 Persons Max
Rent: ₹1800
Deposit: ₹500
</t>
  </si>
  <si>
    <t xml:space="preserve">Booked by Rahul Gelani</t>
  </si>
  <si>
    <t xml:space="preserve">
Farm number 11
₹500 received
2 Persons Max without pool
Rent: ₹1500
Deposit: ₹500
</t>
  </si>
  <si>
    <t xml:space="preserve">Booked by Krish Dusane</t>
  </si>
  <si>
    <t xml:space="preserve">
₹1000 advance received
7 Persons Max
Rent: ₹2200
Deposit: ₹1000
Deposit Refund after check out.</t>
  </si>
  <si>
    <t xml:space="preserve">Booked by Ankit Beladiya</t>
  </si>
  <si>
    <t xml:space="preserve">Booking confirmed ✅ 
₹1000 advance received
2 Aug 2025 at 7:00 PM to 3 Aug 2025 at 6:00 PM
12 Persons Max
Rent: ₹4500
Deposit: ₹1000
Deposit Refund after check out.</t>
  </si>
  <si>
    <t xml:space="preserve">Booked by Dharmik Jadav</t>
  </si>
  <si>
    <t xml:space="preserve">
₹1000 received 
5 Persons Max
Rent: ₹3000
Deposit: ₹1000
</t>
  </si>
  <si>
    <t xml:space="preserve">Booked by Maurya Atul </t>
  </si>
  <si>
    <t xml:space="preserve">
₹1000 received 
4 Persons Max
Rent: ₹2500
Deposit: ₹500
</t>
  </si>
  <si>
    <t xml:space="preserve">Booking confirmed ✅ 
Farm number 11
₹1000 advance received
8 Aug 2025 at 9:00 AM to 8 Aug 2025 at 6:00 PM
5 Persons Max
Rent: ₹2700
Deposit: ₹1000
Deposit Refund after check out.</t>
  </si>
  <si>
    <t xml:space="preserve">Booked by Falguni Sarvaiya</t>
  </si>
  <si>
    <t xml:space="preserve">
Farm number 11
₹1000 received 
10 Persons Max
Rent: ₹4500
Deposit: ₹1000
</t>
  </si>
  <si>
    <t xml:space="preserve">Booked by Yash Virani</t>
  </si>
  <si>
    <t xml:space="preserve">
₹1000 received 
7 Persons Max
Rent: ₹4500
Deposit: ₹1000
</t>
  </si>
  <si>
    <t xml:space="preserve">Booking confirmed ✅ 
Farm number 11
₹1000 advance received
11 Aug 2025 at 7:00 PM to 12 Aug 2025 at 6:00 PM
10 Persons Max
Rent: ₹3500
Deposit: ₹1000
Deposit Refund after check out.</t>
  </si>
  <si>
    <t xml:space="preserve">Aarchi khatri</t>
  </si>
  <si>
    <t xml:space="preserve">
₹1000 received 
4 Persons Max
Rent: ₹3000
Deposit: ₹1000
Deposit Refund after check out.</t>
  </si>
  <si>
    <t xml:space="preserve">Booked by Dheeraj Malani</t>
  </si>
  <si>
    <t xml:space="preserve">
₹2000 received 
8 Persons Max
Rent: ₹4500
Deposit: ₹2000
</t>
  </si>
  <si>
    <t xml:space="preserve">Booked by Rakesh valiya</t>
  </si>
  <si>
    <t xml:space="preserve">
₹1000 received 
10 Persons Max
Rent: ₹6500
Deposit: ₹2000
</t>
  </si>
  <si>
    <t xml:space="preserve">Booked by Dev Patel</t>
  </si>
  <si>
    <t xml:space="preserve">
₹1000 received 
10 Persons Max
Rent: ₹1000
Deposit: ₹1000
Deposit Refund after check out.</t>
  </si>
  <si>
    <t xml:space="preserve">Booked by Suba Ajay</t>
  </si>
  <si>
    <t xml:space="preserve">Booking confirmed 
Farm number 11
₹1000 received 
10 Persons Max
Rent: ₹5000
Deposit: ₹1000
Deposit Refund after check out.</t>
  </si>
  <si>
    <t xml:space="preserve">Booked by Shyamal</t>
  </si>
  <si>
    <t xml:space="preserve">Booking confirmed ✅ 
Farm number 11
₹1000 advance received
3 Persons Max
Rent: ₹4000
Deposit: ₹1000
Deposit Refund after check out.</t>
  </si>
  <si>
    <t xml:space="preserve">Booked by Vandana Patel</t>
  </si>
  <si>
    <t xml:space="preserve">Booked by Vrusha Rajput</t>
  </si>
  <si>
    <t xml:space="preserve">
Farm number 11
₹500 received 
7 Persons Max
Rent: ₹3500
Deposit: ₹1000
Deposit Refund after check out.</t>
  </si>
  <si>
    <t xml:space="preserve">Booked by Divya</t>
  </si>
  <si>
    <t xml:space="preserve">Rent:500</t>
  </si>
  <si>
    <t xml:space="preserve">Booking confirmed ✅ 
Farm number 11
₹1000 advance received
23 Aug 2025 at 7:00 PM to 24 Aug 2025 at 6:00 PM
10 Persons Max
Rent: ₹3500
Deposit: ₹1000
Deposit Refund after check out.</t>
  </si>
  <si>
    <t xml:space="preserve">Booked by Roshan</t>
  </si>
  <si>
    <t xml:space="preserve">₹1000 advance received
5 Persons Max
Rent: ₹2500
Deposit: ₹1000
</t>
  </si>
  <si>
    <t xml:space="preserve">Booked by milan</t>
  </si>
  <si>
    <t xml:space="preserve">₹500 received 
2 Persons Max
Rent: ₹1500
Deposit: ₹500
Deposit Refund after check out.</t>
  </si>
  <si>
    <t xml:space="preserve">Booking confirmed ✅ 
Farm number 11
₹1000 advance received
27 Aug 2025 at 7:00 PM to 28 Aug 2025 at 6:00 PM
10 Persons Max
Rent: ₹3500
Deposit: ₹1000
Deposit Refund after check out.</t>
  </si>
  <si>
    <t xml:space="preserve">Booking confirmed ✅ 
₹500 received 
29 Aug 2025 at 9:00 AM to 29 Aug 2025 at 6:00 PM
2 Persons Max with pool
Rent: ₹3500
Deposit: ₹500
2500 rent + 1000 commision on agent booking
Deposit Refund after check out.</t>
  </si>
  <si>
    <t xml:space="preserve">
Farm number 11
₹500 received 
5 Persons Max
Rent: ₹2500
Deposit: ₹500
</t>
  </si>
  <si>
    <t xml:space="preserve">Booked by Shashi</t>
  </si>
  <si>
    <t xml:space="preserve">
2 Persons Max
Rent: ₹1500
Deposit: ₹500
Deposit Refund after check out.</t>
  </si>
  <si>
    <t xml:space="preserve">
₹1000 received 
17 Persons Max
Rent: ₹3200
Deposit: ₹1000
Deposit Refund after check out.</t>
  </si>
  <si>
    <t xml:space="preserve">Booked by kishan kheni</t>
  </si>
  <si>
    <t xml:space="preserve">Booking cancelled 
Farm number 11
₹1000 received 
12 Persons Max
Rent: ₹1000
Deposit: ₹2000
Deposit Refund after check out.</t>
  </si>
  <si>
    <t xml:space="preserve">Booked by nilesh </t>
  </si>
  <si>
    <t xml:space="preserve">Booking confirmed ✅ 
₹1000 received 
Farm number 11
10 Persons Max
Rent: ₹3000
Deposit: ₹1000
Deposit Refund after check out.</t>
  </si>
  <si>
    <t xml:space="preserve">Booked by mukesh sonwane</t>
  </si>
  <si>
    <t xml:space="preserve">
7 Persons Max
Rent: ₹2200
Deposit: ₹1000
</t>
  </si>
  <si>
    <t xml:space="preserve"> Booked by Krunal Patel</t>
  </si>
  <si>
    <t xml:space="preserve">Booking confirmed ✅ 
Farm number 11
₹500 received 
10 Sep 2025 at 10:00 AM to 10 Sep 2025 at 6:00 PM
2 Persons Max
Rent: ₹1500 without pool
Deposit: ₹500
Deposit Refund after check out.</t>
  </si>
  <si>
    <t xml:space="preserve">Booked by amit chauhan</t>
  </si>
  <si>
    <t xml:space="preserve">
₹500 received 
2 Persons Max
Rent: ₹1500 without pool
Deposit: ₹500
Deposit Refund after check out.</t>
  </si>
  <si>
    <t xml:space="preserve">Booked by rubindra swain</t>
  </si>
  <si>
    <t xml:space="preserve">
₹500 received 
6 Persons Max
Rent: ₹2500
Deposit: ₹1000
</t>
  </si>
  <si>
    <t xml:space="preserve">Booked by Dhruv Dodiya</t>
  </si>
  <si>
    <t xml:space="preserve">Booking confirmed ✅ 
Farm number 11
₹500 advance received
12 Sep 2025 at 9:00 AM to 12 Sep 2025 at 6:00 PM
2 Persons Max without pool
Rent: ₹1500
Deposit: ₹500
Deposit Refund after check out.</t>
  </si>
  <si>
    <t xml:space="preserve">Booked by Subham Mishara</t>
  </si>
  <si>
    <t xml:space="preserve">Booking confirmed ✅ 
Farm number 11
₹500 received 
2 Persons Max
Rent: ₹2000
Deposit: ₹500
Deposit Refund after check out.</t>
  </si>
  <si>
    <t xml:space="preserve">Booked by Dinesh Chawdhari</t>
  </si>
  <si>
    <t xml:space="preserve">Booking confirmed ✅ 
Farm number 11
₹1000 received 
10 Persons Max
Rent: ₹4000
Deposit: ₹1000
Deposit Refund after check out.</t>
  </si>
  <si>
    <t xml:space="preserve">Booked by prakash kachhi</t>
  </si>
  <si>
    <t xml:space="preserve">Booked by nitin kumar</t>
  </si>
  <si>
    <t xml:space="preserve">Booking confirmed ✅ 
Farm number 11
₹1000 received 
6 Persons Max
Rent: ₹2200
Deposit: ₹500
Deposit Refund after check out.</t>
  </si>
  <si>
    <t xml:space="preserve">Booking confirmed ✅ 
Farm number 11
₹500 received 
4 Persons Max
Rent: ₹2200
Deposit: ₹500
Deposit Refund after check out.</t>
  </si>
  <si>
    <t xml:space="preserve">Booked by dhruv bajariya</t>
  </si>
  <si>
    <t xml:space="preserve">18 Sep 2025 at 2:00 PM to 20 Sep 2025 at 9:00 AM
10 Persons Max
Rent: ₹1500
Deposit: ₹1000
Deposit Refund after check out.</t>
  </si>
  <si>
    <t xml:space="preserve">Booked by Nishant Shah</t>
  </si>
  <si>
    <t xml:space="preserve">Booking confirmed ✅ 
Farm number 11
₹1000 advance received
20 Sep 2025 at 7:00 PM to 21 Sep 2025 at 6:00 PM
10 Persons Max
Rent: ₹1000
Deposit: ₹1000
Deposit Refund after check out.</t>
  </si>
  <si>
    <t xml:space="preserve">Booked by rahul</t>
  </si>
  <si>
    <t xml:space="preserve">Booking confirmed ✅ 
Farm number 11
₹1000 received 
7 Persons Max
Rent: ₹3000
Deposit: ₹1000
Deposit Refund after check out.</t>
  </si>
  <si>
    <t xml:space="preserve">Booked by Monesh Boricha</t>
  </si>
  <si>
    <t xml:space="preserve">Booking confirmed ✅ 
Farm number 11
₹500 advance received
2 Persons Max without pool
Rent: ₹1500
Deposit: ₹500
Deposit Refund after check out.</t>
  </si>
  <si>
    <t xml:space="preserve">Booked by nitin</t>
  </si>
  <si>
    <t xml:space="preserve">
Farm number 11
₹2000 received 
2 Persons Max
Rent: ₹1500
Deposit: ₹500
Deposit Refund after check out.</t>
  </si>
  <si>
    <t xml:space="preserve">Booked by Maulik</t>
  </si>
  <si>
    <t xml:space="preserve">
Farm number 11
₹1000 received 
4 Persons Max
Rent: ₹2800
Deposit: ₹1000
</t>
  </si>
  <si>
    <t xml:space="preserve">Booked by anshu tiwari</t>
  </si>
  <si>
    <t xml:space="preserve">Booking confirmed ✅ 
Farm number 11
₹1000 received 
12 Persons Max
Rent: ₹2500
Deposit: ₹1000
Deposit Refund after check out.</t>
  </si>
  <si>
    <t xml:space="preserve">Booked by jay bhuva</t>
  </si>
  <si>
    <t xml:space="preserve">
Farm number 11
₹1000 received 
7 Persons Max
Rent: ₹2800
Deposit: ₹1000
Deposit Refund after check out.</t>
  </si>
  <si>
    <t xml:space="preserve">Booked by vaibhavi patel</t>
  </si>
  <si>
    <t xml:space="preserve">Farm number 11
₹1000 received 
4 Persons Max
Rent: ₹2500
Deposit: ₹500
</t>
  </si>
  <si>
    <t xml:space="preserve">Booked by kalpesh dangar</t>
  </si>
  <si>
    <t xml:space="preserve">
Farm number 11
₹1000 received 
4 Persons Max
Rent: ₹3000
Deposit: ₹1000
Deposit Refund after check out.</t>
  </si>
  <si>
    <t xml:space="preserve">Booked by harish singh</t>
  </si>
  <si>
    <t xml:space="preserve">
Farm number 11
₹1000 received 
8 Persons Max
Rent: ₹3500
Deposit: ₹1000
</t>
  </si>
  <si>
    <t xml:space="preserve">Booked by Nevil</t>
  </si>
  <si>
    <t xml:space="preserve">Booking confirmed ✅ 
Farm number 11
₹1500 advance received
6 Oct 2025 at 9:00 AM to 6 Oct 2025 at 6:00 PM
2 Persons Max
Rent: ₹1500
Deposit: ₹500
Deposit Refund after check out.</t>
  </si>
  <si>
    <t xml:space="preserve">Booked by Tapan patel</t>
  </si>
  <si>
    <t xml:space="preserve">
Farm number 11
₹1000 received 
2 Persons Max
Rent: ₹1500
Deposit: ₹500
Deposit Refund after check out.</t>
  </si>
  <si>
    <t xml:space="preserve">Booked by Rajan Yadav</t>
  </si>
  <si>
    <t xml:space="preserve">Booking confirmed ✅ 
Farm number 11
₹1000 advance received
10 Oct 2025 at 7:00 PM to 11 Oct 2025 at 8:00 AM
10 Persons Max
Rent: ₹2500
Deposit: ₹1000
Deposit Refund after check out.</t>
  </si>
  <si>
    <t xml:space="preserve">Booking confirmed ✅ 
Farm number 11
₹500 advance received
11 Oct 2025 at 9:00 AM to 11 Oct 2025 at 6:00 PM
2 Persons Max
Rent: ₹2000
Deposit: ₹500
Deposit Refund after check out.</t>
  </si>
  <si>
    <t xml:space="preserve">Booked by Preet</t>
  </si>
  <si>
    <t xml:space="preserve">
Farm number 11
₹1000 received 
2 Persons Max
Rent: ₹2200
Deposit: ₹500
Deposit Refund after check out.</t>
  </si>
  <si>
    <t xml:space="preserve">Rent: ₹2200</t>
  </si>
  <si>
    <t xml:space="preserve">Booked by Navjeet</t>
  </si>
  <si>
    <t xml:space="preserve">Booking confirmed ✅ 
Farm number 11
₹500 advance received 
13 Oct 2025 at 9:00 AM to 13 Oct 2025 at 6:00 PM
2 Persons Max
Rent: ₹2000
Deposit: ₹500
Deposit Refund after check out.</t>
  </si>
  <si>
    <t xml:space="preserve">Booked by Piyu Patel </t>
  </si>
  <si>
    <t xml:space="preserve">Farm number 11
₹500 received 
2 Persons Max without pool 
Rent: ₹1500
Deposit: ₹500
Deposit Refund after check out.</t>
  </si>
  <si>
    <t xml:space="preserve">
Farm number 11
₹1000 received 
2 Persons Max
Rent: ₹2300
Deposit: ₹500
Deposit Refund after check out.</t>
  </si>
  <si>
    <t xml:space="preserve">Booked by gediya harikrishna</t>
  </si>
  <si>
    <t xml:space="preserve">Booking confirmed ✅ 
Farm number 11
₹500 received 
2 Persons Max without pool
Rent: ₹2000
Deposit: ₹500
Deposit Refund after check out.</t>
  </si>
  <si>
    <t xml:space="preserve">Booked by Dipak</t>
  </si>
  <si>
    <t xml:space="preserve">Booking confirmed ✅ 
Farm number 11
₹500 advance received
4 Persons Max
Rent: ₹2600
Deposit: ₹1000
Deposit Refund after check out.</t>
  </si>
  <si>
    <t xml:space="preserve">17 Oct 2025 at 7:00 PM to 18 Oct 2025 at 8:00 AM
4 Persons Max
Rent: ₹2500
Deposit: ₹500
Deposit Refund after check out.</t>
  </si>
  <si>
    <t xml:space="preserve">Booked by Divyesh Chauhan</t>
  </si>
  <si>
    <t xml:space="preserve">Booking confirmed ✅ 
Farm number 11
₹500 received 
2 Persons Max without pool
Rent: ₹1500
Deposit: ₹500
Deposit Refund after check out.</t>
  </si>
  <si>
    <t xml:space="preserve">Booked by Mohit jain </t>
  </si>
  <si>
    <t xml:space="preserve">
₹1000 received 
Farm number 11
6 Persons Max
Rent: ₹3700
Deposit: ₹1000
Deposit Refund after check out.</t>
  </si>
  <si>
    <t xml:space="preserve">Booked by Sharad shrivastav</t>
  </si>
  <si>
    <t xml:space="preserve">Booking confirmed ✅ 
Farm number 11
₹2000 received
10 Persons Max
Rent: ₹4000
Deposit: ₹1000
Deposit Refund after check out.</t>
  </si>
  <si>
    <t xml:space="preserve">Cancelled by Sahu Govinda </t>
  </si>
  <si>
    <t xml:space="preserve">Booking cancelled 
Rent: ₹1000</t>
  </si>
  <si>
    <t xml:space="preserve">Booked by Dhruvil</t>
  </si>
  <si>
    <t xml:space="preserve">Booking confirmed ✅ 
Farm number 11
₹1000 advance received
22 Oct 2025 at 7:00 PM to 23 Oct 2025 at 6:00 PM
6 Persons Max
Rent: ₹6000
Deposit: ₹1000
Deposit Refund after check out.</t>
  </si>
  <si>
    <t xml:space="preserve">Booking confirmed ✅ 
Farm number 11
₹1000 advance received
23 Oct 2025 at 7:00 PM to 24 Oct 2025 at 8:00 AM
15 Persons Max
Rent: ₹3000
Deposit: ₹1000
Deposit Refund after check out.</t>
  </si>
  <si>
    <t xml:space="preserve">Booked by Vasisth Mistry</t>
  </si>
  <si>
    <t xml:space="preserve">
Farm number 11
₹1000 received 
10 Persons Max
Rent: ₹3500
Deposit: ₹500
Deposit Refund after check out.</t>
  </si>
  <si>
    <t xml:space="preserve">Booked by Manjeet</t>
  </si>
  <si>
    <t xml:space="preserve">Booking confirmed ✅ 
Farm number 11
₹2000 received 
10 Persons Max
Rent: ₹10500
Deposit: ₹1000
Deposit Refund after check out.</t>
  </si>
  <si>
    <t xml:space="preserve">Booked by Dipu Nahak</t>
  </si>
  <si>
    <t xml:space="preserve">Booking confirmed ✅ 
Farm number 11
₹1000 advance received
10 Persons Max
Rent: ₹3000
Security Deposit: ₹1000
Security Deposit Refund after check out.</t>
  </si>
  <si>
    <t xml:space="preserve">Booked by nirmal</t>
  </si>
  <si>
    <t xml:space="preserve">Booking confirmed ✅ 
Farm number 11
₹500 received 
2 Persons Max
Rent: ₹2000 with pool
Deposit: ₹500
Deposit Refund after check out.</t>
  </si>
  <si>
    <t xml:space="preserve">Booking confirmed ✅
Farm number 11
₹1000 advance received
10 Persons Max
Rent: ₹3000
Deposit: ₹1000
Deposit Refund after check out.</t>
  </si>
  <si>
    <t xml:space="preserve">Booking confirmed ✅ 
Farm number 11
₹1000 advance received 
29 Oct 2025 at 7:00 PM to 30 Oct 2025 at 8:00 AM
4 Persons Max
Rent: ₹2500
Deposit: ₹1000
Deposit Refund after check out.</t>
  </si>
  <si>
    <t xml:space="preserve">Booked by Pavan</t>
  </si>
  <si>
    <t xml:space="preserve">Booking confirmed ✅ 
Farm number 11
₹1000 advanve received
31 Oct 2025 at 9:00 PM to 1 Nov 2025 at 9:00 AM
8 Persons Max
Rent: ₹3000
Deposit: ₹1000
Deposit Refund after check out.</t>
  </si>
  <si>
    <t xml:space="preserve">Booked by rahul singh</t>
  </si>
  <si>
    <t xml:space="preserve">Farm number 11
₹1000 received 
12 Persons Max
Rent: ₹6000
Deposit: ₹1000
Deposit Refund after check out.</t>
  </si>
  <si>
    <t xml:space="preserve">Booked by pavan</t>
  </si>
  <si>
    <t xml:space="preserve">Booking confirmed
Farm number 11
₹700 advance received
15 Persons Max
Rent: ₹4000
Deposit: ₹1000
Deposit Refund after check out.</t>
  </si>
  <si>
    <t xml:space="preserve">Booked by Nikhil Parajapati</t>
  </si>
  <si>
    <t xml:space="preserve">Booking confirmed ✅ 
Farm number 11
₹1000 advance received
12 Persons Max
Rent: ₹3000
Deposit: ₹1000
Deposit Refund after check out.</t>
  </si>
  <si>
    <t xml:space="preserve">Booked by Harshil Rajput</t>
  </si>
  <si>
    <t xml:space="preserve">Booking confirmed ✅ 
Farm number 11
₹500 received 
12 Persons Max
Rent: ₹3500
Deposit: ₹1000
Deposit Refund after check out.6</t>
  </si>
  <si>
    <t xml:space="preserve">Booked by Jevil </t>
  </si>
  <si>
    <t xml:space="preserve">Booking confirmed ✅ 
Farm number 11
₹1000 received 
10 Persons Max
Rent: ₹3500
Deposit: ₹2000
Deposit Refund after check out.</t>
  </si>
  <si>
    <t xml:space="preserve">Booked by divyesh to agent shyam</t>
  </si>
  <si>
    <t xml:space="preserve">Booking confirmed ✅ 
₹1000 received 
Customer rate ₹5500
Shyam na 4500
15 Persons Max
Rent: ₹1000
Deposit: ₹1000
Deposit Refund after check out.</t>
  </si>
  <si>
    <t xml:space="preserve">Booked by rajan kakaiya</t>
  </si>
  <si>
    <t xml:space="preserve">Booking confirmed ✅ 
Farm number 11
₹1000 received 
15 Persons Max
Rent: ₹5500
Deposit: ₹1000
Deposit Refund after check out.</t>
  </si>
  <si>
    <t xml:space="preserve">Booked by Hitesh to Shyam</t>
  </si>
  <si>
    <t xml:space="preserve">Booking confirmed ✅ 
₹1000 received 
Total ₹3000 
Payment ₹2300 to Shyam
Rent: ₹700
Deposit: ₹1000
Deposit Refund after check out.</t>
  </si>
  <si>
    <t xml:space="preserve">Booking confirmed ✅ 
Farm number 11
₹2500 advance received
20 Nov 2025 at 9:00 AM to 20 Nov 2025 at 6:00 PM
4 Persons Max
Rent: ₹2500
Deposit: ₹1000
Deposit Refund after check out.</t>
  </si>
  <si>
    <t xml:space="preserve">Booked by Rutvik joshi</t>
  </si>
  <si>
    <t xml:space="preserve">
Farm number 11
₹1000 received 
2 Persons Max
Rent: ₹2000
Deposit: ₹500
Deposit Refund after check out.</t>
  </si>
  <si>
    <t xml:space="preserve">Farm number 11
₹1000 advance received
2 Persons Max
Rent: ₹2000
Deposit: ₹1000
Deposit Refund after check out.</t>
  </si>
  <si>
    <t xml:space="preserve">Booked by Saurabh Sharma</t>
  </si>
  <si>
    <t xml:space="preserve">Booked by Rajesh Jivani</t>
  </si>
  <si>
    <t xml:space="preserve">Booking confirmed ✅ 
Farm number 11
₹1000 received 
18 Persons Max
Rent: ₹5500
Deposit: ₹1000
Deposit Refund after check out.</t>
  </si>
  <si>
    <t xml:space="preserve">Booked by preet</t>
  </si>
  <si>
    <t xml:space="preserve">
2 Persons Max
Rent: ₹1500
Deposit: ₹1000
Deposit Refund after check out.</t>
  </si>
  <si>
    <t xml:space="preserve">Booking confirmed ✅ 
₹500 received 
Farm number 11
26 Nov 2025 at 9:00 AM to 26 Nov 2025 at 6:00 PM
2 Persons Max
Rent: ₹1500
Deposit: ₹1000
Deposit Refund after check out.</t>
  </si>
  <si>
    <t xml:space="preserve">Booked by Piyu Patel</t>
  </si>
  <si>
    <t xml:space="preserve">
Farm number 11
₹300 advance received
2 Persons Max
Rent: ₹1500
Deposit: ₹500
Deposit Refund after check out.</t>
  </si>
  <si>
    <t xml:space="preserve">Booked by Pratham Tiwari </t>
  </si>
  <si>
    <t xml:space="preserve">Booking confirmed ✅ 
Farm number 11
₹1000 received 
12 Persons Max
Rent: ₹3000
Deposit: ₹1000
Deposit Refund after check out.</t>
  </si>
  <si>
    <t xml:space="preserve">Booked by Rubendra chain</t>
  </si>
  <si>
    <t xml:space="preserve">
Farm number 11
₹1000 received 
7 Persons Max
Rent: ₹2500
Deposit: ₹1000
Deposit Refund after check out.</t>
  </si>
  <si>
    <t xml:space="preserve">Booked by Urvish Paghadal </t>
  </si>
  <si>
    <t xml:space="preserve">
Farm number 11
₹500 received 
2 Persons Max
Rent: ₹1500
Deposit: ₹500
Deposit Refund after check out.</t>
  </si>
  <si>
    <t xml:space="preserve">Booked by Milan</t>
  </si>
  <si>
    <t xml:space="preserve">Booking confirmed ✅ 
Farm number 11
₹1000 advanve received
5 Dec 2025 at 9:30 AM to 5 Dec 2025 at 1:00 PM
2 Persons Max
Rent: ₹1000
Deposit: ₹500
Deposit Refund after check out.</t>
  </si>
  <si>
    <t xml:space="preserve">Booked by mahek</t>
  </si>
  <si>
    <t xml:space="preserve">₹2000 received 
2 Persons Max
Rent: ₹1500
Deposit: ₹500
Deposit Refund after check out.</t>
  </si>
  <si>
    <t xml:space="preserve">Booked by Nikhil Prajapati</t>
  </si>
  <si>
    <t xml:space="preserve">
Farm number 11
₹1000 received 
14 Persons Max
Rent: ₹4500
Deposit: ₹1000
Deposit Refund after check out.</t>
  </si>
  <si>
    <t xml:space="preserve">Booked by harsh Vadadoriya</t>
  </si>
  <si>
    <t xml:space="preserve">
₹500 received 
Farm number 11
2 Persons Max
Rent: ₹1500 without pool 
Deposit: ₹500
Deposit Refund after check out.</t>
  </si>
  <si>
    <t xml:space="preserve">Booked by Vedant rakholiya </t>
  </si>
  <si>
    <t xml:space="preserve">
Farm number 11
₹1000 received 
9 Persons Max
Rent: ₹3500
Deposit: ₹500
Deposit Refund after check out.</t>
  </si>
  <si>
    <t xml:space="preserve">Booked by vinod swain</t>
  </si>
  <si>
    <t xml:space="preserve">Booking confirmed ✅ 
Farm number 11
₹500 advance received
10 Persons Max
Rent: ₹2000
Deposit: ₹1000
Deposit Refund after check out.</t>
  </si>
  <si>
    <t xml:space="preserve">Booked by Gaurav Gupta</t>
  </si>
  <si>
    <t xml:space="preserve">Booking confirmed ✅ 
Farm number 11
₹1000 received 
10 Persons Max
Rent: ₹4500
Deposit: ₹1000
Deposit Refund after check out.</t>
  </si>
  <si>
    <t xml:space="preserve">Booking confirmed ✅ 
₹500 advance received
17 Dec 2025 at 9:00 AM to 17 Dec 2025 at 6:00 PM
2 Persons Max
Rent: ₹2000 with pool
Deposit: ₹500
Deposit Refund after check out.</t>
  </si>
  <si>
    <t xml:space="preserve">Booking confirmed ✅ 
Farm number 11
₹500 received 
2 Persons Max
Rent: ₹1500 with pool
Deposit: ₹500 
Deposit Refund after check out.</t>
  </si>
  <si>
    <t xml:space="preserve">Booking confirmed ✅ 
₹1000 advance received
19 Dec 2025 at 9:00 AM to 19 Dec 2025 at 6:00 PM
2 Persons Max without pool
Rent: ₹2000
Deposit: ₹1000
Deposit Refund after check out.</t>
  </si>
  <si>
    <t xml:space="preserve">Booked by Kinjal Darbar</t>
  </si>
  <si>
    <t xml:space="preserve">Booked by Yash Chahodiya</t>
  </si>
  <si>
    <t xml:space="preserve">Booking confirmed ✅ 
Farm number 11
₹500 received 
2 Persons Max
Rent: ₹1500 without pool 
Deposit: ₹500
Deposit Refund after check out.</t>
  </si>
  <si>
    <t xml:space="preserve">Booked by Chetan Koshiya</t>
  </si>
  <si>
    <t xml:space="preserve">Booking confirmed
Farm number 11
₹1000 advance received
4 Persons Max without pool
Rent: ₹2500
Deposit: ₹1000
Deposit Refund after check out.</t>
  </si>
  <si>
    <t xml:space="preserve">Booked by Pavan Parmeshwar</t>
  </si>
  <si>
    <t xml:space="preserve">Booking confirmed ✅ 
Farm number 11
₹700 received 
10 Persons Max
Rent: ₹500
Deposit: ₹1000
Deposit Refund after check out.</t>
  </si>
  <si>
    <t xml:space="preserve">Booked by Parnika</t>
  </si>
  <si>
    <t xml:space="preserve">Booking confirmed ✅ 
₹5000 received 
6 Persons
Rent: ₹23500
Deposit: ₹2000
Deposit Refund after check out.</t>
  </si>
  <si>
    <t xml:space="preserve">Booked by Manthan moradiya</t>
  </si>
  <si>
    <t xml:space="preserve">Booking confirmed ✅ 
Farm number 11
₹1000 received 
2 Persons Max
Rent: ₹2000 without pool 
Deposit: ₹500
Deposit Refund after check out.</t>
  </si>
  <si>
    <t xml:space="preserve">Booked by Yagnik</t>
  </si>
  <si>
    <t xml:space="preserve">
Farm number 11
₹1000 received 
10 Persons Max
Rent: ₹6000
Deposit: ₹1000
Deposit Refund after check out.</t>
  </si>
  <si>
    <t xml:space="preserve">Booked by Sutariya Hiren</t>
  </si>
  <si>
    <t xml:space="preserve">Booking confirmed ✅ 
Farm number 11
₹500 received 
2 Persons Max
Rent: ₹2000 
Deposit: ₹500
Deposit Refund after check out.</t>
  </si>
  <si>
    <t xml:space="preserve">Booked by Rutvik Parekh</t>
  </si>
  <si>
    <t xml:space="preserve">Booking confirmed ✅ 
Farm number 11
₹1000 received 
10 Persons Max
Rent: ₹3500
Deposit: ₹1000
Deposit Refund after check out.</t>
  </si>
  <si>
    <t xml:space="preserve">Booked by Upendra to Agent Shyam</t>
  </si>
  <si>
    <t xml:space="preserve">Shyam agent rate : 2500
₹1000 received 
12 Persons Max
Rent: ₹1000
Deposit: ₹1000
Deposit Refund after check out.</t>
  </si>
  <si>
    <t xml:space="preserve">Booked by Rajesh Patel</t>
  </si>
  <si>
    <t xml:space="preserve">Booking confirmed ✅ 
Farm number 11
₹1000 received 
12 Persons Max
Rent: ₹5000
Deposit: ₹1000
Deposit Refund after check out.</t>
  </si>
  <si>
    <t xml:space="preserve">Booked by Shivam Shukla to Agent Shyam</t>
  </si>
  <si>
    <t xml:space="preserve">Agent rate ₹4000
 ₹1000 received 
10 Persons Max
Rent: ₹1000
Deposit: ₹1000
Deposit Refund after check out.</t>
  </si>
  <si>
    <t xml:space="preserve">
Farm number 11
₹1000 received 
8 Persons Max
Rent: ₹2500
Deposit: ₹1000
Deposit Refund after check out.</t>
  </si>
  <si>
    <t xml:space="preserve">Booked by Kamlesh Khunt</t>
  </si>
  <si>
    <t xml:space="preserve">Booking confirmed ✅ 
Farm number 11
₹1000 received 
3 Persons Max
Rent: ₹2500
Deposit: ₹1000
Deposit Refund after check out.</t>
  </si>
  <si>
    <t xml:space="preserve">Booked by Valhe Pravin</t>
  </si>
  <si>
    <t xml:space="preserve">Booking confirmed ✅ 
Farm number 11
₹1500 received 
10 Persons Max
Rent: ₹4000
Deposit: ₹1500
Deposit Refund after check out.</t>
  </si>
  <si>
    <t xml:space="preserve">Booked by Kirtan Vavadiya</t>
  </si>
  <si>
    <t xml:space="preserve">Farm number 11
₹1000 received 
2 Persons Max with pool
Rent: ₹2500
Deposit: ₹1000
Deposit Refund after check out.</t>
  </si>
  <si>
    <t xml:space="preserve">Booked by yashraj patel</t>
  </si>
  <si>
    <t xml:space="preserve">Booking confirmed ✅ 
Farm number 11
₹1000 received 
10 Persons Max
Rent: ₹5000
Deposit: ₹1000
Deposit Refund after check out.</t>
  </si>
  <si>
    <t xml:space="preserve">Booking confirmed ✅ 
Farm number 11
₹500 received 
2 Persons Max
Rent: ₹1500
Deposit: ₹500
Deposit Refund after check out.</t>
  </si>
  <si>
    <t xml:space="preserve">Booked by Yuvraj paliwal</t>
  </si>
  <si>
    <t xml:space="preserve">Booking confirmed ✅ 
Farm number 11
₹1000 received 
10 Persons Max
Rent: ₹1000
Deposit: ₹1000
Deposit Refund after check out.</t>
  </si>
  <si>
    <t xml:space="preserve">Booked by Krish Bhutvala</t>
  </si>
  <si>
    <t xml:space="preserve">
Farm number 11
₹2000 received 
6 Persons Max
Rent: ₹5000
Deposit: ₹1000
Deposit Refund after check out.</t>
  </si>
  <si>
    <t xml:space="preserve">Booked by Sagar Sanghani</t>
  </si>
  <si>
    <t xml:space="preserve">
₹1000 advance received
8 Persons Max
Rent: ₹4000
Deposit: ₹1000
Deposit Refund after check out.</t>
  </si>
  <si>
    <t xml:space="preserve">Booked by Mukesh Sharma </t>
  </si>
  <si>
    <t xml:space="preserve">
₹1000 received 
2 Persons Max
Rent: ₹2000
Deposit: ₹500
Deposit Refund after check out.</t>
  </si>
  <si>
    <t xml:space="preserve">Booked by Pukhraj </t>
  </si>
  <si>
    <t xml:space="preserve">Booked by Sanjay Sastri</t>
  </si>
  <si>
    <t xml:space="preserve">
₹500 received 
10 Persons Max
Rent: ₹3000
Deposit: ₹1000
Deposit Refund after check out.</t>
  </si>
  <si>
    <t xml:space="preserve">Booked by Pavan Navik</t>
  </si>
  <si>
    <t xml:space="preserve">₹1000 received 
2 Feb 2026 at 7:00 PM to 3 Feb 2026 at 6:00 PM
8 Persons Max
Rent: ₹3500
Deposit: ₹1000
Deposit Refund after check out.</t>
  </si>
  <si>
    <t xml:space="preserve">Booked by Sibu Tripathi </t>
  </si>
  <si>
    <t xml:space="preserve">Booking confirmed ✅ 
Farm number 11
₹1000 received 
12 Persons Max
Rent: ₹3000
Deposit: ₹2000
Deposit Refund after check out.</t>
  </si>
  <si>
    <t xml:space="preserve">Booked by Darsh Tailor</t>
  </si>
  <si>
    <t xml:space="preserve">
₹1000 received 
10 Persons Max
Rent: ₹3500
Deposit: ₹1000
Deposit Refund after check out.</t>
  </si>
  <si>
    <t xml:space="preserve">
3 Persons Max
Rent: ₹2500
Deposit: ₹1000
Deposit Refund after check out.</t>
  </si>
  <si>
    <t xml:space="preserve">Booked by Dhaval Maisuriya</t>
  </si>
  <si>
    <t xml:space="preserve">
₹1000 received 
2 Persons Max without pool
Rent: ₹1500
Deposit: ₹500
Deposit Refund after check out.</t>
  </si>
  <si>
    <t xml:space="preserve">
₹1000 received 
2 Persons Max
Rent: ₹1500 without pool
Deposit: ₹500
Deposit Refund after check out.</t>
  </si>
  <si>
    <t xml:space="preserve">Booked by Anurag Vatsal</t>
  </si>
  <si>
    <t xml:space="preserve">
₹1000 received 
5 Persons Max
Rent: ₹4500
Deposit: ₹1000
Deposit Refund after check out.</t>
  </si>
  <si>
    <t xml:space="preserve">
₹1000 received 
4 Persons Max
Rent: ₹2500
Deposit: ₹1000
Deposit Refund after check out.</t>
  </si>
  <si>
    <t xml:space="preserve">Booked by Hitesh Sharavan</t>
  </si>
  <si>
    <t xml:space="preserve">Booked by Krunal Patel</t>
  </si>
  <si>
    <t xml:space="preserve">Booked by Kaushik Padshala</t>
  </si>
  <si>
    <t xml:space="preserve">
₹1500 received 
2 Persons Max
Rent: ₹1500
Deposit: ₹500
Deposit Refund after check out.</t>
  </si>
  <si>
    <t xml:space="preserve">Booked by Pramod</t>
  </si>
  <si>
    <t xml:space="preserve">Booking confirmed
Farm number 11
₹1000 advance received
2 Persons Max
Rent: ₹2000 with pool
Deposit: ₹500
Deposit Refund after check out.</t>
  </si>
  <si>
    <t xml:space="preserve">Booking by Agent Vinay</t>
  </si>
  <si>
    <t xml:space="preserve">₹500 received 
9 Persons Max
Rent: ₹3500
Deposit: ₹1000
</t>
  </si>
  <si>
    <t xml:space="preserve">Booked by Bharat Dhaduk</t>
  </si>
  <si>
    <t xml:space="preserve">Farm number 11
₹1000 received 
12 Persons Max
Rent: ₹5000
Deposit: ₹1000
Deposit Refund after check out.</t>
  </si>
  <si>
    <t xml:space="preserve">Booked by Rabindra</t>
  </si>
  <si>
    <t xml:space="preserve">Booking confirmed ✅ 
Farm number 11
₹1000 advance received
6 Persons Max
Rent: ₹3000
Deposit: ₹1000
Deposit Refund after check out.</t>
  </si>
  <si>
    <t xml:space="preserve">Booked by Renisha Shingala /Purv Sangani</t>
  </si>
  <si>
    <t xml:space="preserve">Booking confirmed ✅ 
Farm number 11
₹3000 received 
17 Persons Max
Rent: ₹7500
Deposit: ₹2000
Deposit Refund after check out.</t>
  </si>
  <si>
    <t xml:space="preserve">Booking Confirmed
₹9000 received
3 Mar 2026 at 7:00 PM to 4 Mar 2026 at 6:00 PM
20 Persons Max
Rent: ₹18000
Deposit: ₹2000
Deposit Refund after check out.</t>
  </si>
  <si>
    <t xml:space="preserve">Booked by Dipak Sharma</t>
  </si>
  <si>
    <t xml:space="preserve">Booking confirmed ✅ 
Farm number 11
₹2000 advance received
5 Mar 2026 at 7:00 PM to 6 Mar 2026 at 6:00 PM
12 Persons Max
Rent: ₹4500
Deposit: ₹2000
Deposit Refund after check out.</t>
  </si>
  <si>
    <t xml:space="preserve">Booking confirmed ✅ 
Farm number 11
₹500 advance received
7 Mar 2026 at 2:00 PM to 7 Mar 2026 at 6:00 PM
2 Persons Max
Rent: ₹1500
Deposit: ₹500
Deposit Refund after check out.</t>
  </si>
  <si>
    <t xml:space="preserve">Booked by Sandeep</t>
  </si>
  <si>
    <t xml:space="preserve">Booking confirmed ✅ 
Farm number 11
₹2500 advance received
7 Mar 2026 at 7:00 PM to 8 Mar 2026 at 6:00 PM
10 Persons Max
Rent: ₹7000
Deposit: ₹2000
Deposit Refund after check out.</t>
  </si>
  <si>
    <t xml:space="preserve">Booked by Dipak Prajapati</t>
  </si>
  <si>
    <t xml:space="preserve">Booking confirmed ✅ 
Farm number 11
₹1000 advance received
8 Mar 2026 at 7:00 PM to 9 Mar 2026 at 8:00 AM
7 Persons Max
Rent: ₹2500
Deposit: ₹1000
Deposit Refund after check out.</t>
  </si>
  <si>
    <t xml:space="preserve">Booked by Roshan Modi</t>
  </si>
  <si>
    <t xml:space="preserve">Booking confirmed ✅ 
Farm number 11
₹1000 advance received
9 Mar 2026 at 9:00 AM to 9 Mar 2026 at 6:30 PM
10 Persons Max
Rent: ₹4000
Deposit: ₹2000
Deposit Refund after check out.</t>
  </si>
  <si>
    <t xml:space="preserve">₹1000 advance received 
11 Mar 2026 at 9:00 AM to 11 Mar 2026 at 6:00 PM
2 Persons Max with pool
Rent: ₹2500
Deposit: ₹1000
Deposit Refund after check out.</t>
  </si>
  <si>
    <t xml:space="preserve">Booked by Dhruv Gol</t>
  </si>
  <si>
    <t xml:space="preserve">Booking confirmed ✅ 
Farm number 11
₹1000 advance received
12 Mar 2026 at 9:00 AM to 12 Mar 2026 at 6:00 PM
6 Persons Max
Rent: ₹3500
Deposit: ₹1000
Deposit Refund after check out.</t>
  </si>
  <si>
    <t xml:space="preserve">Booked by Kiran Mistry</t>
  </si>
  <si>
    <t xml:space="preserve">
Farm number 11
₹2000 received 
8 Persons Max
Rent: ₹5500
Deposit: ₹2000
Deposit Refund after check out.</t>
  </si>
  <si>
    <t xml:space="preserve">Booked by Bhargav kachhadiya</t>
  </si>
  <si>
    <t xml:space="preserve">Booking confirmed ✅ 
Farm number 11
₹3000 advance received
16 person max
Rent: ₹8500
Deposit: ₹2000
Deposit Refund after check out.</t>
  </si>
  <si>
    <t xml:space="preserve">Booking confirmed ✅ 
Farm number 11
₹1000 advance received
15 Mar 2026 at 7:00 PM to 16 Mar 2026 at 8:00 AM
4 Persons Max
Rent: ₹2500
Deposit: ₹1000
Deposit Refund after check out.</t>
  </si>
  <si>
    <t xml:space="preserve">Booked by krutarth modi</t>
  </si>
  <si>
    <t xml:space="preserve">Booking confirmed ✅ 
Farm nunber 11
₹1000 advanve received
16 Mar 2026 at 9:00 AM to 16 Mar 2026 at 6:00 PM
6 Persons Max
Rent: ₹3500
Deposit: ₹1000
Deposit Refund after check out.</t>
  </si>
  <si>
    <t xml:space="preserve">Booked by Sagar Tejani</t>
  </si>
  <si>
    <t xml:space="preserve">Booking confirmed ✅ 
Farm number 11
₹2000 advance received
10 Persons Max
Rent: ₹5000
Deposit: ₹2000
Deposit Refund after check out.</t>
  </si>
  <si>
    <t xml:space="preserve">Booking confirmed ✅ 
Farm number 11
₹1000 advance received
17 Mar 2026 at 7:00 PM to 18 Mar 2026 at 8:00 AM
11 Persons Max
Rent: ₹3000
Deposit: ₹2000
Deposit Refund after check out.</t>
  </si>
  <si>
    <t xml:space="preserve">Booked by Jayesh Ladumor</t>
  </si>
  <si>
    <t xml:space="preserve">Booking confirmed ✅ 
Farm number 11
₹1000 advance received 
4 Persons Max
Rent: ₹3000
Deposit: ₹1000
Deposit Refund after check out.</t>
  </si>
  <si>
    <t xml:space="preserve">Booked by Sisham</t>
  </si>
  <si>
    <t xml:space="preserve">19 Mar 2026 at 2:00 PM to 20 Mar 2026 at 8:00 AM
4 Persons Max
Rent: ₹3800
Deposit: ₹1000
Deposit Refund after check out.</t>
  </si>
  <si>
    <t xml:space="preserve">Booked by Maurya Jitendra</t>
  </si>
  <si>
    <t xml:space="preserve">
15 Persons Max
Rent: ₹3300
Deposit: ₹2000
Deposit Refund after check out.</t>
  </si>
  <si>
    <t xml:space="preserve">Booked by Pratham Jariwala</t>
  </si>
  <si>
    <t xml:space="preserve">Booking confirmed 
Farm number 11
₹2000 received 
8 Persons Max
Rent: ₹5500
Deposit: ₹2000
Deposit Refund after check out.</t>
  </si>
  <si>
    <t xml:space="preserve">Booking confirmed ✅ 
Farm number 11
₹3000 advance received
21 Mar 2026 at 7:00 PM to 22 Mar 2026 at 6:00 PM
14 Persons Max
Rent: ₹10000
Deposit: ₹2000
Deposit Refund after check out.</t>
  </si>
  <si>
    <t xml:space="preserve">10 Persons Max
Rent: ₹3000
Deposit: ₹1000
Deposit Refund after check out.</t>
  </si>
  <si>
    <t xml:space="preserve">Booking done ✅ 
₹1000 advance received
23 Mar 2026 at 10:00 AM to 23 Mar 2026 at 6:00 PM
4 Persons Max
Rent: ₹4000
Deposit: ₹2000
Deposit Refund after check out.</t>
  </si>
  <si>
    <t xml:space="preserve">Booked by Kamlesh</t>
  </si>
  <si>
    <t xml:space="preserve">Booking confirmed ✅ 
Farm number 11
₹1000 advance received
24 Mar 2026 at 9:00 AM to 24 Mar 2026 at 6:00 PM
4 Persons Max
Rent: ₹4000
Deposit: ₹2000
Deposit Refund after check out.</t>
  </si>
  <si>
    <t xml:space="preserve">₹1000 received 
10 Persons Max
Rent: ₹3000
Deposit: ₹1000
Deposit Refund after check out.</t>
  </si>
  <si>
    <t xml:space="preserve">Booked by Mahesh Bhuva</t>
  </si>
  <si>
    <t xml:space="preserve">
Farm number 11
₹4000 received 
11 Persons Max
Rent: ₹10000
Deposit: ₹2000
Deposit Refund after check out.</t>
  </si>
  <si>
    <t xml:space="preserve">Booked by Imran Mansuri</t>
  </si>
  <si>
    <t xml:space="preserve">Booking confirmed ✅ 
Farm number 11
₹1000 received 
15 Persons Max
Rent: ₹4500
Deposit: ₹1000
Deposit Refund after check out.</t>
  </si>
  <si>
    <t xml:space="preserve">Booked by Arpit singh</t>
  </si>
  <si>
    <t xml:space="preserve">Booking confirmed ✅ 
Farm number 11
₹2000 advance received
30 Mar 2026 at 7:00 PM to 31 Mar 2026 at 6:00 PM
11 Persons Max
Rent: ₹5500
Deposit: ₹2000
Deposit Refund after check out.</t>
  </si>
  <si>
    <t xml:space="preserve">Booked by Mahi </t>
  </si>
  <si>
    <t xml:space="preserve">₹5000 received 
2 Persons Max
Rent: ₹4000
Deposit: ₹1000
Deposit Refund after check out.</t>
  </si>
  <si>
    <t xml:space="preserve">Booked by Viraj Pansuriya</t>
  </si>
  <si>
    <t xml:space="preserve">Booked by Vivek Vala</t>
  </si>
  <si>
    <t xml:space="preserve">
Farm number 11
₹500 received 
2 Persons Max
Rent: ₹3000
Deposit: ₹1000
Deposit Refund after check out.</t>
  </si>
  <si>
    <t xml:space="preserve">Booked by Paresh Jasani</t>
  </si>
  <si>
    <t xml:space="preserve">Booking confirmed ✅ 
Farm number 11
₹4000 advance received
4 Apr 2026 at 7:00 PM to 5 Apr 2026 at 6:00 PM
12 Persons Max
Rent: ₹12000
Deposit: ₹2000
Deposit Refund after check out.</t>
  </si>
  <si>
    <t xml:space="preserve">
₹1000 received 
2 Persons Max
Rent: ₹4000
Deposit: ₹1000
Deposit Refund after check out.</t>
  </si>
  <si>
    <t xml:space="preserve">Booked by Mukesh Sharma</t>
  </si>
  <si>
    <t xml:space="preserve">Booking confirmed ✅ 
Farm number 11
₹1000 advance received
2 Persons Max
Rent: ₹2500
Deposit: ₹1000
Deposit Refund after check out.</t>
  </si>
  <si>
    <t xml:space="preserve">Booked by Urvashi Rawal</t>
  </si>
  <si>
    <t xml:space="preserve">
2 Persons Max
Rent: ₹2500
Deposit: ₹1000
Deposit Refund after check out.</t>
  </si>
  <si>
    <t xml:space="preserve">Booked by Vaibhav kadvane</t>
  </si>
  <si>
    <t xml:space="preserve">Booking confirmed ✅ 
Farm number 11
₹2000 advance received
9 Apr 2026 at 7:00 PM to 10 Apr 2026 at 6:00 PM
7 Persons Max
Rent: ₹5000
Deposit: ₹2000
Deposit Refund after check out.</t>
  </si>
  <si>
    <t xml:space="preserve">
₹2000 received 
7 Persons Max
Rent: ₹4000
Deposit: ₹2000
Deposit Refund after check out.</t>
  </si>
  <si>
    <t xml:space="preserve">Booked by Yash Galani</t>
  </si>
  <si>
    <t xml:space="preserve">
Farm number 11
₹4000 received 
10 Persons Max
Rent: ₹12000
Deposit: ₹2000
Deposit Refund after check out.</t>
  </si>
  <si>
    <t xml:space="preserve">Booked by Ravi Gauswami</t>
  </si>
  <si>
    <t xml:space="preserve">
Farm number 11
₹1000 received 
10 Persons Max
Rent: ₹5000
Deposit: ₹2000
Deposit Refund after check out.</t>
  </si>
  <si>
    <t xml:space="preserve">Booked by Manthan</t>
  </si>
  <si>
    <t xml:space="preserve">Booking confirmed ✅ 
₹1000 advance received
14 Apr 2026 at 12:00 PM to 14 Apr 2026 at 6:00 PM
2 Persons Max
Rent: ₹3500
Deposit: ₹1000
Deposit Refund after check out.</t>
  </si>
  <si>
    <t xml:space="preserve">Booked by Jayesh Kumbhare</t>
  </si>
  <si>
    <t xml:space="preserve">
2 Persons Max
Rent: ₹3000
Deposit: ₹1000
Deposit Refund after check out.</t>
  </si>
  <si>
    <t xml:space="preserve">Booking confirmed ✅ 
Farm number 11
₹2000 received 
10 Persons Max
Rent: ₹5000
Deposit: ₹2000
Deposit Refund after check out.</t>
  </si>
  <si>
    <t xml:space="preserve">Booked by Dilip Sisara</t>
  </si>
  <si>
    <t xml:space="preserve">
Farm number 11
₹1000 received 
5 Persons Max
Rent: ₹4000
3500 aana, 500 aagal na booking cancel na
Deposit: ₹1000
Deposit Refund after check out.</t>
  </si>
  <si>
    <t xml:space="preserve">Booked by Agent 7SeasFarm</t>
  </si>
  <si>
    <t xml:space="preserve">Booking confirmed ✅ 
Farm number 11
₹2000 advance received
17 Apr 2026 at 7:00 PM to 18 Apr 2026 at 6:00 PM
10 Persons Max
Rent: ₹5000
Deposit: ₹2000
Deposit Refund after check out.</t>
  </si>
  <si>
    <t xml:space="preserve">Booked by Agent Fenil</t>
  </si>
  <si>
    <t xml:space="preserve">Booking confirmed ✅ 
Farm number 11
₹5000 advance received
18 Apr 2026 at 7:00 PM to 19 Apr 2026 at 6:00 PM
15 Persons Max
Rent: ₹11000
Deposit: ₹2000
Deposit Refund after check out.</t>
  </si>
  <si>
    <t xml:space="preserve">Booking confirmed ✅ 
Farm number 11
₹2000 advance received
19 Apr 2026 at 7:00 PM to 20 Apr 2026 at 6:00 PM
12 Persons Max
Rent: ₹5000
Deposit: ₹2000
Deposit Refund after check out.</t>
  </si>
  <si>
    <t xml:space="preserve">Booked by Kuldeep Vaghasiya</t>
  </si>
  <si>
    <t xml:space="preserve">Booking confirmed ✅ 
Farm number 11
₹2000 receives 
8 Persons Max
Rent: ₹5000
Deposit: ₹2000
Deposit Refund after check out.</t>
  </si>
  <si>
    <t xml:space="preserve">Booking confirmed ✅ 
Farm number 11
₹1000 advance received
₹5000 payment pending (₹1000 security deposit)
22 Apr 2026 at 7:00 PM to 23 Apr 2026 at 6:00 PM
15 Persons Max
Rent: ₹5000
Deposit: ₹2000
Deposit Refund after check out.</t>
  </si>
  <si>
    <t xml:space="preserve">Booked by Dipesh Bhaliya</t>
  </si>
  <si>
    <t xml:space="preserve">Booking confirmed ✅ 
Farm number 11
₹2000 received 
2 Persons Max
Rent: ₹5000
Deposit: ₹2000
Deposit Refund after check out.</t>
  </si>
  <si>
    <t xml:space="preserve">Booked by Viraj </t>
  </si>
  <si>
    <t xml:space="preserve">Booked by Rashmi</t>
  </si>
  <si>
    <t xml:space="preserve">Booking confirmed ✅ 
Farm number 11
₹5500 advance received
25 Apr 2026 at 10:00 AM to 25 Apr 2026 at 6:00 PM
2 Persons Max
Rent: ₹4500
Deposit: ₹1000
Deposit Refund after check out.</t>
  </si>
  <si>
    <t xml:space="preserve">Booked by agent jatin</t>
  </si>
  <si>
    <t xml:space="preserve">25 Apr 2026 at 7:00 PM to 26 Apr 2026 at 6:00 PM
15 Persons Max
Rent: ₹12000
Deposit: ₹2000
Deposit Refund after check out.</t>
  </si>
  <si>
    <t xml:space="preserve">Booked by agent</t>
  </si>
  <si>
    <t xml:space="preserve">Booking confirmed ✅ 
Farm number 11
₹1000 received 
10 Persons Max
Rent: ₹1000
Deposit: ₹2000
Deposit Refund after check out.</t>
  </si>
  <si>
    <t xml:space="preserve">Booked by Chirag paneriya</t>
  </si>
  <si>
    <t xml:space="preserve">
2 Persons Max
Rent: ₹2000
Deposit: ₹500
Deposit Refund after check out.</t>
  </si>
  <si>
    <t xml:space="preserve">Booked by Vinod dave</t>
  </si>
  <si>
    <t xml:space="preserve">
₹6500 received 
12 Persons Max
Rent: ₹4500
Deposit: ₹2000
Deposit Refund after check out.</t>
  </si>
  <si>
    <t xml:space="preserve">Booked by Chintan Makvana</t>
  </si>
  <si>
    <t xml:space="preserve">Booking confirmed
Farm number 11
₹1000 advance received
28 Apr 2026 at 7:00 PM to 29 Apr 2026 at 6:00 PM
12 Persons Max
Rent: ₹5500
Deposit: ₹2000
Deposit Refund after check out.</t>
  </si>
  <si>
    <t xml:space="preserve">Booked by Manthan Dave</t>
  </si>
  <si>
    <t xml:space="preserve">Booking confirmed ✅ 
Farm number 11
₹2000 advance received
30 Apr 2026 at 7:00 PM to 1 May 2026 at 6:00 PM
10 Persons Max
Rent: ₹5000
Deposit: ₹2000
Deposit Refund after check out.</t>
  </si>
  <si>
    <t xml:space="preserve">Booking confirmed ✅ 
Farm number 11
₹2000 advance received
10 Persons Max
Rent: ₹4500
Deposit: ₹2000
Deposit Refund after check out.</t>
  </si>
  <si>
    <t xml:space="preserve">Booked by Dhaduk Pushpa</t>
  </si>
  <si>
    <t xml:space="preserve">Booking confirmed ✅ 
Farm number 11
₹6000 advance received
2 May 2026 at 7:00 PM to 3 May 2026 at 6:00 PM
15 Persons Max
Rent: ₹13500
Deposit: ₹2000
Deposit Refund after check out.</t>
  </si>
  <si>
    <t xml:space="preserve">Booked by Drashti Chotaliya</t>
  </si>
  <si>
    <t xml:space="preserve">
₹2000 received 
18 Persons Max
Rent: ₹3500
Deposit: ₹2000
Deposit Refund after check out.</t>
  </si>
  <si>
    <t xml:space="preserve">Booked by Gediya Harekrishna</t>
  </si>
  <si>
    <t xml:space="preserve">Booking confirmed ✅ 
Farm number 11
₹2000 received 
2 Persons Max
Rent: ₹5500
Customer rate - 3500, 1000+1000 cancelled booking
Deposit: ₹1000
Deposit Refund after check out.</t>
  </si>
  <si>
    <t xml:space="preserve">Booked by Lalji</t>
  </si>
  <si>
    <t xml:space="preserve">
Farm number 11
₹5000 advance received
6 Persons Max
Rent: ₹5000
Deposit: ₹2000
Deposit Refund after check out.</t>
  </si>
  <si>
    <t xml:space="preserve">Booked by Krunal Jadav</t>
  </si>
  <si>
    <t xml:space="preserve">Booking confirmed ✅ 
Farm number 11
₹2000 received 
14 Persons Max
Rent: ₹5000
Deposit: ₹2000
Deposit Refund after check out.</t>
  </si>
  <si>
    <t xml:space="preserve">Booked by Ghanshyam rudani</t>
  </si>
  <si>
    <t xml:space="preserve">Booking confirmed ✅ 
₹2000 received 
Farm number 11
10 Persons Max
Rent: ₹5000
Deposit: ₹2000
Deposit Refund after check out.</t>
  </si>
  <si>
    <t xml:space="preserve">Booked by Dev Ajudiya</t>
  </si>
  <si>
    <t xml:space="preserve">Booking confirmed ✅ 
Farm number 11
₹2000 advance received
8 May 2026 at 7:00 PM to 9 May 2026 at 6:00 PM
10 Persons Max
Rent: ₹6000
Deposit: ₹2000
Deposit Refund after check out.</t>
  </si>
  <si>
    <t xml:space="preserve">Booked by Jasmin Sorathiya</t>
  </si>
  <si>
    <t xml:space="preserve">Booking confirmed ✅ 
Farm number 11
₹6000 advance received
9 May 2026 at 7:00 PM to 10 May 2026 at 6:00 PM
18 Persons Max
Rent: ₹13500
Deposit: ₹2000
Deposit Refund after check out.</t>
  </si>
  <si>
    <t xml:space="preserve">Booked by Ankuj Sojitra</t>
  </si>
  <si>
    <t xml:space="preserve">Booking confirmed ✅ 
Farm number 11
₹2000 advance received
10 May 2026 at 8:00 PM to 11 May 2026 at 8:00 AM - Only Night
10 Persons Max
Rent: ₹4000
Deposit: ₹2000
Deposit Refund after check out.</t>
  </si>
  <si>
    <t xml:space="preserve">Booked by Jay Patel</t>
  </si>
  <si>
    <t xml:space="preserve">Booking confirmed ✅ 
Farm number 11
₹2000 advance received
11 May 2026 at 9:00 AM to 11 May 2026 at 6:00 PM
10 Persons Max
Rent: ₹4000
Deposit: ₹2000
Deposit Refund after check out.</t>
  </si>
  <si>
    <t xml:space="preserve">Booked by Dhaval Rajput</t>
  </si>
  <si>
    <t xml:space="preserve">Booking confirmed ✅ 
Farm number 11
₹2000 advance received
7 Persons Max
Rent: ₹5500
Deposit: ₹2000
Deposit Refund after check out.</t>
  </si>
  <si>
    <t xml:space="preserve">Booked by Gediya Chirag</t>
  </si>
  <si>
    <t xml:space="preserve">Booking confirmed ✅ 
Farm number 11
₹2000 advance received
17 Persons Max
Rent: ₹6000
Deposit: ₹2000
Deposit Refund after check out.</t>
  </si>
  <si>
    <t xml:space="preserve">Booked by Rishabh Patel</t>
  </si>
  <si>
    <t xml:space="preserve">Booking confirmed ✅ 
Farm number 11
₹2000 advance received
13 May 2026 at 7:00 PM to 14 May 2026 at 7:00 PM
8 Persons Max
Rent: ₹6000
Deposit: ₹2000
Deposit Refund after check out.</t>
  </si>
  <si>
    <t xml:space="preserve">Booked by Moksha Navik</t>
  </si>
  <si>
    <t xml:space="preserve">Booking confirmed ✅ 
Farm number 11
₹2000 advance received 
14 May 2026 at 7:00 PM to 15 May 2026 at 6:00 PM
8 Persons Max
Rent: ₹6000
Deposit: ₹2000
Deposit Refund after check out.</t>
  </si>
  <si>
    <t xml:space="preserve">Booked by Sweta Patel</t>
  </si>
  <si>
    <t xml:space="preserve">Booking confirmed ✅ 
Farm number 11
₹2000 advance received
15 May 2026 at 7:00 PM to 16 May 2026 at 6:00 PM
8 Persons Max
Rent: ₹6500
Deposit: ₹2000
Deposit Refund after check out.</t>
  </si>
  <si>
    <t xml:space="preserve">Booked by Vijay Makvana</t>
  </si>
  <si>
    <t xml:space="preserve">Booking confirmed ✅ 
Farm number 11
₹7000 advance received
15 Persons Max
Rent: ₹14000
Deposit: ₹2000
Deposit Refund after check out.</t>
  </si>
  <si>
    <t xml:space="preserve">Booked by Janvi Patel</t>
  </si>
  <si>
    <t xml:space="preserve">Booking confirmed ✅ 
Farm number 11
₹2000 advance received
17 May 2026 at 7:00 PM to 18 May 2026 at 6:00 PM
10 Persons Max
Rent: ₹6000
Deposit: ₹2000
Deposit Refund after check out.</t>
  </si>
  <si>
    <t xml:space="preserve">Booked by Bhupendra Mishra</t>
  </si>
  <si>
    <t xml:space="preserve">Booking confirmed ✅ 
Farm number 11
₹2000 advance received 
18 May 2026 at 7:00 PM to 19 May 2026 at 6:00 PM - Sanj to Sanj
10 Persons Max
Rent: ₹6000
Deposit: ₹2000
Deposit Refund after check out.</t>
  </si>
  <si>
    <t xml:space="preserve">Booked by Devani Uttam</t>
  </si>
  <si>
    <t xml:space="preserve">Booking confirmed ✅
Farm number 11
₹2000 advance received
19 May 2026 at 7:00 PM to 20 May 2026 at 6:00 PM
12 Persons Max
Rent: ₹6500
Deposit: ₹2000
Deposit Refund after check out.</t>
  </si>
  <si>
    <t xml:space="preserve">Booked by Sahil Khimani</t>
  </si>
  <si>
    <t xml:space="preserve">Booking confirmed ✅ 
Farm number 11
₹2000 advance received
20 May 2026 at 7:00 PM to 21 May 2026 at 6:00 PM
15 Persons Max
Rent: ₹6000
Deposit: ₹2000
Deposit Refund after check out.</t>
  </si>
  <si>
    <t xml:space="preserve">Booked by Vinay Gundariya</t>
  </si>
  <si>
    <t xml:space="preserve">Booking confirmed ✅ 
Farm number 11
₹2000 advance received
21 May 2026 at 7:00 PM to 22 May 2026 at 6:00 PM
10 Persons Max
Rent: ₹6000
Deposit: ₹2000
Deposit Refund after check out.</t>
  </si>
  <si>
    <t xml:space="preserve">Booked by Hetal Patel</t>
  </si>
  <si>
    <t xml:space="preserve">Booking confirmed ✅ 
Farm number 11
₹2000 advance received
22 May 2026 at 7:00 PM to 23 May 2026 at 6:00 PM
4 Persons Max
Rent: ₹6000
Deposit: ₹2000
Deposit Refund after check out.</t>
  </si>
  <si>
    <t xml:space="preserve">Booked by Harshil Zalavadiya</t>
  </si>
  <si>
    <t xml:space="preserve">Booking confirmed ✅ 
Farm number 11
₹6000 received 
10 Persons Max
Rent: ₹14000
Deposit: ₹2000
Deposit Refund after check out.</t>
  </si>
  <si>
    <t xml:space="preserve">Booked by Pinkal Bhandari</t>
  </si>
  <si>
    <t xml:space="preserve">Booking confirmed ✅ 
Farm number 11
₹2000 advance received
24 May 2026 at 7:00 PM to 25 May 2026 at 6:00 PM
15 Persons Max
Rent: ₹6500
Deposit: ₹2000
Deposit Refund after check out.</t>
  </si>
  <si>
    <t xml:space="preserve">Booked by Ashok Sarvaiya</t>
  </si>
  <si>
    <t xml:space="preserve">Booking confirmed ✅ 
Farm number 11
₹2000 received 
15 Persons Max
Rent: ₹6500
Deposit: ₹2000
Deposit Refund after check out.</t>
  </si>
  <si>
    <t xml:space="preserve">Booked by Yash Parmar</t>
  </si>
  <si>
    <t xml:space="preserve">Booking confirmed ✅ 
Farm number 11
₹2000 advance received
26 May 2026 at 7:00 PM to 27 May 2026 at 6:00 PM
8 Persons Max
Rent: ₹6500
Deposit: ₹2000
Deposit Refund after check out.</t>
  </si>
  <si>
    <t xml:space="preserve">Booked by Chirag Bhalu</t>
  </si>
  <si>
    <t xml:space="preserve">Booking confirmed ✅ 
Farm number 11
₹2000 advance received
27 May 2026 at 7:00 PM to 28 May 2026 at 6:00 PM
22 Persons Max
Rent: ₹7000
Deposit: ₹2000
Deposit Refund after check out.</t>
  </si>
  <si>
    <t xml:space="preserve">Booked by Parth Patel</t>
  </si>
  <si>
    <t xml:space="preserve">Booking confirmed ✅ 
Farm number 11
₹2000 advance received
28 May 2026 at 7:00 PM to 29 May 2026 at 6:00 PM
12 Persons Max
Rent: ₹6500
Deposit: ₹2000
Deposit Refund after check out.</t>
  </si>
  <si>
    <t xml:space="preserve">Booked by Mahesh Pipaliya</t>
  </si>
  <si>
    <t xml:space="preserve">Booking confirmed ✅ 
Farm number 11
₹2000 advance received
+91 9978808599
29 May 2026 at 7:00 PM to 30 May 2026 at 6:00 PM
15-17 Persons Max
Rent: ₹6500
Deposit: ₹2000
Deposit Refund after check out.</t>
  </si>
  <si>
    <t xml:space="preserve">Booked by Arshil Siroya</t>
  </si>
  <si>
    <t xml:space="preserve">
Farm number 11
₹7000 advance received
15 Persons Max
Rent: ₹14000
Deposit: ₹2000
Deposit Refund after check out.</t>
  </si>
  <si>
    <t xml:space="preserve">Booking confirmed 
Farm number 11
₹2000 advance received
+91 9664510245
31 May 2026 at 7:00 PM to 1 Jun 2026 at 7:00 AM
14 Persons Max
Rent: ₹4500
Deposit: ₹2000
Deposit Refund after check out.</t>
  </si>
  <si>
    <t xml:space="preserve">Booked by Mahesh Gadhiya</t>
  </si>
  <si>
    <t xml:space="preserve">Booking confirmed
Farm number 11
₹2000 advance received
+91 9978774398
1 Jun 2026 at 9:00 AM to 1 Jun 2026 at 6:00 PM
10 Persons Max
Rent: ₹4500
Deposit: ₹2000
Deposit Refund after check out.</t>
  </si>
  <si>
    <t xml:space="preserve">Booked by Nilam Patel</t>
  </si>
  <si>
    <t xml:space="preserve">Booking confirmed ✅ 
Farm number 11
₹2000 advance received
1 Jun 2026 at 7:00 PM to 2 Jun 2026 at 6:00 PM
12 Persons Max
Rent: ₹6500
Deposit: ₹2000
Deposit Refund after check out.</t>
  </si>
  <si>
    <t xml:space="preserve">Booked by Mehul Dholakiya</t>
  </si>
  <si>
    <t xml:space="preserve">Booking confirmed ✅ 
Farm number 11
₹2000 received 
2 Jun 2026 at 7:00 PM to 3 Jun 2026 at 6:00 PM
15 Persons Max
Rent: ₹6500
Deposit: ₹2000
Deposit Refund after check out.</t>
  </si>
  <si>
    <t xml:space="preserve">Booked by Henil Vaghasiya </t>
  </si>
  <si>
    <t xml:space="preserve">Booking confirmed ✅ 
Farm number 11
₹2000 received 
+91 6356 671 228
8 Persons Max
Rent: ₹6000
Deposit: ₹2000
Deposit Refund after check out.</t>
  </si>
  <si>
    <t xml:space="preserve">Booked by Donda Krish</t>
  </si>
  <si>
    <t xml:space="preserve">Booking confirmed ✅ 
Farm number 11
₹2000 advance received
+91 9054348670
4 Jun 2026 at 7:00 PM to 5 Jun 2026 at 6:00 PM
10 Persons Max
Rent: ₹6500
Deposit: ₹2000
Deposit Refund after check out.</t>
  </si>
  <si>
    <t xml:space="preserve">Booked by Feni Patel</t>
  </si>
  <si>
    <t xml:space="preserve">Booking confirmed ✅ 
Farm number 11
₹2000 received 
+91 83200 93842
5 Jun 2026 at 7:00 PM to 6 Jun 2026 at 6:00 PM
15 Persons Max
Rent: ₹6500
Deposit: ₹2000
Deposit Refund after check out.</t>
  </si>
  <si>
    <t xml:space="preserve">Booking confirmed ✅ 
Farm number 11
₹7000 received
+91 9924761194
18 Persons Max
Rent: ₹14000
Deposit: ₹2000
Deposit Refund after check out.</t>
  </si>
  <si>
    <t xml:space="preserve">Booked by Hitesh Sonar</t>
  </si>
  <si>
    <t xml:space="preserve">
Farm number 11
₹1000 received 
12 Persons Max
Rent: ₹5000
Deposit: ₹2000
Deposit Refund after check out.</t>
  </si>
  <si>
    <t xml:space="preserve">Booked by Hemansu Bhaliya</t>
  </si>
  <si>
    <t xml:space="preserve">Booking confirmed ✅ 
Farm number 11
₹2000 advance received
10 Persons Max
Rent: ₹5200
Deposit: ₹2000
Deposit Refund after check out.</t>
  </si>
  <si>
    <t xml:space="preserve">Booked by Niraj Mavani</t>
  </si>
  <si>
    <t xml:space="preserve">
Farm number 11
₹2000 received 
12 Persons Max
Rent: ₹5000
Deposit: ₹2000
Deposit Refund after check out.</t>
  </si>
  <si>
    <t xml:space="preserve">Booked by Rahul Sonvane</t>
  </si>
  <si>
    <t xml:space="preserve">Booking confirmed ✅ 
Farm number 11
₹2000 received 
10 Persons Max
Rent: ₹4000
Deposit: ₹2000
Deposit Refund after check out.</t>
  </si>
  <si>
    <t xml:space="preserve">Booked by Piyush Bhadani</t>
  </si>
  <si>
    <t xml:space="preserve">Booked by Renisha Shingala</t>
  </si>
  <si>
    <t xml:space="preserve">Booking confirmed ✅ 
Farm number 11
₹2000 received
+91 9099854642
11 Persons Max
Rent: ₹4500
Deposit: ₹2000
Deposit Refund after check out.</t>
  </si>
  <si>
    <t xml:space="preserve">Booked by Harshit Kotadiya</t>
  </si>
  <si>
    <t xml:space="preserve">Booking confirmed ✅ 
Farm number 11
₹5000 received
+91 8866994302
10 Persons Max
Rent: ₹10000
Deposit: ₹2000
Deposit Refund after check out.</t>
  </si>
  <si>
    <t xml:space="preserve">Booked by Parasram</t>
  </si>
  <si>
    <t xml:space="preserve">Booking Confirmed
Farm number 11
₹1000 advance received
+91 9106339772
4 Persons Max
Rent: ₹3000
Deposit: ₹2000
Deposit Refund after check out.</t>
  </si>
  <si>
    <t xml:space="preserve">Booked by Girish Pansuriya - Booking Cancelled</t>
  </si>
  <si>
    <t xml:space="preserve">Booking cancelled 
Farm number 11
₹1000 received
+91 9913894281
10 Persons Max
Rent: ₹1000
Deposit: ₹2000
Deposit Refund after check out.</t>
  </si>
  <si>
    <t xml:space="preserve">Booked by Bhavesh Chaudhari</t>
  </si>
  <si>
    <t xml:space="preserve">Booking confirmed ✅ 
Farm number 11
₹1000 received
+91 7621921808
7 Persons Max
Rent: ₹4500
Deposit: ₹2000
Deposit Refund after check out.</t>
  </si>
  <si>
    <t xml:space="preserve">Booked by Dilip Kansara</t>
  </si>
  <si>
    <t xml:space="preserve">Booking Confirmed ✅ 
Farm number 11
₹2000 advance received
⁨‭+91 7878060650‬⁩
16 Jun 2026 at 7:00 PM to 17 Jun 2026 at 6:00 PM
15 Persons Max
Rent: ₹5000
Deposit: ₹2000
Deposit Refund after check out.</t>
  </si>
  <si>
    <t xml:space="preserve">Booked by Kapil Fodar Agent</t>
  </si>
  <si>
    <t xml:space="preserve">Booking Confirmed
₹3500 advance received
+91 6358043669
4 Persons Max
Rent: ₹2500
Deposit: ₹1000
Deposit Refund after check out.</t>
  </si>
  <si>
    <t xml:space="preserve">Booked by Nitin Bhalia</t>
  </si>
  <si>
    <t xml:space="preserve">Booking confirmed
Farm number 11
₹2000 advance received
+91 9173537833
18 Jun 2026 at 7:00 PM to 19 Jun 2026 at 5:00 PM
7 Persons Max
Rent: ₹4300
Deposit: ₹2000
Deposit Refund after check out.</t>
  </si>
  <si>
    <t xml:space="preserve">Booked by Ankit Mandaviya</t>
  </si>
  <si>
    <t xml:space="preserve">Booking confirmed ✅ 
Farm number 11
₹2000 advance received
+91 7567064731
19 Jun 2026 at 7:00 PM to 20 Jun 2026 at 6:00 PM
10 Persons Max
Rent: ₹2000
Deposit: ₹2000
Deposit Refund after check out.</t>
  </si>
  <si>
    <t xml:space="preserve">Booked by Sagar Balar</t>
  </si>
  <si>
    <t xml:space="preserve">Booking confirmed ✅ 
Farm number 11
₹5000 received 
+91 7434830016
10 Persons Max
Rent: ₹10000
Deposit: ₹2000
Deposit Refund after check out.</t>
  </si>
  <si>
    <t xml:space="preserve">Booked by Rudra Bhatt</t>
  </si>
  <si>
    <t xml:space="preserve">Booking confirmed ✅ 
Farm number 11
₹2000 advance received
+91 9979031422
21 Jun 2026 at 7:00 PM to 22 Jun 2026 at 5:00 PM
10 Persons Max
Rent: ₹4500
Deposit: ₹2000
Deposit Refund after check out.</t>
  </si>
  <si>
    <t xml:space="preserve">Booked by Akash Prajapati</t>
  </si>
  <si>
    <t xml:space="preserve">Booking confirmed ✅ 
Farm number 11
₹2000 received 
+91 9712252486
2 Persons Max
Rent: ₹4000
Deposit: ₹2000
Deposit Refund after check out.</t>
  </si>
  <si>
    <t xml:space="preserve">Booked by Kirtan Makvana</t>
  </si>
  <si>
    <t xml:space="preserve">Booking confirmed ✅ 
Farm number 11
₹2000 received
⁨‭+91 9016745734‬⁩
10 Persons Max
Rent: ₹4000
Deposit: ₹2000
Deposit Refund after check out.</t>
  </si>
  <si>
    <t xml:space="preserve">Booked by Karishma Patel</t>
  </si>
  <si>
    <t xml:space="preserve">Booking confirmed ✅ 
Farm number 11
₹2000 advance received
+91 9924033974
15 Persons Max
Rent: ₹5000
Deposit: ₹2000
Deposit Refund after check out.</t>
  </si>
  <si>
    <t xml:space="preserve">Booked by Rutish Vora</t>
  </si>
  <si>
    <t xml:space="preserve">Booking confirmed ✅ 
Farm number 11
Rutish Vora
27 Jun 2026 at 7:00 PM to 28 Jun 2026 at 6:00 PM
15 Persons Max
Rent: ₹6000
Deposit: ₹2000
Deposit Refund after check out.</t>
  </si>
  <si>
    <t xml:space="preserve">Booked by Rakesh Patel</t>
  </si>
  <si>
    <t xml:space="preserve">Booking confirmed ✅ 
Farm number 11
₹2000 advance received
‪+91 9909821210‬
28 Jun 2026 at 7:00 PM to 29 Jun 2026 at 5:00 PM
12 Persons Max
Rent: ₹4500
Deposit: ₹2000
Deposit Refund after check out.</t>
  </si>
  <si>
    <t xml:space="preserve">Booked by Prit Nandaniya</t>
  </si>
  <si>
    <t xml:space="preserve">Booking confirmed ✅ 
Farm number 11
₹1000 advance received
‪+91 9913310754‬
29 Jun 2026 at 7:00 PM to 30 Jun 2026 at 6:00 PM
12 Persons Max
Rent: ₹4000
Deposit: ₹2000
Deposit Refund after check out.</t>
  </si>
  <si>
    <t xml:space="preserve">Booked by Pravin Gupta</t>
  </si>
  <si>
    <t xml:space="preserve">Booking confirmed ✅ 
Farm number 11
₹1000 advance received
‪+91 7600730042‬
1 Jul 2026 at 9:00 AM to 1 Jul 2026 at 6:00 PM
7 Persons Max
Rent: ₹3000
Deposit: ₹1000
Deposit Refund after check out.</t>
  </si>
  <si>
    <t xml:space="preserve">Booked by Shailendra Shahu</t>
  </si>
  <si>
    <t xml:space="preserve">Booking confirmed ✅ 
Farm number 11
₹1000 received 
‪+91 9574219935‬
1 Jul 2026 at 8:00 PM to 2 Jul 2026 at 8:00 AM
13 Persons Max
Rent: ₹3000
Deposit: ₹1000
Deposit Refund after check out.</t>
  </si>
  <si>
    <t xml:space="preserve">Booked by Vasisth Mistry </t>
  </si>
  <si>
    <t xml:space="preserve">Booking confirmed ✅ 
₹1000 received 
Farm number 11
⁨‭+91 7383859789‬⁩
2 Persons Max
Rent: ₹2500
Deposit: ₹1000
Deposit Refund after check out.</t>
  </si>
  <si>
    <t xml:space="preserve">Booked by Yashu Kachhadiya</t>
  </si>
  <si>
    <t xml:space="preserve">Booking confirmed ✅ 
Farm number 11
₹2000 received
+91 7984392732
10 Persons Max
Rent: ₹5000
Deposit: ₹2000
Deposit Refund after check out.</t>
  </si>
  <si>
    <t xml:space="preserve">Booked by Dhaval Kareliya</t>
  </si>
  <si>
    <t xml:space="preserve">Booking confirmed
Farm number 11
₹1000 advance received
⁨‭+91 9924299442‬⁩
6 Persons Max
Rent: ₹2500
Deposit: ₹1000
Deposit Refund after check out.</t>
  </si>
  <si>
    <t xml:space="preserve">Booked by Dip Badgujar</t>
  </si>
  <si>
    <t xml:space="preserve">Booking confirmed ✅ 
Farm number 11
₹1000 received 
⁨‭+91 9574390401‬⁩
8 Persons Max
Rent: ₹3500
Deposit: ₹2000
Deposit Refund after check out.</t>
  </si>
  <si>
    <t xml:space="preserve">Booked by Devang Solanki</t>
  </si>
  <si>
    <t xml:space="preserve">Booking confirmed ✅ 
Farm number 11
₹1000 advance received
⁨‭+91 8758154377‬⁩
8 Jul 2026 at 7:00 PM to 10 Jul 2026 at 5:00 PM
10 Persons Max
Rent: ₹7500
Deposit: ₹2000
Deposit Refund after check out.</t>
  </si>
  <si>
    <t xml:space="preserve">Booked by Prince Patel</t>
  </si>
  <si>
    <t xml:space="preserve">Booking confirmed
Farm number 11
₹1000 Advance received
+919033734506
11 Jul 2026 at 10:00 AM to 11 Jul 2026 at 5:00 PM
4 Persons Max
Rent: ₹2500
Deposit: ₹1000
Deposit Refund after check out.</t>
  </si>
  <si>
    <t xml:space="preserve">Booked by Yogesh Bhatt</t>
  </si>
  <si>
    <t xml:space="preserve">Booking confirmed ✅ 
Farm number 11
₹2000 received 
+91 6359791441
11 Jul 2026 at 7:00 PM to 12 Jul 2026 at 5:00 PM
10 Persons Max
Rent: ₹5000
Deposit: ₹2000
Deposit Refund after check out.</t>
  </si>
  <si>
    <t xml:space="preserve">Booked by Angesh</t>
  </si>
  <si>
    <t xml:space="preserve">Booking confirmed
Farm number 11
₹1000 advance received
+91 7084229643
12 Jul 2026 at 9:00 PM to 13 Jul 2026 at 8:00 AM
10 Persons Max
Rent: ₹3000
Deposit: ₹1000
Deposit Refund after check out.</t>
  </si>
  <si>
    <t xml:space="preserve">Booked by Mayur Patil</t>
  </si>
  <si>
    <t xml:space="preserve">Booking confirmed ✅ 
Farm number 11
₹1000 advance received
+91 9998785401
13 Jul 2026 at 10:00 AM to 13 Jul 2026 at 5:00 PM
12 Persons Max
Rent: ₹3000
Deposit: ₹1000
Deposit Refund after check out.</t>
  </si>
  <si>
    <t xml:space="preserve">Booked by Vikas Singh</t>
  </si>
  <si>
    <t xml:space="preserve">Booking confirmed ✅ 
Farm number 11
₹2000 received 
⁨‭+91 8849013169‬⁩
8 Persons Max
Rent: ₹3500
Deposit: ₹1000
Deposit Refund after check out.</t>
  </si>
  <si>
    <t xml:space="preserve">Booked by Abhay Rana</t>
  </si>
  <si>
    <t xml:space="preserve">Booking confirmed ✅ 
Farm number  11
₹1000 advance received 
+91 79902 97397
10 Persons Max
Rent: ₹5500
Deposit: ₹2000
Deposit Refund after check out.</t>
  </si>
  <si>
    <t xml:space="preserve">Booked by Pradip Nayak</t>
  </si>
  <si>
    <t xml:space="preserve">Booking confirmed ✅ 
Farm number 11
₹1000 advance received
+91 7862033936
19 Jul 2026 at 7:00 PM to 20 Jul 2026 at 5:00 PM
8 Persons Max
Rent: ₹3500
Deposit: ₹1000
Deposit Refund after check out.</t>
  </si>
  <si>
    <t xml:space="preserve">Booked by Aaditya Maurya</t>
  </si>
  <si>
    <t xml:space="preserve">Booking Confirmed
Farm number 11
₹1000 advance received
+91 9033644770
7 Persons Max
Rent: ₹3000
Deposit: ₹1000
Deposit Refund after check out.</t>
  </si>
  <si>
    <t xml:space="preserve">Booked by Mayur Padmani</t>
  </si>
  <si>
    <t xml:space="preserve">Booking confirmed ✅ 
Farm number 11
₹1000 advance received
⁨‭+91 97273 33659‬⁩
2 Persons Max without pool 
Rent: ₹1500
Deposit: ₹1000
Deposit Refund after check out.</t>
  </si>
  <si>
    <t xml:space="preserve">Booked by Harshil Patel</t>
  </si>
  <si>
    <t xml:space="preserve">Booking Confirmed
Farm number 11
₹2000 advance received
+91 99248 16223
25 Jul 2026 at 7:00 PM to 26 Jul 2026 at 5:00 PM
12 Persons Max
Rent: ₹6000
Deposit: ₹2000
Deposit Refund after check out.</t>
  </si>
  <si>
    <t xml:space="preserve">Booked by Kapil Fodar</t>
  </si>
  <si>
    <t xml:space="preserve">Booking Confirmed ✅
Farm number 11
₹3000 advance received
⁨‭+91 6358043669‬⁩
27 Jul 2026 at 11:00 PM to 28 Jul 2026 at 7:00 AM
3 Persons Max
Rent: ₹2000
Deposit: ₹1000
Deposit Refund after check out.</t>
  </si>
  <si>
    <t xml:space="preserve">Booked by Mukesh</t>
  </si>
  <si>
    <t xml:space="preserve">Booking confirmed ✅ 
Farm number 11
₹1000 advance received
‪+91 7041401808‬
28 Jul 2026 at 9:00 AM to 28 Jul 2026 at 6:00 PM
6 Persons Max
Rent: ₹3000
Deposit: ₹1000
Deposit Refund after check out.</t>
  </si>
  <si>
    <t xml:space="preserve">Booked by Anil Solanki</t>
  </si>
  <si>
    <t xml:space="preserve">Booking confirmed
Farm number 11
₹1000 advance received
+91 7490908028
28 Jul 2026 at 9:00 PM to 29 Jul 2026 at 6:00 PM
8 Persons Max
Rent: ₹3500
Deposit: ₹1000
Deposit Refund after check out.</t>
  </si>
  <si>
    <t xml:space="preserve">Booked by Ankesh Jaiswal</t>
  </si>
  <si>
    <t xml:space="preserve">Booking confirmed
Farm number 11
₹1000 advance received
+91 8849023224
30 Jul 2026 at 9:00 AM to 30 Jul 2026 at 6:00 PM
2 Persons Max
Rent: ₹2000
Deposit: ₹1000
Deposit Refund after check out.</t>
  </si>
  <si>
    <t xml:space="preserve">Booked by Rashmi Limbachiya</t>
  </si>
  <si>
    <t xml:space="preserve">Booking confirmed
Farm number 11
₹2000 advance received
+91 9316762136
30 Jul 2026 at 7:00 PM to 31 Jul 2026 at 5:00 PM
2 Persons Max
Rent: ₹3500
Deposit: ₹1000
Deposit Refund after check out.</t>
  </si>
  <si>
    <t xml:space="preserve">Booked by Vasishtha</t>
  </si>
  <si>
    <t xml:space="preserve">Booking confirmed ✅
Farm number 11
₹1000 advance received
+91 7383859789
1 Aug 2026 at 10:00 AM to 1 Aug 2026 at 5:00 PM
2 Persons Max without pool
Rent: ₹1500
Deposit: ₹1000
Deposit Refund after check out.</t>
  </si>
  <si>
    <t xml:space="preserve">Booked by Gopal Patil</t>
  </si>
  <si>
    <t xml:space="preserve">Booking confirmed ✅ 
Farm number 11
₹2000 advance received
+91 8141043770
1 Aug 2026 at 7:00 PM to 2 Aug 2026 at 5:00 PM
8 Persons Max
Rent: ₹5500
Deposit: ₹2000
Deposit Refund after check out.</t>
  </si>
  <si>
    <t xml:space="preserve">Booked by Jhanvi</t>
  </si>
  <si>
    <t xml:space="preserve">Booking confirmed ✅ 
Farm number 11
₹5000 advance received
+91 9328073695
3 Sep 2026 at 7:00 PM to 5 Sep 2026 at 5:00 PM
16 Persons Max
Rent: ₹14500
Deposit: ₹2000
Deposit Refund after check out.</t>
  </si>
  <si>
    <t xml:space="preserve">Date</t>
  </si>
  <si>
    <t xml:space="preserve">Festival</t>
  </si>
  <si>
    <t xml:space="preserve">New Year</t>
  </si>
  <si>
    <t xml:space="preserve">Makar Sankranti</t>
  </si>
  <si>
    <t xml:space="preserve">Vasi Uttarayan</t>
  </si>
  <si>
    <t xml:space="preserve">Republic Day</t>
  </si>
  <si>
    <t xml:space="preserve">Maha Shivratri</t>
  </si>
  <si>
    <t xml:space="preserve">Holi</t>
  </si>
  <si>
    <t xml:space="preserve">Dhuleti</t>
  </si>
  <si>
    <t xml:space="preserve">Ram Navami</t>
  </si>
  <si>
    <t xml:space="preserve">Mahavir Jayanti</t>
  </si>
  <si>
    <t xml:space="preserve">Good Friday</t>
  </si>
  <si>
    <t xml:space="preserve">Eid-ul-Fitr</t>
  </si>
  <si>
    <t xml:space="preserve">Buddha Purnima</t>
  </si>
  <si>
    <t xml:space="preserve">Bakrid</t>
  </si>
  <si>
    <t xml:space="preserve">Muharram</t>
  </si>
  <si>
    <t xml:space="preserve">Independence Day</t>
  </si>
  <si>
    <t xml:space="preserve">Raksha Bandhan</t>
  </si>
  <si>
    <t xml:space="preserve">Janmashtami</t>
  </si>
  <si>
    <t xml:space="preserve">Ganesh Chaturthi</t>
  </si>
  <si>
    <t xml:space="preserve">Dussehra</t>
  </si>
  <si>
    <t xml:space="preserve">Sharad Purnima</t>
  </si>
  <si>
    <t xml:space="preserve">Dhanteras</t>
  </si>
  <si>
    <t xml:space="preserve">Kali Chaudas</t>
  </si>
  <si>
    <t xml:space="preserve">Diwali</t>
  </si>
  <si>
    <t xml:space="preserve">Bestu Varas</t>
  </si>
  <si>
    <t xml:space="preserve">Bhai Beej</t>
  </si>
  <si>
    <t xml:space="preserve">Christmas</t>
  </si>
  <si>
    <t xml:space="preserve">New Year's Eve</t>
  </si>
  <si>
    <t xml:space="preserve">festival_name</t>
  </si>
  <si>
    <t xml:space="preserve">festival_date</t>
  </si>
  <si>
    <t xml:space="preserve">window_start</t>
  </si>
  <si>
    <t xml:space="preserve">window_end</t>
  </si>
  <si>
    <t xml:space="preserve">demand_level</t>
  </si>
  <si>
    <t xml:space="preserve">festival_tier</t>
  </si>
  <si>
    <t xml:space="preserve">category</t>
  </si>
  <si>
    <t xml:space="preserve">dynamic_multiplier</t>
  </si>
  <si>
    <t xml:space="preserve">English New Year</t>
  </si>
  <si>
    <t xml:space="preserve">2027-01-01</t>
  </si>
  <si>
    <t xml:space="preserve">2026-12-31 17:00:00</t>
  </si>
  <si>
    <t xml:space="preserve">2027-01-01 23:59:59</t>
  </si>
  <si>
    <t xml:space="preserve">Very High</t>
  </si>
  <si>
    <t xml:space="preserve">Tier-1</t>
  </si>
  <si>
    <t xml:space="preserve">Public</t>
  </si>
  <si>
    <t xml:space="preserve">Lohri</t>
  </si>
  <si>
    <t xml:space="preserve">2027-01-14</t>
  </si>
  <si>
    <t xml:space="preserve">2027-01-13 17:00:00</t>
  </si>
  <si>
    <t xml:space="preserve">2027-01-14 23:59:59</t>
  </si>
  <si>
    <t xml:space="preserve">Medium</t>
  </si>
  <si>
    <t xml:space="preserve">Tier-2</t>
  </si>
  <si>
    <t xml:space="preserve">Harvest</t>
  </si>
  <si>
    <t xml:space="preserve">Makara Sankranti</t>
  </si>
  <si>
    <t xml:space="preserve">2027-01-15</t>
  </si>
  <si>
    <t xml:space="preserve">2027-01-14 17:00:00</t>
  </si>
  <si>
    <t xml:space="preserve">2027-01-16 17:00:00</t>
  </si>
  <si>
    <t xml:space="preserve">2027-01-26</t>
  </si>
  <si>
    <t xml:space="preserve">2027-01-25 17:00:00</t>
  </si>
  <si>
    <t xml:space="preserve">2027-01-26 23:59:59</t>
  </si>
  <si>
    <t xml:space="preserve">National</t>
  </si>
  <si>
    <t xml:space="preserve">Vasant Panchami</t>
  </si>
  <si>
    <t xml:space="preserve">2027-02-11</t>
  </si>
  <si>
    <t xml:space="preserve">2027-02-10 17:00:00</t>
  </si>
  <si>
    <t xml:space="preserve">2027-02-11 23:59:59</t>
  </si>
  <si>
    <t xml:space="preserve">Tier-3</t>
  </si>
  <si>
    <t xml:space="preserve">Religious</t>
  </si>
  <si>
    <t xml:space="preserve">Maha Shivaratri</t>
  </si>
  <si>
    <t xml:space="preserve">2027-03-06</t>
  </si>
  <si>
    <t xml:space="preserve">2027-03-05 17:00:00</t>
  </si>
  <si>
    <t xml:space="preserve">2027-03-07 12:00:00</t>
  </si>
  <si>
    <t xml:space="preserve">High</t>
  </si>
  <si>
    <t xml:space="preserve">2027-03-22</t>
  </si>
  <si>
    <t xml:space="preserve">2027-03-21 17:00:00</t>
  </si>
  <si>
    <t xml:space="preserve">2027-03-23 17:00:00</t>
  </si>
  <si>
    <t xml:space="preserve">2027-03-26</t>
  </si>
  <si>
    <t xml:space="preserve">2027-03-25 17:00:00</t>
  </si>
  <si>
    <t xml:space="preserve">2027-03-26 23:59:59</t>
  </si>
  <si>
    <t xml:space="preserve">Christian</t>
  </si>
  <si>
    <t xml:space="preserve">Ugadi</t>
  </si>
  <si>
    <t xml:space="preserve">2027-04-07</t>
  </si>
  <si>
    <t xml:space="preserve">2027-04-06 17:00:00</t>
  </si>
  <si>
    <t xml:space="preserve">2027-04-07 23:59:59</t>
  </si>
  <si>
    <t xml:space="preserve">Baisakhi</t>
  </si>
  <si>
    <t xml:space="preserve">2027-04-14</t>
  </si>
  <si>
    <t xml:space="preserve">2027-04-13 17:00:00</t>
  </si>
  <si>
    <t xml:space="preserve">2027-04-14 23:59:59</t>
  </si>
  <si>
    <t xml:space="preserve">Rama Navami</t>
  </si>
  <si>
    <t xml:space="preserve">2027-04-15</t>
  </si>
  <si>
    <t xml:space="preserve">2027-04-14 17:00:00</t>
  </si>
  <si>
    <t xml:space="preserve">2027-04-15 23:59:59</t>
  </si>
  <si>
    <t xml:space="preserve">2027-04-19</t>
  </si>
  <si>
    <t xml:space="preserve">2027-04-18 17:00:00</t>
  </si>
  <si>
    <t xml:space="preserve">2027-04-19 23:59:59</t>
  </si>
  <si>
    <t xml:space="preserve">Jain</t>
  </si>
  <si>
    <t xml:space="preserve">Eid al-Adha</t>
  </si>
  <si>
    <t xml:space="preserve">2027-05-17</t>
  </si>
  <si>
    <t xml:space="preserve">2027-05-16 17:00:00</t>
  </si>
  <si>
    <t xml:space="preserve">2027-05-17 23:59:59</t>
  </si>
  <si>
    <t xml:space="preserve">Islamic</t>
  </si>
  <si>
    <t xml:space="preserve">2027-05-20</t>
  </si>
  <si>
    <t xml:space="preserve">2027-05-19 17:00:00</t>
  </si>
  <si>
    <t xml:space="preserve">2027-05-20 23:59:59</t>
  </si>
  <si>
    <t xml:space="preserve">Buddhist</t>
  </si>
  <si>
    <t xml:space="preserve">Jagannath Rath Yatra</t>
  </si>
  <si>
    <t xml:space="preserve">2027-07-05</t>
  </si>
  <si>
    <t xml:space="preserve">2027-07-04 17:00:00</t>
  </si>
  <si>
    <t xml:space="preserve">2027-07-05 23:59:59</t>
  </si>
  <si>
    <t xml:space="preserve">Guru Purnima</t>
  </si>
  <si>
    <t xml:space="preserve">2027-07-18</t>
  </si>
  <si>
    <t xml:space="preserve">2027-07-17 17:00:00</t>
  </si>
  <si>
    <t xml:space="preserve">2027-07-18 23:59:59</t>
  </si>
  <si>
    <t xml:space="preserve">2027-08-15</t>
  </si>
  <si>
    <t xml:space="preserve">2027-08-14 17:00:00</t>
  </si>
  <si>
    <t xml:space="preserve">2027-08-15 23:59:59</t>
  </si>
  <si>
    <t xml:space="preserve">2027-08-17</t>
  </si>
  <si>
    <t xml:space="preserve">2027-08-16 17:00:00</t>
  </si>
  <si>
    <t xml:space="preserve">2027-08-17 23:59:59</t>
  </si>
  <si>
    <t xml:space="preserve">Krishna Janmashtami</t>
  </si>
  <si>
    <t xml:space="preserve">2027-08-25</t>
  </si>
  <si>
    <t xml:space="preserve">2027-08-24 17:00:00</t>
  </si>
  <si>
    <t xml:space="preserve">2027-08-25 23:59:59</t>
  </si>
  <si>
    <t xml:space="preserve">2027-09-04</t>
  </si>
  <si>
    <t xml:space="preserve">2027-09-03 17:00:00</t>
  </si>
  <si>
    <t xml:space="preserve">2027-09-05 12:00:00</t>
  </si>
  <si>
    <t xml:space="preserve">Onam</t>
  </si>
  <si>
    <t xml:space="preserve">2027-09-12</t>
  </si>
  <si>
    <t xml:space="preserve">2027-09-11 17:00:00</t>
  </si>
  <si>
    <t xml:space="preserve">2027-09-12 23:59:59</t>
  </si>
  <si>
    <t xml:space="preserve">Gandhi Jayanti</t>
  </si>
  <si>
    <t xml:space="preserve">2027-10-02</t>
  </si>
  <si>
    <t xml:space="preserve">2027-10-01 17:00:00</t>
  </si>
  <si>
    <t xml:space="preserve">2027-10-02 23:59:59</t>
  </si>
  <si>
    <t xml:space="preserve">Durga Ashtami</t>
  </si>
  <si>
    <t xml:space="preserve">2027-10-07</t>
  </si>
  <si>
    <t xml:space="preserve">2027-10-06 17:00:00</t>
  </si>
  <si>
    <t xml:space="preserve">2027-10-07 23:59:59</t>
  </si>
  <si>
    <t xml:space="preserve">Maha Navami</t>
  </si>
  <si>
    <t xml:space="preserve">2027-10-08</t>
  </si>
  <si>
    <t xml:space="preserve">2027-10-07 17:00:00</t>
  </si>
  <si>
    <t xml:space="preserve">2027-10-08 23:59:59</t>
  </si>
  <si>
    <t xml:space="preserve">2027-10-09</t>
  </si>
  <si>
    <t xml:space="preserve">2027-10-08 17:00:00</t>
  </si>
  <si>
    <t xml:space="preserve">2027-10-09 23:59:59</t>
  </si>
  <si>
    <t xml:space="preserve">2027-10-29</t>
  </si>
  <si>
    <t xml:space="preserve">2027-10-28 17:00:00</t>
  </si>
  <si>
    <t xml:space="preserve">2027-10-31 17:00:00</t>
  </si>
  <si>
    <t xml:space="preserve">Extreme</t>
  </si>
  <si>
    <t xml:space="preserve">Govardhan Puja</t>
  </si>
  <si>
    <t xml:space="preserve">2027-10-30</t>
  </si>
  <si>
    <t xml:space="preserve">2027-10-29 17:00:00</t>
  </si>
  <si>
    <t xml:space="preserve">2027-10-30 23:59:59</t>
  </si>
  <si>
    <t xml:space="preserve">Bhai Dooj</t>
  </si>
  <si>
    <t xml:space="preserve">2027-10-31</t>
  </si>
  <si>
    <t xml:space="preserve">2027-10-30 17:00:00</t>
  </si>
  <si>
    <t xml:space="preserve">2027-10-31 23:59:59</t>
  </si>
  <si>
    <t xml:space="preserve">Chhath Puja</t>
  </si>
  <si>
    <t xml:space="preserve">2027-11-04</t>
  </si>
  <si>
    <t xml:space="preserve">2027-11-03 17:00:00</t>
  </si>
  <si>
    <t xml:space="preserve">2027-11-04 23:59:59</t>
  </si>
  <si>
    <t xml:space="preserve">Guru Nanak Jayanti</t>
  </si>
  <si>
    <t xml:space="preserve">2027-11-14</t>
  </si>
  <si>
    <t xml:space="preserve">2027-11-13 17:00:00</t>
  </si>
  <si>
    <t xml:space="preserve">2027-11-14 23:59:59</t>
  </si>
  <si>
    <t xml:space="preserve">Sikh</t>
  </si>
  <si>
    <t xml:space="preserve">2027-12-25</t>
  </si>
  <si>
    <t xml:space="preserve">2027-12-24 17:00:00</t>
  </si>
  <si>
    <t xml:space="preserve">2027-12-26 17:00:00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</si>
</sst>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$₹]#,##0.00"/>
    <numFmt numFmtId="166" formatCode="yyyy\-m"/>
    <numFmt numFmtId="167" formatCode="\₹#,###"/>
    <numFmt numFmtId="168" formatCode="0.00%;[RED]\-0.00%;&quot;N/A&quot;"/>
    <numFmt numFmtId="169" formatCode="0"/>
    <numFmt numFmtId="170" formatCode="yyyy\-mm"/>
    <numFmt numFmtId="171" formatCode="dd/mm/yyyy"/>
    <numFmt numFmtId="172" formatCode="hh:mm:ss"/>
    <numFmt numFmtId="173" formatCode="0.00"/>
    <numFmt numFmtId="174" formatCode="\₹#,###.00"/>
    <numFmt numFmtId="175" formatCode="&quot;TRUE&quot;;&quot;TRUE&quot;;&quot;FALSE&quot;"/>
    <numFmt numFmtId="176" formatCode="dd/mm/yy"/>
    <numFmt numFmtId="177" formatCode="dd/mm/yy"/>
    <numFmt numFmtId="178" formatCode="@"/>
  </numFmts>
  <fonts count="7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  <font>
      <b val="true"/>
      <sz val="11"/>
      <color rgb="FF000000"/>
      <name val="Cambri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B3" activeCellId="0" sqref="B3"/>
    </sheetView>
  </sheetViews>
  <sheetFormatPr defaultColWidth="12.6796875" defaultRowHeight="15.75" customHeight="false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8.38"/>
    <col collapsed="false" customWidth="true" hidden="false" outlineLevel="0" max="3" min="3" style="1" width="14.75"/>
    <col collapsed="false" customWidth="true" hidden="false" outlineLevel="0" max="4" min="4" style="1" width="15.49"/>
    <col collapsed="false" customWidth="true" hidden="false" outlineLevel="0" max="5" min="5" style="1" width="19.51"/>
    <col collapsed="false" customWidth="true" hidden="false" outlineLevel="0" max="6" min="6" style="1" width="11.76"/>
    <col collapsed="false" customWidth="true" hidden="false" outlineLevel="0" max="7" min="7" style="1" width="18.25"/>
    <col collapsed="false" customWidth="true" hidden="false" outlineLevel="0" max="8" min="8" style="1" width="16.26"/>
    <col collapsed="false" customWidth="true" hidden="false" outlineLevel="0" max="9" min="9" style="1" width="15.63"/>
    <col collapsed="false" customWidth="true" hidden="false" outlineLevel="0" max="10" min="10" style="1" width="16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/>
    </row>
    <row r="2" customFormat="false" ht="13.8" hidden="false" customHeight="false" outlineLevel="0" collapsed="false">
      <c r="A2" s="4" t="n">
        <v>45261</v>
      </c>
      <c r="B2" s="5" t="n">
        <v>50100</v>
      </c>
      <c r="C2" s="6"/>
      <c r="D2" s="6" t="n">
        <v>0.382352941176471</v>
      </c>
      <c r="E2" s="6"/>
      <c r="F2" s="7" t="n">
        <v>18</v>
      </c>
      <c r="G2" s="6"/>
      <c r="H2" s="8" t="n">
        <v>14</v>
      </c>
      <c r="I2" s="8" t="n">
        <v>0</v>
      </c>
      <c r="J2" s="8" t="n">
        <v>7</v>
      </c>
      <c r="L2" s="3"/>
    </row>
    <row r="3" customFormat="false" ht="13.8" hidden="false" customHeight="false" outlineLevel="0" collapsed="false">
      <c r="A3" s="9" t="n">
        <v>45292</v>
      </c>
      <c r="B3" s="5" t="n">
        <v>72600</v>
      </c>
      <c r="C3" s="6"/>
      <c r="D3" s="6" t="n">
        <v>0.619047619047619</v>
      </c>
      <c r="E3" s="6"/>
      <c r="F3" s="7" t="n">
        <v>19</v>
      </c>
      <c r="G3" s="6"/>
      <c r="H3" s="8" t="n">
        <v>9</v>
      </c>
      <c r="I3" s="8" t="n">
        <v>2</v>
      </c>
      <c r="J3" s="8" t="n">
        <v>5</v>
      </c>
      <c r="L3" s="3"/>
    </row>
    <row r="4" customFormat="false" ht="13.8" hidden="false" customHeight="false" outlineLevel="0" collapsed="false">
      <c r="A4" s="9" t="n">
        <v>45323</v>
      </c>
      <c r="B4" s="5" t="n">
        <v>61100</v>
      </c>
      <c r="C4" s="6"/>
      <c r="D4" s="6" t="n">
        <v>0.625</v>
      </c>
      <c r="E4" s="6"/>
      <c r="F4" s="7" t="n">
        <v>21</v>
      </c>
      <c r="G4" s="6"/>
      <c r="H4" s="8" t="n">
        <v>7</v>
      </c>
      <c r="I4" s="8" t="n">
        <v>0</v>
      </c>
      <c r="J4" s="8" t="n">
        <v>5</v>
      </c>
      <c r="L4" s="3"/>
    </row>
    <row r="5" customFormat="false" ht="13.8" hidden="false" customHeight="false" outlineLevel="0" collapsed="false">
      <c r="A5" s="9" t="n">
        <v>45352</v>
      </c>
      <c r="B5" s="5" t="n">
        <v>113450</v>
      </c>
      <c r="C5" s="6"/>
      <c r="D5" s="6" t="n">
        <v>0.75</v>
      </c>
      <c r="E5" s="6"/>
      <c r="F5" s="7" t="n">
        <v>23</v>
      </c>
      <c r="G5" s="6"/>
      <c r="H5" s="8" t="n">
        <v>9</v>
      </c>
      <c r="I5" s="8" t="n">
        <v>0</v>
      </c>
      <c r="J5" s="8" t="n">
        <v>2</v>
      </c>
      <c r="L5" s="3"/>
    </row>
    <row r="6" customFormat="false" ht="13.8" hidden="false" customHeight="false" outlineLevel="0" collapsed="false">
      <c r="A6" s="9" t="n">
        <v>45383</v>
      </c>
      <c r="B6" s="5" t="n">
        <v>131300</v>
      </c>
      <c r="C6" s="6"/>
      <c r="D6" s="6" t="n">
        <v>0.803921568627451</v>
      </c>
      <c r="E6" s="6"/>
      <c r="F6" s="7" t="n">
        <v>26</v>
      </c>
      <c r="G6" s="6"/>
      <c r="H6" s="8" t="n">
        <v>4</v>
      </c>
      <c r="I6" s="8" t="n">
        <v>1</v>
      </c>
      <c r="J6" s="8" t="n">
        <v>5</v>
      </c>
      <c r="L6" s="3"/>
    </row>
    <row r="7" customFormat="false" ht="13.8" hidden="false" customHeight="false" outlineLevel="0" collapsed="false">
      <c r="A7" s="9" t="n">
        <v>45413</v>
      </c>
      <c r="B7" s="5" t="n">
        <v>191000</v>
      </c>
      <c r="C7" s="6"/>
      <c r="D7" s="6" t="n">
        <v>0.932203389830508</v>
      </c>
      <c r="E7" s="6"/>
      <c r="F7" s="7" t="n">
        <v>32</v>
      </c>
      <c r="G7" s="6"/>
      <c r="H7" s="8" t="n">
        <v>1</v>
      </c>
      <c r="I7" s="8" t="n">
        <v>0</v>
      </c>
      <c r="J7" s="8" t="n">
        <v>3</v>
      </c>
      <c r="L7" s="3"/>
    </row>
    <row r="8" customFormat="false" ht="13.8" hidden="false" customHeight="false" outlineLevel="0" collapsed="false">
      <c r="A8" s="9" t="n">
        <v>45444</v>
      </c>
      <c r="B8" s="5" t="n">
        <v>140200</v>
      </c>
      <c r="C8" s="6"/>
      <c r="D8" s="6" t="n">
        <v>0.787234042553192</v>
      </c>
      <c r="E8" s="6"/>
      <c r="F8" s="7" t="n">
        <v>26</v>
      </c>
      <c r="G8" s="6"/>
      <c r="H8" s="8" t="n">
        <v>4</v>
      </c>
      <c r="I8" s="8" t="n">
        <v>0</v>
      </c>
      <c r="J8" s="8" t="n">
        <v>6</v>
      </c>
      <c r="L8" s="3"/>
    </row>
    <row r="9" customFormat="false" ht="13.8" hidden="false" customHeight="false" outlineLevel="0" collapsed="false">
      <c r="A9" s="9" t="n">
        <v>45474</v>
      </c>
      <c r="B9" s="5" t="n">
        <v>53500</v>
      </c>
      <c r="C9" s="6"/>
      <c r="D9" s="6" t="n">
        <v>0.425</v>
      </c>
      <c r="E9" s="6"/>
      <c r="F9" s="7" t="n">
        <v>19</v>
      </c>
      <c r="G9" s="6"/>
      <c r="H9" s="8" t="n">
        <v>13</v>
      </c>
      <c r="I9" s="8" t="n">
        <v>0</v>
      </c>
      <c r="J9" s="8" t="n">
        <v>10</v>
      </c>
      <c r="L9" s="3"/>
    </row>
    <row r="10" customFormat="false" ht="13.8" hidden="false" customHeight="false" outlineLevel="0" collapsed="false">
      <c r="A10" s="9" t="n">
        <v>45505</v>
      </c>
      <c r="B10" s="5" t="n">
        <v>56900</v>
      </c>
      <c r="C10" s="6"/>
      <c r="D10" s="6" t="n">
        <v>0.538461538461538</v>
      </c>
      <c r="E10" s="6"/>
      <c r="F10" s="7" t="n">
        <v>23</v>
      </c>
      <c r="G10" s="6"/>
      <c r="H10" s="8" t="n">
        <v>9</v>
      </c>
      <c r="I10" s="8" t="n">
        <v>0</v>
      </c>
      <c r="J10" s="8" t="n">
        <v>9</v>
      </c>
      <c r="L10" s="3"/>
    </row>
    <row r="11" customFormat="false" ht="13.8" hidden="false" customHeight="false" outlineLevel="0" collapsed="false">
      <c r="A11" s="9" t="n">
        <v>45536</v>
      </c>
      <c r="B11" s="5" t="n">
        <v>42200</v>
      </c>
      <c r="C11" s="6"/>
      <c r="D11" s="6" t="n">
        <v>0.277777777777778</v>
      </c>
      <c r="E11" s="6"/>
      <c r="F11" s="7" t="n">
        <v>20</v>
      </c>
      <c r="G11" s="6"/>
      <c r="H11" s="8" t="n">
        <v>10</v>
      </c>
      <c r="I11" s="8" t="n">
        <v>1</v>
      </c>
      <c r="J11" s="8" t="n">
        <v>15</v>
      </c>
      <c r="L11" s="3"/>
    </row>
    <row r="12" customFormat="false" ht="13.8" hidden="false" customHeight="false" outlineLevel="0" collapsed="false">
      <c r="A12" s="4" t="n">
        <v>45566</v>
      </c>
      <c r="B12" s="5" t="n">
        <v>67000</v>
      </c>
      <c r="C12" s="6"/>
      <c r="D12" s="6" t="n">
        <v>0.567567567567568</v>
      </c>
      <c r="E12" s="6"/>
      <c r="F12" s="7" t="n">
        <v>21</v>
      </c>
      <c r="G12" s="6"/>
      <c r="H12" s="8" t="n">
        <v>8</v>
      </c>
      <c r="I12" s="8" t="n">
        <v>1</v>
      </c>
      <c r="J12" s="8" t="n">
        <v>7</v>
      </c>
      <c r="L12" s="3"/>
    </row>
    <row r="13" customFormat="false" ht="13.8" hidden="false" customHeight="false" outlineLevel="0" collapsed="false">
      <c r="A13" s="4" t="n">
        <v>45597</v>
      </c>
      <c r="B13" s="5" t="n">
        <v>93400</v>
      </c>
      <c r="C13" s="6"/>
      <c r="D13" s="6" t="n">
        <v>0.717391304347826</v>
      </c>
      <c r="E13" s="6"/>
      <c r="F13" s="7" t="n">
        <v>29</v>
      </c>
      <c r="G13" s="6"/>
      <c r="H13" s="8" t="n">
        <v>3</v>
      </c>
      <c r="I13" s="8" t="n">
        <v>0</v>
      </c>
      <c r="J13" s="8" t="n">
        <v>10</v>
      </c>
      <c r="L13" s="3"/>
    </row>
    <row r="14" customFormat="false" ht="13.8" hidden="false" customHeight="false" outlineLevel="0" collapsed="false">
      <c r="A14" s="4" t="n">
        <v>45627</v>
      </c>
      <c r="B14" s="5" t="n">
        <v>57200</v>
      </c>
      <c r="C14" s="6" t="n">
        <v>0.141716566866267</v>
      </c>
      <c r="D14" s="6" t="n">
        <v>0.5</v>
      </c>
      <c r="E14" s="6" t="n">
        <v>0.307692307692308</v>
      </c>
      <c r="F14" s="7" t="n">
        <v>21</v>
      </c>
      <c r="G14" s="6" t="n">
        <v>0.166666666666667</v>
      </c>
      <c r="H14" s="8" t="n">
        <v>9</v>
      </c>
      <c r="I14" s="8" t="n">
        <v>1</v>
      </c>
      <c r="J14" s="8" t="n">
        <v>10</v>
      </c>
      <c r="L14" s="3"/>
    </row>
    <row r="15" customFormat="false" ht="13.8" hidden="false" customHeight="false" outlineLevel="0" collapsed="false">
      <c r="A15" s="9" t="n">
        <v>45658</v>
      </c>
      <c r="B15" s="5" t="n">
        <v>73500</v>
      </c>
      <c r="C15" s="6" t="n">
        <v>0.012396694214876</v>
      </c>
      <c r="D15" s="6" t="n">
        <v>0.58695652173913</v>
      </c>
      <c r="E15" s="6" t="n">
        <v>-0.0518394648829431</v>
      </c>
      <c r="F15" s="7" t="n">
        <v>23</v>
      </c>
      <c r="G15" s="6" t="n">
        <v>0.210526315789474</v>
      </c>
      <c r="H15" s="8" t="n">
        <v>10</v>
      </c>
      <c r="I15" s="8" t="n">
        <v>0</v>
      </c>
      <c r="J15" s="8" t="n">
        <v>9</v>
      </c>
      <c r="L15" s="3"/>
    </row>
    <row r="16" customFormat="false" ht="13.8" hidden="false" customHeight="false" outlineLevel="0" collapsed="false">
      <c r="A16" s="9" t="n">
        <v>45689</v>
      </c>
      <c r="B16" s="5" t="n">
        <v>41000</v>
      </c>
      <c r="C16" s="6" t="n">
        <v>-0.328968903436989</v>
      </c>
      <c r="D16" s="6" t="n">
        <v>0.394736842105263</v>
      </c>
      <c r="E16" s="6" t="n">
        <v>-0.368421052631579</v>
      </c>
      <c r="F16" s="7" t="n">
        <v>16</v>
      </c>
      <c r="G16" s="6" t="n">
        <v>-0.238095238095238</v>
      </c>
      <c r="H16" s="8" t="n">
        <v>13</v>
      </c>
      <c r="I16" s="8" t="n">
        <v>0</v>
      </c>
      <c r="J16" s="8" t="n">
        <v>10</v>
      </c>
      <c r="L16" s="3"/>
    </row>
    <row r="17" customFormat="false" ht="13.8" hidden="false" customHeight="false" outlineLevel="0" collapsed="false">
      <c r="A17" s="9" t="n">
        <v>45717</v>
      </c>
      <c r="B17" s="5" t="n">
        <v>128500</v>
      </c>
      <c r="C17" s="6" t="n">
        <v>0.132657558395769</v>
      </c>
      <c r="D17" s="6" t="n">
        <v>0.829787234042553</v>
      </c>
      <c r="E17" s="6" t="n">
        <v>0.106382978723404</v>
      </c>
      <c r="F17" s="7" t="n">
        <v>25</v>
      </c>
      <c r="G17" s="6" t="n">
        <v>0.0869565217391304</v>
      </c>
      <c r="H17" s="8" t="n">
        <v>5</v>
      </c>
      <c r="I17" s="8" t="n">
        <v>0</v>
      </c>
      <c r="J17" s="8" t="n">
        <v>3</v>
      </c>
      <c r="L17" s="3"/>
    </row>
    <row r="18" customFormat="false" ht="13.8" hidden="false" customHeight="false" outlineLevel="0" collapsed="false">
      <c r="A18" s="9" t="n">
        <v>45748</v>
      </c>
      <c r="B18" s="5" t="n">
        <v>151400</v>
      </c>
      <c r="C18" s="6" t="n">
        <v>0.153084539223153</v>
      </c>
      <c r="D18" s="6" t="n">
        <v>0.833333333333333</v>
      </c>
      <c r="E18" s="6" t="n">
        <v>0.0365853658536585</v>
      </c>
      <c r="F18" s="7" t="n">
        <v>27</v>
      </c>
      <c r="G18" s="6" t="n">
        <v>0.0384615384615385</v>
      </c>
      <c r="H18" s="8" t="n">
        <v>3</v>
      </c>
      <c r="I18" s="8" t="n">
        <v>1</v>
      </c>
      <c r="J18" s="8" t="n">
        <v>5</v>
      </c>
      <c r="L18" s="3"/>
    </row>
    <row r="19" customFormat="false" ht="13.8" hidden="false" customHeight="false" outlineLevel="0" collapsed="false">
      <c r="A19" s="9" t="n">
        <v>45778</v>
      </c>
      <c r="B19" s="5" t="n">
        <v>172550</v>
      </c>
      <c r="C19" s="6" t="n">
        <v>-0.0965968586387435</v>
      </c>
      <c r="D19" s="6" t="n">
        <v>0.909090909090909</v>
      </c>
      <c r="E19" s="6" t="n">
        <v>-0.0247933884297521</v>
      </c>
      <c r="F19" s="7" t="n">
        <v>35</v>
      </c>
      <c r="G19" s="6" t="n">
        <v>0.09375</v>
      </c>
      <c r="H19" s="8" t="n">
        <v>1</v>
      </c>
      <c r="I19" s="8" t="n">
        <v>1</v>
      </c>
      <c r="J19" s="8" t="n">
        <v>3</v>
      </c>
      <c r="L19" s="3"/>
    </row>
    <row r="20" customFormat="false" ht="13.8" hidden="false" customHeight="false" outlineLevel="0" collapsed="false">
      <c r="A20" s="9" t="n">
        <v>45809</v>
      </c>
      <c r="B20" s="5" t="n">
        <v>106700</v>
      </c>
      <c r="C20" s="6" t="n">
        <v>-0.238944365192582</v>
      </c>
      <c r="D20" s="6" t="n">
        <v>0.68</v>
      </c>
      <c r="E20" s="6" t="n">
        <v>-0.136216216216216</v>
      </c>
      <c r="F20" s="7" t="n">
        <v>33</v>
      </c>
      <c r="G20" s="6" t="n">
        <v>0.269230769230769</v>
      </c>
      <c r="H20" s="8" t="n">
        <v>10</v>
      </c>
      <c r="I20" s="8" t="n">
        <v>1</v>
      </c>
      <c r="J20" s="8" t="n">
        <v>5</v>
      </c>
      <c r="L20" s="3"/>
    </row>
    <row r="21" customFormat="false" ht="13.8" hidden="false" customHeight="false" outlineLevel="0" collapsed="false">
      <c r="A21" s="9" t="n">
        <v>45839</v>
      </c>
      <c r="B21" s="5" t="n">
        <v>59500</v>
      </c>
      <c r="C21" s="6" t="n">
        <v>0.11214953271028</v>
      </c>
      <c r="D21" s="6" t="n">
        <v>0.513513513513513</v>
      </c>
      <c r="E21" s="6" t="n">
        <v>0.208267090620032</v>
      </c>
      <c r="F21" s="7" t="n">
        <v>22</v>
      </c>
      <c r="G21" s="6" t="n">
        <v>0.157894736842105</v>
      </c>
      <c r="H21" s="8" t="n">
        <v>8</v>
      </c>
      <c r="I21" s="8" t="n">
        <v>0</v>
      </c>
      <c r="J21" s="8" t="n">
        <v>10</v>
      </c>
      <c r="L21" s="3"/>
    </row>
    <row r="22" customFormat="false" ht="13.8" hidden="false" customHeight="false" outlineLevel="0" collapsed="false">
      <c r="A22" s="9" t="n">
        <v>45870</v>
      </c>
      <c r="B22" s="5" t="n">
        <v>76900</v>
      </c>
      <c r="C22" s="6" t="n">
        <v>0.351493848857645</v>
      </c>
      <c r="D22" s="6" t="n">
        <v>0.60377358490566</v>
      </c>
      <c r="E22" s="6" t="n">
        <v>0.121293800539084</v>
      </c>
      <c r="F22" s="7" t="n">
        <v>24</v>
      </c>
      <c r="G22" s="6" t="n">
        <v>0.0434782608695652</v>
      </c>
      <c r="H22" s="8" t="n">
        <v>10</v>
      </c>
      <c r="I22" s="8" t="n">
        <v>0</v>
      </c>
      <c r="J22" s="8" t="n">
        <v>11</v>
      </c>
      <c r="L22" s="3"/>
    </row>
    <row r="23" customFormat="false" ht="13.8" hidden="false" customHeight="false" outlineLevel="0" collapsed="false">
      <c r="A23" s="9" t="n">
        <v>45901</v>
      </c>
      <c r="B23" s="5" t="n">
        <v>41600</v>
      </c>
      <c r="C23" s="6" t="n">
        <v>-0.014218009478673</v>
      </c>
      <c r="D23" s="6" t="n">
        <v>0.333333333333333</v>
      </c>
      <c r="E23" s="6" t="n">
        <v>0.2</v>
      </c>
      <c r="F23" s="7" t="n">
        <v>20</v>
      </c>
      <c r="G23" s="6" t="n">
        <v>0</v>
      </c>
      <c r="H23" s="8" t="n">
        <v>12</v>
      </c>
      <c r="I23" s="8" t="n">
        <v>0</v>
      </c>
      <c r="J23" s="8" t="n">
        <v>8</v>
      </c>
      <c r="L23" s="3"/>
    </row>
    <row r="24" customFormat="false" ht="13.8" hidden="false" customHeight="false" outlineLevel="0" collapsed="false">
      <c r="A24" s="4" t="n">
        <v>45931</v>
      </c>
      <c r="B24" s="5" t="n">
        <v>85800</v>
      </c>
      <c r="C24" s="6" t="n">
        <v>0.280597014925373</v>
      </c>
      <c r="D24" s="6" t="n">
        <v>0.617021276595745</v>
      </c>
      <c r="E24" s="6" t="n">
        <v>0.0871327254305978</v>
      </c>
      <c r="F24" s="7" t="n">
        <v>30</v>
      </c>
      <c r="G24" s="6" t="n">
        <v>0.428571428571429</v>
      </c>
      <c r="H24" s="8" t="n">
        <v>5</v>
      </c>
      <c r="I24" s="8" t="n">
        <v>2</v>
      </c>
      <c r="J24" s="8" t="n">
        <v>11</v>
      </c>
      <c r="L24" s="3"/>
    </row>
    <row r="25" customFormat="false" ht="13.8" hidden="false" customHeight="false" outlineLevel="0" collapsed="false">
      <c r="A25" s="4" t="n">
        <v>45962</v>
      </c>
      <c r="B25" s="5" t="n">
        <v>51200</v>
      </c>
      <c r="C25" s="6" t="n">
        <v>-0.451820128479657</v>
      </c>
      <c r="D25" s="6" t="n">
        <v>0.477272727272727</v>
      </c>
      <c r="E25" s="6" t="n">
        <v>-0.334710743801653</v>
      </c>
      <c r="F25" s="7" t="n">
        <v>18</v>
      </c>
      <c r="G25" s="6" t="n">
        <v>-0.379310344827586</v>
      </c>
      <c r="H25" s="8" t="n">
        <v>13</v>
      </c>
      <c r="I25" s="8" t="n">
        <v>2</v>
      </c>
      <c r="J25" s="8" t="n">
        <v>8</v>
      </c>
      <c r="L25" s="3"/>
    </row>
    <row r="26" customFormat="false" ht="13.8" hidden="false" customHeight="false" outlineLevel="0" collapsed="false">
      <c r="A26" s="4" t="n">
        <v>45992</v>
      </c>
      <c r="B26" s="5" t="n">
        <v>55500</v>
      </c>
      <c r="C26" s="6" t="n">
        <v>-0.0297202797202797</v>
      </c>
      <c r="D26" s="6" t="n">
        <v>0.530612244897959</v>
      </c>
      <c r="E26" s="6" t="n">
        <v>0.0612244897959184</v>
      </c>
      <c r="F26" s="7" t="n">
        <v>16</v>
      </c>
      <c r="G26" s="6" t="n">
        <v>-0.238095238095238</v>
      </c>
      <c r="H26" s="8" t="n">
        <v>12</v>
      </c>
      <c r="I26" s="8" t="n">
        <v>0</v>
      </c>
      <c r="J26" s="8" t="n">
        <v>11</v>
      </c>
      <c r="L26" s="3"/>
    </row>
    <row r="27" customFormat="false" ht="13.8" hidden="false" customHeight="false" outlineLevel="0" collapsed="false">
      <c r="A27" s="9" t="n">
        <v>46023</v>
      </c>
      <c r="B27" s="5" t="n">
        <v>51500</v>
      </c>
      <c r="C27" s="6" t="n">
        <v>-0.299319727891156</v>
      </c>
      <c r="D27" s="6" t="n">
        <v>0.476190476190476</v>
      </c>
      <c r="E27" s="6" t="n">
        <v>-0.188712522045856</v>
      </c>
      <c r="F27" s="7" t="n">
        <v>18</v>
      </c>
      <c r="G27" s="6" t="n">
        <v>-0.217391304347826</v>
      </c>
      <c r="H27" s="8" t="n">
        <v>14</v>
      </c>
      <c r="I27" s="8" t="n">
        <v>0</v>
      </c>
      <c r="J27" s="8" t="n">
        <v>8</v>
      </c>
      <c r="L27" s="3"/>
    </row>
    <row r="28" customFormat="false" ht="13.8" hidden="false" customHeight="false" outlineLevel="0" collapsed="false">
      <c r="A28" s="9" t="n">
        <v>46054</v>
      </c>
      <c r="B28" s="5" t="n">
        <v>40500</v>
      </c>
      <c r="C28" s="6" t="n">
        <v>-0.0121951219512195</v>
      </c>
      <c r="D28" s="6" t="n">
        <v>0.425</v>
      </c>
      <c r="E28" s="6" t="n">
        <v>0.0766666666666666</v>
      </c>
      <c r="F28" s="7" t="n">
        <v>15</v>
      </c>
      <c r="G28" s="6" t="n">
        <v>-0.0625</v>
      </c>
      <c r="H28" s="8" t="n">
        <v>13</v>
      </c>
      <c r="I28" s="8" t="n">
        <v>2</v>
      </c>
      <c r="J28" s="8" t="n">
        <v>8</v>
      </c>
      <c r="L28" s="3"/>
    </row>
    <row r="29" customFormat="false" ht="13.8" hidden="false" customHeight="false" outlineLevel="0" collapsed="false">
      <c r="A29" s="9" t="n">
        <v>46082</v>
      </c>
      <c r="B29" s="5" t="n">
        <v>141600</v>
      </c>
      <c r="C29" s="6" t="n">
        <v>0.101945525291829</v>
      </c>
      <c r="D29" s="6" t="n">
        <v>0.72</v>
      </c>
      <c r="E29" s="6" t="n">
        <v>-0.132307692307692</v>
      </c>
      <c r="F29" s="7" t="n">
        <v>28</v>
      </c>
      <c r="G29" s="6" t="n">
        <v>0.12</v>
      </c>
      <c r="H29" s="8" t="n">
        <v>6</v>
      </c>
      <c r="I29" s="8" t="n">
        <v>2</v>
      </c>
      <c r="J29" s="8" t="n">
        <v>6</v>
      </c>
      <c r="L29" s="3"/>
    </row>
    <row r="30" customFormat="false" ht="13.8" hidden="false" customHeight="false" outlineLevel="0" collapsed="false">
      <c r="A30" s="9" t="n">
        <v>46113</v>
      </c>
      <c r="B30" s="5" t="n">
        <v>148000</v>
      </c>
      <c r="C30" s="6" t="n">
        <v>-0.0224570673712021</v>
      </c>
      <c r="D30" s="6" t="n">
        <v>0.74468085106383</v>
      </c>
      <c r="E30" s="6" t="n">
        <v>-0.106382978723404</v>
      </c>
      <c r="F30" s="7" t="n">
        <v>29</v>
      </c>
      <c r="G30" s="6" t="n">
        <v>0.0740740740740741</v>
      </c>
      <c r="H30" s="8" t="n">
        <v>4</v>
      </c>
      <c r="I30" s="8" t="n">
        <v>1</v>
      </c>
      <c r="J30" s="8" t="n">
        <v>7</v>
      </c>
      <c r="L30" s="3"/>
    </row>
    <row r="31" customFormat="false" ht="13.8" hidden="false" customHeight="false" outlineLevel="0" collapsed="false">
      <c r="A31" s="9" t="n">
        <v>46143</v>
      </c>
      <c r="B31" s="5" t="n">
        <v>222000</v>
      </c>
      <c r="C31" s="6" t="n">
        <v>0.286583598956824</v>
      </c>
      <c r="D31" s="6" t="n">
        <v>0.966666666666667</v>
      </c>
      <c r="E31" s="6" t="n">
        <v>0.0633333333333334</v>
      </c>
      <c r="F31" s="7" t="n">
        <v>32</v>
      </c>
      <c r="G31" s="6" t="n">
        <v>-0.0857142857142857</v>
      </c>
      <c r="H31" s="8" t="n">
        <v>0</v>
      </c>
      <c r="I31" s="8" t="n">
        <v>0</v>
      </c>
      <c r="J31" s="8" t="n">
        <v>2</v>
      </c>
      <c r="L31" s="3"/>
    </row>
    <row r="32" customFormat="false" ht="13.8" hidden="false" customHeight="false" outlineLevel="0" collapsed="false">
      <c r="A32" s="9" t="n">
        <v>46174</v>
      </c>
      <c r="B32" s="5" t="n">
        <v>153500</v>
      </c>
      <c r="C32" s="6" t="n">
        <v>0.438612933458294</v>
      </c>
      <c r="D32" s="6" t="n">
        <v>0.884615384615385</v>
      </c>
      <c r="E32" s="6" t="n">
        <v>0.300904977375565</v>
      </c>
      <c r="F32" s="7" t="n">
        <v>29</v>
      </c>
      <c r="G32" s="6" t="n">
        <v>-0.121212121212121</v>
      </c>
      <c r="H32" s="8" t="n">
        <v>2</v>
      </c>
      <c r="I32" s="8" t="n">
        <v>1</v>
      </c>
      <c r="J32" s="8" t="n">
        <v>3</v>
      </c>
      <c r="L32" s="3"/>
    </row>
    <row r="33" customFormat="false" ht="13.8" hidden="false" customHeight="false" outlineLevel="0" collapsed="false">
      <c r="A33" s="9" t="n">
        <v>46204</v>
      </c>
      <c r="B33" s="5" t="n">
        <v>77500</v>
      </c>
      <c r="C33" s="6" t="n">
        <v>0.302521008403361</v>
      </c>
      <c r="D33" s="6" t="n">
        <v>0.484848484848485</v>
      </c>
      <c r="E33" s="6" t="n">
        <v>-0.0558213716108452</v>
      </c>
      <c r="F33" s="7" t="n">
        <v>22</v>
      </c>
      <c r="G33" s="6" t="n">
        <v>0</v>
      </c>
      <c r="H33" s="8" t="n">
        <v>10</v>
      </c>
      <c r="I33" s="8" t="n">
        <v>1</v>
      </c>
      <c r="J33" s="8" t="n">
        <v>6</v>
      </c>
      <c r="L33" s="3"/>
    </row>
    <row r="34" customFormat="false" ht="13.8" hidden="false" customHeight="false" outlineLevel="0" collapsed="false">
      <c r="A34" s="9" t="n">
        <v>46235</v>
      </c>
      <c r="B34" s="5" t="n">
        <v>7000</v>
      </c>
      <c r="C34" s="6" t="n">
        <v>-0.908972691807542</v>
      </c>
      <c r="D34" s="6" t="n">
        <v>0.0303030303030303</v>
      </c>
      <c r="E34" s="6" t="n">
        <v>-0.949810606060606</v>
      </c>
      <c r="F34" s="7" t="n">
        <v>2</v>
      </c>
      <c r="G34" s="6" t="n">
        <v>-0.916666666666667</v>
      </c>
      <c r="H34" s="8" t="n">
        <v>32</v>
      </c>
      <c r="I34" s="8" t="n">
        <v>0</v>
      </c>
      <c r="J34" s="8" t="n">
        <v>0</v>
      </c>
      <c r="L34" s="3"/>
    </row>
    <row r="35" customFormat="false" ht="13.8" hidden="false" customHeight="false" outlineLevel="0" collapsed="false">
      <c r="A35" s="9" t="n">
        <v>46266</v>
      </c>
      <c r="B35" s="5" t="n">
        <v>14500</v>
      </c>
      <c r="C35" s="6" t="n">
        <v>-0.651442307692308</v>
      </c>
      <c r="D35" s="6" t="n">
        <v>1</v>
      </c>
      <c r="E35" s="6" t="n">
        <v>2</v>
      </c>
      <c r="F35" s="7" t="n">
        <v>1</v>
      </c>
      <c r="G35" s="6" t="n">
        <v>-0.95</v>
      </c>
      <c r="H35" s="8" t="n">
        <v>0</v>
      </c>
      <c r="I35" s="8" t="n">
        <v>0</v>
      </c>
      <c r="J35" s="8" t="n">
        <v>0</v>
      </c>
      <c r="L35" s="3"/>
    </row>
    <row r="36" customFormat="false" ht="15.75" hidden="false" customHeight="false" outlineLevel="0" collapsed="false">
      <c r="L36" s="3"/>
    </row>
    <row r="37" customFormat="false" ht="15.75" hidden="false" customHeight="false" outlineLevel="0" collapsed="false">
      <c r="L37" s="3"/>
    </row>
    <row r="38" customFormat="false" ht="15.75" hidden="false" customHeight="false" outlineLevel="0" collapsed="false">
      <c r="L38" s="3"/>
    </row>
    <row r="39" customFormat="false" ht="15.75" hidden="false" customHeight="false" outlineLevel="0" collapsed="false">
      <c r="L39" s="3"/>
    </row>
    <row r="40" customFormat="false" ht="15.75" hidden="false" customHeight="false" outlineLevel="0" collapsed="false">
      <c r="L40" s="3"/>
    </row>
    <row r="41" customFormat="false" ht="15.75" hidden="false" customHeight="false" outlineLevel="0" collapsed="false">
      <c r="L41" s="3"/>
    </row>
    <row r="42" customFormat="false" ht="15.75" hidden="false" customHeight="false" outlineLevel="0" collapsed="false">
      <c r="L42" s="3"/>
    </row>
    <row r="43" customFormat="false" ht="15.75" hidden="false" customHeight="false" outlineLevel="0" collapsed="false">
      <c r="L43" s="3"/>
    </row>
    <row r="44" customFormat="false" ht="15.75" hidden="false" customHeight="false" outlineLevel="0" collapsed="false">
      <c r="L44" s="3"/>
    </row>
    <row r="45" customFormat="false" ht="15.75" hidden="false" customHeight="false" outlineLevel="0" collapsed="false">
      <c r="L45" s="3"/>
    </row>
    <row r="46" customFormat="false" ht="15.75" hidden="false" customHeight="false" outlineLevel="0" collapsed="false">
      <c r="L46" s="3"/>
    </row>
    <row r="47" customFormat="false" ht="15.75" hidden="false" customHeight="false" outlineLevel="0" collapsed="false">
      <c r="L47" s="3"/>
    </row>
    <row r="48" customFormat="false" ht="15.75" hidden="false" customHeight="false" outlineLevel="0" collapsed="false">
      <c r="L48" s="3"/>
    </row>
    <row r="49" customFormat="false" ht="15.75" hidden="false" customHeight="false" outlineLevel="0" collapsed="false">
      <c r="L49" s="3"/>
    </row>
    <row r="50" customFormat="false" ht="15.75" hidden="false" customHeight="false" outlineLevel="0" collapsed="false">
      <c r="L50" s="3"/>
    </row>
    <row r="51" customFormat="false" ht="15.75" hidden="false" customHeight="false" outlineLevel="0" collapsed="false">
      <c r="L51" s="3"/>
    </row>
    <row r="52" customFormat="false" ht="15.75" hidden="false" customHeight="false" outlineLevel="0" collapsed="false">
      <c r="L52" s="3"/>
    </row>
    <row r="53" customFormat="false" ht="15.75" hidden="false" customHeight="false" outlineLevel="0" collapsed="false">
      <c r="L53" s="3"/>
    </row>
    <row r="54" customFormat="false" ht="15.75" hidden="false" customHeight="false" outlineLevel="0" collapsed="false">
      <c r="L54" s="3"/>
    </row>
    <row r="55" customFormat="false" ht="15.75" hidden="false" customHeight="false" outlineLevel="0" collapsed="false">
      <c r="L55" s="3"/>
    </row>
    <row r="56" customFormat="false" ht="15.75" hidden="false" customHeight="false" outlineLevel="0" collapsed="false">
      <c r="L56" s="3"/>
    </row>
    <row r="57" customFormat="false" ht="15.75" hidden="false" customHeight="false" outlineLevel="0" collapsed="false">
      <c r="L57" s="3"/>
    </row>
    <row r="58" customFormat="false" ht="15.75" hidden="false" customHeight="false" outlineLevel="0" collapsed="false">
      <c r="L58" s="3"/>
    </row>
    <row r="59" customFormat="false" ht="15.75" hidden="false" customHeight="false" outlineLevel="0" collapsed="false">
      <c r="L59" s="3"/>
    </row>
    <row r="60" customFormat="false" ht="15.75" hidden="false" customHeight="false" outlineLevel="0" collapsed="false">
      <c r="L60" s="3"/>
    </row>
    <row r="61" customFormat="false" ht="15.75" hidden="false" customHeight="false" outlineLevel="0" collapsed="false">
      <c r="L61" s="3"/>
    </row>
    <row r="62" customFormat="false" ht="15.75" hidden="false" customHeight="false" outlineLevel="0" collapsed="false">
      <c r="L62" s="3"/>
    </row>
    <row r="63" customFormat="false" ht="15.75" hidden="false" customHeight="false" outlineLevel="0" collapsed="false">
      <c r="L63" s="3"/>
    </row>
    <row r="64" customFormat="false" ht="15.75" hidden="false" customHeight="false" outlineLevel="0" collapsed="false">
      <c r="L64" s="3"/>
    </row>
    <row r="65" customFormat="false" ht="15.75" hidden="false" customHeight="false" outlineLevel="0" collapsed="false">
      <c r="L65" s="3"/>
    </row>
    <row r="66" customFormat="false" ht="15.75" hidden="false" customHeight="false" outlineLevel="0" collapsed="false">
      <c r="L66" s="3"/>
    </row>
    <row r="67" customFormat="false" ht="15.75" hidden="false" customHeight="false" outlineLevel="0" collapsed="false">
      <c r="L67" s="3"/>
    </row>
    <row r="68" customFormat="false" ht="15.75" hidden="false" customHeight="false" outlineLevel="0" collapsed="false">
      <c r="L68" s="3"/>
    </row>
    <row r="69" customFormat="false" ht="15.75" hidden="false" customHeight="false" outlineLevel="0" collapsed="false">
      <c r="L69" s="3"/>
    </row>
    <row r="70" customFormat="false" ht="15.75" hidden="false" customHeight="false" outlineLevel="0" collapsed="false">
      <c r="L70" s="3"/>
    </row>
    <row r="71" customFormat="false" ht="15.75" hidden="false" customHeight="false" outlineLevel="0" collapsed="false">
      <c r="L71" s="3"/>
    </row>
    <row r="72" customFormat="false" ht="15.75" hidden="false" customHeight="false" outlineLevel="0" collapsed="false">
      <c r="L72" s="3"/>
    </row>
    <row r="73" customFormat="false" ht="15.75" hidden="false" customHeight="false" outlineLevel="0" collapsed="false">
      <c r="L73" s="3"/>
    </row>
    <row r="74" customFormat="false" ht="15.75" hidden="false" customHeight="false" outlineLevel="0" collapsed="false">
      <c r="L74" s="3"/>
    </row>
    <row r="75" customFormat="false" ht="15.75" hidden="false" customHeight="false" outlineLevel="0" collapsed="false">
      <c r="L75" s="3"/>
    </row>
    <row r="76" customFormat="false" ht="15.75" hidden="false" customHeight="false" outlineLevel="0" collapsed="false">
      <c r="L76" s="3"/>
    </row>
    <row r="77" customFormat="false" ht="15.75" hidden="false" customHeight="false" outlineLevel="0" collapsed="false">
      <c r="L77" s="3"/>
    </row>
    <row r="78" customFormat="false" ht="15.75" hidden="false" customHeight="false" outlineLevel="0" collapsed="false">
      <c r="L78" s="3"/>
    </row>
    <row r="79" customFormat="false" ht="15.75" hidden="false" customHeight="false" outlineLevel="0" collapsed="false">
      <c r="L79" s="3"/>
    </row>
    <row r="80" customFormat="false" ht="15.75" hidden="false" customHeight="false" outlineLevel="0" collapsed="false">
      <c r="L80" s="3"/>
    </row>
    <row r="81" customFormat="false" ht="15.75" hidden="false" customHeight="false" outlineLevel="0" collapsed="false">
      <c r="L81" s="3"/>
    </row>
    <row r="82" customFormat="false" ht="15.75" hidden="false" customHeight="false" outlineLevel="0" collapsed="false">
      <c r="L82" s="3"/>
    </row>
    <row r="83" customFormat="false" ht="15.75" hidden="false" customHeight="false" outlineLevel="0" collapsed="false">
      <c r="L83" s="3"/>
    </row>
    <row r="84" customFormat="false" ht="15.75" hidden="false" customHeight="false" outlineLevel="0" collapsed="false">
      <c r="L84" s="3"/>
    </row>
    <row r="85" customFormat="false" ht="15.75" hidden="false" customHeight="false" outlineLevel="0" collapsed="false">
      <c r="L85" s="3"/>
    </row>
    <row r="86" customFormat="false" ht="15.75" hidden="false" customHeight="false" outlineLevel="0" collapsed="false">
      <c r="L86" s="3"/>
    </row>
    <row r="87" customFormat="false" ht="15.75" hidden="false" customHeight="false" outlineLevel="0" collapsed="false">
      <c r="L87" s="3"/>
    </row>
    <row r="88" customFormat="false" ht="15.75" hidden="false" customHeight="false" outlineLevel="0" collapsed="false">
      <c r="L88" s="3"/>
    </row>
    <row r="89" customFormat="false" ht="15.75" hidden="false" customHeight="false" outlineLevel="0" collapsed="false">
      <c r="L89" s="3"/>
    </row>
    <row r="90" customFormat="false" ht="15.75" hidden="false" customHeight="false" outlineLevel="0" collapsed="false">
      <c r="L90" s="3"/>
    </row>
    <row r="91" customFormat="false" ht="15.75" hidden="false" customHeight="false" outlineLevel="0" collapsed="false">
      <c r="L91" s="3"/>
    </row>
    <row r="92" customFormat="false" ht="15.75" hidden="false" customHeight="false" outlineLevel="0" collapsed="false">
      <c r="L92" s="3"/>
    </row>
    <row r="93" customFormat="false" ht="15.75" hidden="false" customHeight="false" outlineLevel="0" collapsed="false">
      <c r="L93" s="3"/>
    </row>
    <row r="94" customFormat="false" ht="15.75" hidden="false" customHeight="false" outlineLevel="0" collapsed="false">
      <c r="L94" s="3"/>
    </row>
    <row r="95" customFormat="false" ht="15.75" hidden="false" customHeight="false" outlineLevel="0" collapsed="false">
      <c r="L95" s="3"/>
    </row>
    <row r="96" customFormat="false" ht="15.75" hidden="false" customHeight="false" outlineLevel="0" collapsed="false">
      <c r="L96" s="3"/>
    </row>
    <row r="97" customFormat="false" ht="15.75" hidden="false" customHeight="false" outlineLevel="0" collapsed="false">
      <c r="L97" s="3"/>
    </row>
    <row r="98" customFormat="false" ht="15.75" hidden="false" customHeight="false" outlineLevel="0" collapsed="false">
      <c r="L98" s="3"/>
    </row>
    <row r="99" customFormat="false" ht="15.75" hidden="false" customHeight="false" outlineLevel="0" collapsed="false">
      <c r="L99" s="3"/>
    </row>
    <row r="100" customFormat="false" ht="15.75" hidden="false" customHeight="false" outlineLevel="0" collapsed="false">
      <c r="L100" s="3"/>
    </row>
    <row r="101" customFormat="false" ht="15.75" hidden="false" customHeight="false" outlineLevel="0" collapsed="false">
      <c r="L101" s="3"/>
    </row>
    <row r="102" customFormat="false" ht="15.75" hidden="false" customHeight="false" outlineLevel="0" collapsed="false">
      <c r="L102" s="3"/>
    </row>
    <row r="103" customFormat="false" ht="15.75" hidden="false" customHeight="false" outlineLevel="0" collapsed="false">
      <c r="L103" s="3"/>
    </row>
    <row r="104" customFormat="false" ht="15.75" hidden="false" customHeight="false" outlineLevel="0" collapsed="false">
      <c r="L104" s="3"/>
    </row>
    <row r="105" customFormat="false" ht="15.75" hidden="false" customHeight="false" outlineLevel="0" collapsed="false">
      <c r="L105" s="3"/>
    </row>
    <row r="106" customFormat="false" ht="15.75" hidden="false" customHeight="false" outlineLevel="0" collapsed="false">
      <c r="L106" s="3"/>
    </row>
    <row r="107" customFormat="false" ht="15.75" hidden="false" customHeight="false" outlineLevel="0" collapsed="false">
      <c r="L107" s="3"/>
    </row>
    <row r="108" customFormat="false" ht="15.75" hidden="false" customHeight="false" outlineLevel="0" collapsed="false">
      <c r="L108" s="3"/>
    </row>
    <row r="109" customFormat="false" ht="15.75" hidden="false" customHeight="false" outlineLevel="0" collapsed="false">
      <c r="L109" s="3"/>
    </row>
    <row r="110" customFormat="false" ht="15.75" hidden="false" customHeight="false" outlineLevel="0" collapsed="false">
      <c r="L110" s="3"/>
    </row>
    <row r="111" customFormat="false" ht="15.75" hidden="false" customHeight="false" outlineLevel="0" collapsed="false">
      <c r="L111" s="3"/>
    </row>
    <row r="112" customFormat="false" ht="15.75" hidden="false" customHeight="false" outlineLevel="0" collapsed="false">
      <c r="L112" s="3"/>
    </row>
    <row r="113" customFormat="false" ht="15.75" hidden="false" customHeight="false" outlineLevel="0" collapsed="false">
      <c r="L113" s="3"/>
    </row>
    <row r="114" customFormat="false" ht="15.75" hidden="false" customHeight="false" outlineLevel="0" collapsed="false">
      <c r="L114" s="3"/>
    </row>
    <row r="115" customFormat="false" ht="15.75" hidden="false" customHeight="false" outlineLevel="0" collapsed="false">
      <c r="L115" s="3"/>
    </row>
    <row r="116" customFormat="false" ht="15.75" hidden="false" customHeight="false" outlineLevel="0" collapsed="false">
      <c r="L116" s="3"/>
    </row>
    <row r="117" customFormat="false" ht="15.75" hidden="false" customHeight="false" outlineLevel="0" collapsed="false">
      <c r="L117" s="3"/>
    </row>
    <row r="118" customFormat="false" ht="15.75" hidden="false" customHeight="false" outlineLevel="0" collapsed="false">
      <c r="L118" s="3"/>
    </row>
    <row r="119" customFormat="false" ht="15.75" hidden="false" customHeight="false" outlineLevel="0" collapsed="false">
      <c r="L119" s="3"/>
    </row>
    <row r="120" customFormat="false" ht="15.75" hidden="false" customHeight="false" outlineLevel="0" collapsed="false">
      <c r="L120" s="3"/>
    </row>
    <row r="121" customFormat="false" ht="15.75" hidden="false" customHeight="false" outlineLevel="0" collapsed="false">
      <c r="L121" s="3"/>
    </row>
    <row r="122" customFormat="false" ht="15.75" hidden="false" customHeight="false" outlineLevel="0" collapsed="false">
      <c r="L122" s="3"/>
    </row>
    <row r="123" customFormat="false" ht="15.75" hidden="false" customHeight="false" outlineLevel="0" collapsed="false">
      <c r="L123" s="3"/>
    </row>
    <row r="124" customFormat="false" ht="15.75" hidden="false" customHeight="false" outlineLevel="0" collapsed="false">
      <c r="L124" s="3"/>
    </row>
    <row r="125" customFormat="false" ht="15.75" hidden="false" customHeight="false" outlineLevel="0" collapsed="false">
      <c r="L125" s="3"/>
    </row>
    <row r="126" customFormat="false" ht="15.75" hidden="false" customHeight="false" outlineLevel="0" collapsed="false">
      <c r="L126" s="3"/>
    </row>
    <row r="127" customFormat="false" ht="15.75" hidden="false" customHeight="false" outlineLevel="0" collapsed="false">
      <c r="L127" s="3"/>
    </row>
    <row r="128" customFormat="false" ht="15.75" hidden="false" customHeight="false" outlineLevel="0" collapsed="false">
      <c r="L128" s="3"/>
    </row>
    <row r="129" customFormat="false" ht="15.75" hidden="false" customHeight="false" outlineLevel="0" collapsed="false">
      <c r="L129" s="3"/>
    </row>
    <row r="130" customFormat="false" ht="15.75" hidden="false" customHeight="false" outlineLevel="0" collapsed="false">
      <c r="L130" s="3"/>
    </row>
    <row r="131" customFormat="false" ht="15.75" hidden="false" customHeight="false" outlineLevel="0" collapsed="false">
      <c r="L131" s="3"/>
    </row>
    <row r="132" customFormat="false" ht="15.75" hidden="false" customHeight="false" outlineLevel="0" collapsed="false">
      <c r="L132" s="3"/>
    </row>
    <row r="133" customFormat="false" ht="15.75" hidden="false" customHeight="false" outlineLevel="0" collapsed="false">
      <c r="L133" s="3"/>
    </row>
    <row r="134" customFormat="false" ht="15.75" hidden="false" customHeight="false" outlineLevel="0" collapsed="false">
      <c r="L134" s="3"/>
    </row>
    <row r="135" customFormat="false" ht="15.75" hidden="false" customHeight="false" outlineLevel="0" collapsed="false">
      <c r="L135" s="3"/>
    </row>
    <row r="136" customFormat="false" ht="15.75" hidden="false" customHeight="false" outlineLevel="0" collapsed="false">
      <c r="L136" s="3"/>
    </row>
    <row r="137" customFormat="false" ht="15.75" hidden="false" customHeight="false" outlineLevel="0" collapsed="false">
      <c r="L137" s="3"/>
    </row>
    <row r="138" customFormat="false" ht="15.75" hidden="false" customHeight="false" outlineLevel="0" collapsed="false">
      <c r="L138" s="3"/>
    </row>
    <row r="139" customFormat="false" ht="15.75" hidden="false" customHeight="false" outlineLevel="0" collapsed="false">
      <c r="L139" s="3"/>
    </row>
    <row r="140" customFormat="false" ht="15.75" hidden="false" customHeight="false" outlineLevel="0" collapsed="false">
      <c r="L140" s="3"/>
    </row>
    <row r="141" customFormat="false" ht="15.75" hidden="false" customHeight="false" outlineLevel="0" collapsed="false">
      <c r="L141" s="3"/>
    </row>
    <row r="142" customFormat="false" ht="15.75" hidden="false" customHeight="false" outlineLevel="0" collapsed="false">
      <c r="L142" s="3"/>
    </row>
    <row r="143" customFormat="false" ht="15.75" hidden="false" customHeight="false" outlineLevel="0" collapsed="false">
      <c r="L143" s="3"/>
    </row>
    <row r="144" customFormat="false" ht="15.75" hidden="false" customHeight="false" outlineLevel="0" collapsed="false">
      <c r="L144" s="3"/>
    </row>
    <row r="145" customFormat="false" ht="15.75" hidden="false" customHeight="false" outlineLevel="0" collapsed="false">
      <c r="L145" s="3"/>
    </row>
    <row r="146" customFormat="false" ht="15.75" hidden="false" customHeight="false" outlineLevel="0" collapsed="false">
      <c r="L146" s="3"/>
    </row>
    <row r="147" customFormat="false" ht="15.75" hidden="false" customHeight="false" outlineLevel="0" collapsed="false">
      <c r="L147" s="3"/>
    </row>
    <row r="148" customFormat="false" ht="15.75" hidden="false" customHeight="false" outlineLevel="0" collapsed="false">
      <c r="L148" s="3"/>
    </row>
    <row r="149" customFormat="false" ht="15.75" hidden="false" customHeight="false" outlineLevel="0" collapsed="false">
      <c r="L149" s="3"/>
    </row>
    <row r="150" customFormat="false" ht="15.75" hidden="false" customHeight="false" outlineLevel="0" collapsed="false">
      <c r="L150" s="3"/>
    </row>
    <row r="151" customFormat="false" ht="15.75" hidden="false" customHeight="false" outlineLevel="0" collapsed="false">
      <c r="L151" s="3"/>
    </row>
    <row r="152" customFormat="false" ht="15.75" hidden="false" customHeight="false" outlineLevel="0" collapsed="false">
      <c r="L152" s="3"/>
    </row>
    <row r="153" customFormat="false" ht="15.75" hidden="false" customHeight="false" outlineLevel="0" collapsed="false">
      <c r="L153" s="3"/>
    </row>
    <row r="154" customFormat="false" ht="15.75" hidden="false" customHeight="false" outlineLevel="0" collapsed="false">
      <c r="L154" s="3"/>
    </row>
    <row r="155" customFormat="false" ht="15.75" hidden="false" customHeight="false" outlineLevel="0" collapsed="false">
      <c r="L155" s="3"/>
    </row>
    <row r="156" customFormat="false" ht="15.75" hidden="false" customHeight="false" outlineLevel="0" collapsed="false">
      <c r="L156" s="3"/>
    </row>
    <row r="157" customFormat="false" ht="15.75" hidden="false" customHeight="false" outlineLevel="0" collapsed="false">
      <c r="L157" s="3"/>
    </row>
    <row r="158" customFormat="false" ht="15.75" hidden="false" customHeight="false" outlineLevel="0" collapsed="false">
      <c r="L158" s="3"/>
    </row>
    <row r="159" customFormat="false" ht="15.75" hidden="false" customHeight="false" outlineLevel="0" collapsed="false">
      <c r="L159" s="3"/>
    </row>
    <row r="160" customFormat="false" ht="15.75" hidden="false" customHeight="false" outlineLevel="0" collapsed="false">
      <c r="L160" s="3"/>
    </row>
    <row r="161" customFormat="false" ht="15.75" hidden="false" customHeight="false" outlineLevel="0" collapsed="false">
      <c r="L161" s="3"/>
    </row>
    <row r="162" customFormat="false" ht="15.75" hidden="false" customHeight="false" outlineLevel="0" collapsed="false">
      <c r="L162" s="3"/>
    </row>
    <row r="163" customFormat="false" ht="15.75" hidden="false" customHeight="false" outlineLevel="0" collapsed="false">
      <c r="L163" s="3"/>
    </row>
    <row r="164" customFormat="false" ht="15.75" hidden="false" customHeight="false" outlineLevel="0" collapsed="false">
      <c r="L164" s="3"/>
    </row>
    <row r="165" customFormat="false" ht="15.75" hidden="false" customHeight="false" outlineLevel="0" collapsed="false">
      <c r="L165" s="3"/>
    </row>
    <row r="166" customFormat="false" ht="15.75" hidden="false" customHeight="false" outlineLevel="0" collapsed="false">
      <c r="L166" s="3"/>
    </row>
    <row r="167" customFormat="false" ht="15.75" hidden="false" customHeight="false" outlineLevel="0" collapsed="false">
      <c r="L167" s="3"/>
    </row>
    <row r="168" customFormat="false" ht="15.75" hidden="false" customHeight="false" outlineLevel="0" collapsed="false">
      <c r="L168" s="3"/>
    </row>
    <row r="169" customFormat="false" ht="15.75" hidden="false" customHeight="false" outlineLevel="0" collapsed="false">
      <c r="L169" s="3"/>
    </row>
    <row r="170" customFormat="false" ht="15.75" hidden="false" customHeight="false" outlineLevel="0" collapsed="false">
      <c r="L170" s="3"/>
    </row>
    <row r="171" customFormat="false" ht="15.75" hidden="false" customHeight="false" outlineLevel="0" collapsed="false">
      <c r="L171" s="3"/>
    </row>
    <row r="172" customFormat="false" ht="15.75" hidden="false" customHeight="false" outlineLevel="0" collapsed="false">
      <c r="L172" s="3"/>
    </row>
    <row r="173" customFormat="false" ht="15.75" hidden="false" customHeight="false" outlineLevel="0" collapsed="false">
      <c r="L173" s="3"/>
    </row>
    <row r="174" customFormat="false" ht="15.75" hidden="false" customHeight="false" outlineLevel="0" collapsed="false">
      <c r="L174" s="3"/>
    </row>
    <row r="175" customFormat="false" ht="15.75" hidden="false" customHeight="false" outlineLevel="0" collapsed="false">
      <c r="L175" s="3"/>
    </row>
    <row r="176" customFormat="false" ht="15.75" hidden="false" customHeight="false" outlineLevel="0" collapsed="false">
      <c r="L176" s="3"/>
    </row>
    <row r="177" customFormat="false" ht="15.75" hidden="false" customHeight="false" outlineLevel="0" collapsed="false">
      <c r="L177" s="3"/>
    </row>
    <row r="178" customFormat="false" ht="15.75" hidden="false" customHeight="false" outlineLevel="0" collapsed="false">
      <c r="L178" s="3"/>
    </row>
    <row r="179" customFormat="false" ht="15.75" hidden="false" customHeight="false" outlineLevel="0" collapsed="false">
      <c r="L179" s="3"/>
    </row>
    <row r="180" customFormat="false" ht="15.75" hidden="false" customHeight="false" outlineLevel="0" collapsed="false">
      <c r="L180" s="3"/>
    </row>
    <row r="181" customFormat="false" ht="15.75" hidden="false" customHeight="false" outlineLevel="0" collapsed="false">
      <c r="L181" s="3"/>
    </row>
    <row r="182" customFormat="false" ht="15.75" hidden="false" customHeight="false" outlineLevel="0" collapsed="false">
      <c r="L182" s="3"/>
    </row>
    <row r="183" customFormat="false" ht="15.75" hidden="false" customHeight="false" outlineLevel="0" collapsed="false">
      <c r="L183" s="3"/>
    </row>
    <row r="184" customFormat="false" ht="15.75" hidden="false" customHeight="false" outlineLevel="0" collapsed="false">
      <c r="L184" s="3"/>
    </row>
    <row r="185" customFormat="false" ht="15.75" hidden="false" customHeight="false" outlineLevel="0" collapsed="false">
      <c r="L185" s="3"/>
    </row>
    <row r="186" customFormat="false" ht="15.75" hidden="false" customHeight="false" outlineLevel="0" collapsed="false">
      <c r="L186" s="3"/>
    </row>
    <row r="187" customFormat="false" ht="15.75" hidden="false" customHeight="false" outlineLevel="0" collapsed="false">
      <c r="L187" s="3"/>
    </row>
    <row r="188" customFormat="false" ht="15.75" hidden="false" customHeight="false" outlineLevel="0" collapsed="false">
      <c r="L188" s="3"/>
    </row>
    <row r="189" customFormat="false" ht="15.75" hidden="false" customHeight="false" outlineLevel="0" collapsed="false">
      <c r="L189" s="3"/>
    </row>
    <row r="190" customFormat="false" ht="15.75" hidden="false" customHeight="false" outlineLevel="0" collapsed="false">
      <c r="L190" s="3"/>
    </row>
    <row r="191" customFormat="false" ht="15.75" hidden="false" customHeight="false" outlineLevel="0" collapsed="false">
      <c r="L191" s="3"/>
    </row>
    <row r="192" customFormat="false" ht="15.75" hidden="false" customHeight="false" outlineLevel="0" collapsed="false">
      <c r="L192" s="3"/>
    </row>
    <row r="193" customFormat="false" ht="15.75" hidden="false" customHeight="false" outlineLevel="0" collapsed="false">
      <c r="L193" s="3"/>
    </row>
    <row r="194" customFormat="false" ht="15.75" hidden="false" customHeight="false" outlineLevel="0" collapsed="false">
      <c r="L194" s="3"/>
    </row>
    <row r="195" customFormat="false" ht="15.75" hidden="false" customHeight="false" outlineLevel="0" collapsed="false">
      <c r="L195" s="3"/>
    </row>
    <row r="196" customFormat="false" ht="15.75" hidden="false" customHeight="false" outlineLevel="0" collapsed="false">
      <c r="L196" s="3"/>
    </row>
    <row r="197" customFormat="false" ht="15.75" hidden="false" customHeight="false" outlineLevel="0" collapsed="false">
      <c r="L197" s="3"/>
    </row>
    <row r="198" customFormat="false" ht="15.75" hidden="false" customHeight="false" outlineLevel="0" collapsed="false">
      <c r="L198" s="3"/>
    </row>
    <row r="199" customFormat="false" ht="15.75" hidden="false" customHeight="false" outlineLevel="0" collapsed="false">
      <c r="L199" s="3"/>
    </row>
    <row r="200" customFormat="false" ht="15.75" hidden="false" customHeight="false" outlineLevel="0" collapsed="false">
      <c r="L200" s="3"/>
    </row>
    <row r="201" customFormat="false" ht="15.75" hidden="false" customHeight="false" outlineLevel="0" collapsed="false">
      <c r="L201" s="3"/>
    </row>
    <row r="202" customFormat="false" ht="15.75" hidden="false" customHeight="false" outlineLevel="0" collapsed="false">
      <c r="L202" s="3"/>
    </row>
    <row r="203" customFormat="false" ht="15.75" hidden="false" customHeight="false" outlineLevel="0" collapsed="false">
      <c r="L203" s="3"/>
    </row>
    <row r="204" customFormat="false" ht="15.75" hidden="false" customHeight="false" outlineLevel="0" collapsed="false">
      <c r="L204" s="3"/>
    </row>
    <row r="205" customFormat="false" ht="15.75" hidden="false" customHeight="false" outlineLevel="0" collapsed="false">
      <c r="L205" s="3"/>
    </row>
    <row r="206" customFormat="false" ht="15.75" hidden="false" customHeight="false" outlineLevel="0" collapsed="false">
      <c r="L206" s="3"/>
    </row>
    <row r="207" customFormat="false" ht="15.75" hidden="false" customHeight="false" outlineLevel="0" collapsed="false">
      <c r="L207" s="3"/>
    </row>
    <row r="208" customFormat="false" ht="15.75" hidden="false" customHeight="false" outlineLevel="0" collapsed="false">
      <c r="L208" s="3"/>
    </row>
    <row r="209" customFormat="false" ht="15.75" hidden="false" customHeight="false" outlineLevel="0" collapsed="false">
      <c r="L209" s="3"/>
    </row>
    <row r="210" customFormat="false" ht="15.75" hidden="false" customHeight="false" outlineLevel="0" collapsed="false">
      <c r="L210" s="3"/>
    </row>
    <row r="211" customFormat="false" ht="15.75" hidden="false" customHeight="false" outlineLevel="0" collapsed="false">
      <c r="L211" s="3"/>
    </row>
    <row r="212" customFormat="false" ht="15.75" hidden="false" customHeight="false" outlineLevel="0" collapsed="false">
      <c r="L212" s="3"/>
    </row>
    <row r="213" customFormat="false" ht="15.75" hidden="false" customHeight="false" outlineLevel="0" collapsed="false">
      <c r="L213" s="3"/>
    </row>
    <row r="214" customFormat="false" ht="15.75" hidden="false" customHeight="false" outlineLevel="0" collapsed="false">
      <c r="L214" s="3"/>
    </row>
    <row r="215" customFormat="false" ht="15.75" hidden="false" customHeight="false" outlineLevel="0" collapsed="false">
      <c r="L215" s="3"/>
    </row>
    <row r="216" customFormat="false" ht="15.75" hidden="false" customHeight="false" outlineLevel="0" collapsed="false">
      <c r="L216" s="3"/>
    </row>
    <row r="217" customFormat="false" ht="15.75" hidden="false" customHeight="false" outlineLevel="0" collapsed="false">
      <c r="L217" s="3"/>
    </row>
    <row r="218" customFormat="false" ht="15.75" hidden="false" customHeight="false" outlineLevel="0" collapsed="false">
      <c r="L218" s="3"/>
    </row>
    <row r="219" customFormat="false" ht="15.75" hidden="false" customHeight="false" outlineLevel="0" collapsed="false">
      <c r="L219" s="3"/>
    </row>
    <row r="220" customFormat="false" ht="15.75" hidden="false" customHeight="false" outlineLevel="0" collapsed="false">
      <c r="L220" s="3"/>
    </row>
    <row r="221" customFormat="false" ht="15.75" hidden="false" customHeight="false" outlineLevel="0" collapsed="false">
      <c r="L221" s="3"/>
    </row>
    <row r="222" customFormat="false" ht="15.75" hidden="false" customHeight="false" outlineLevel="0" collapsed="false">
      <c r="L222" s="3"/>
    </row>
    <row r="223" customFormat="false" ht="15.75" hidden="false" customHeight="false" outlineLevel="0" collapsed="false">
      <c r="L223" s="3"/>
    </row>
    <row r="224" customFormat="false" ht="15.75" hidden="false" customHeight="false" outlineLevel="0" collapsed="false">
      <c r="L224" s="3"/>
    </row>
    <row r="225" customFormat="false" ht="15.75" hidden="false" customHeight="false" outlineLevel="0" collapsed="false">
      <c r="L225" s="3"/>
    </row>
    <row r="226" customFormat="false" ht="15.75" hidden="false" customHeight="false" outlineLevel="0" collapsed="false">
      <c r="L226" s="3"/>
    </row>
    <row r="227" customFormat="false" ht="15.75" hidden="false" customHeight="false" outlineLevel="0" collapsed="false">
      <c r="L227" s="3"/>
    </row>
    <row r="228" customFormat="false" ht="15.75" hidden="false" customHeight="false" outlineLevel="0" collapsed="false">
      <c r="L228" s="3"/>
    </row>
    <row r="229" customFormat="false" ht="15.75" hidden="false" customHeight="false" outlineLevel="0" collapsed="false">
      <c r="L229" s="3"/>
    </row>
    <row r="230" customFormat="false" ht="15.75" hidden="false" customHeight="false" outlineLevel="0" collapsed="false">
      <c r="L230" s="3"/>
    </row>
    <row r="231" customFormat="false" ht="15.75" hidden="false" customHeight="false" outlineLevel="0" collapsed="false">
      <c r="L231" s="3"/>
    </row>
    <row r="232" customFormat="false" ht="15.75" hidden="false" customHeight="false" outlineLevel="0" collapsed="false">
      <c r="L232" s="3"/>
    </row>
    <row r="233" customFormat="false" ht="15.75" hidden="false" customHeight="false" outlineLevel="0" collapsed="false">
      <c r="L233" s="3"/>
    </row>
    <row r="234" customFormat="false" ht="15.75" hidden="false" customHeight="false" outlineLevel="0" collapsed="false">
      <c r="L234" s="3"/>
    </row>
    <row r="235" customFormat="false" ht="15.75" hidden="false" customHeight="false" outlineLevel="0" collapsed="false">
      <c r="L235" s="3"/>
    </row>
    <row r="236" customFormat="false" ht="15.75" hidden="false" customHeight="false" outlineLevel="0" collapsed="false">
      <c r="L236" s="3"/>
    </row>
    <row r="237" customFormat="false" ht="15.75" hidden="false" customHeight="false" outlineLevel="0" collapsed="false">
      <c r="L237" s="3"/>
    </row>
    <row r="238" customFormat="false" ht="15.75" hidden="false" customHeight="false" outlineLevel="0" collapsed="false">
      <c r="L238" s="3"/>
    </row>
    <row r="239" customFormat="false" ht="15.75" hidden="false" customHeight="false" outlineLevel="0" collapsed="false">
      <c r="L239" s="3"/>
    </row>
    <row r="240" customFormat="false" ht="15.75" hidden="false" customHeight="false" outlineLevel="0" collapsed="false">
      <c r="L240" s="3"/>
    </row>
    <row r="241" customFormat="false" ht="15.75" hidden="false" customHeight="false" outlineLevel="0" collapsed="false">
      <c r="L241" s="3"/>
    </row>
    <row r="242" customFormat="false" ht="15.75" hidden="false" customHeight="false" outlineLevel="0" collapsed="false">
      <c r="L242" s="3"/>
    </row>
    <row r="243" customFormat="false" ht="15.75" hidden="false" customHeight="false" outlineLevel="0" collapsed="false">
      <c r="L243" s="3"/>
    </row>
    <row r="244" customFormat="false" ht="15.75" hidden="false" customHeight="false" outlineLevel="0" collapsed="false">
      <c r="L244" s="3"/>
    </row>
    <row r="245" customFormat="false" ht="15.75" hidden="false" customHeight="false" outlineLevel="0" collapsed="false">
      <c r="L245" s="3"/>
    </row>
    <row r="246" customFormat="false" ht="15.75" hidden="false" customHeight="false" outlineLevel="0" collapsed="false">
      <c r="L246" s="3"/>
    </row>
    <row r="247" customFormat="false" ht="15.75" hidden="false" customHeight="false" outlineLevel="0" collapsed="false">
      <c r="L247" s="3"/>
    </row>
    <row r="248" customFormat="false" ht="15.75" hidden="false" customHeight="false" outlineLevel="0" collapsed="false">
      <c r="L248" s="3"/>
    </row>
    <row r="249" customFormat="false" ht="15.75" hidden="false" customHeight="false" outlineLevel="0" collapsed="false">
      <c r="L249" s="3"/>
    </row>
    <row r="250" customFormat="false" ht="15.75" hidden="false" customHeight="false" outlineLevel="0" collapsed="false">
      <c r="L250" s="3"/>
    </row>
    <row r="251" customFormat="false" ht="15.75" hidden="false" customHeight="false" outlineLevel="0" collapsed="false">
      <c r="L251" s="3"/>
    </row>
    <row r="252" customFormat="false" ht="15.75" hidden="false" customHeight="false" outlineLevel="0" collapsed="false">
      <c r="L252" s="3"/>
    </row>
    <row r="253" customFormat="false" ht="15.75" hidden="false" customHeight="false" outlineLevel="0" collapsed="false">
      <c r="L253" s="3"/>
    </row>
    <row r="254" customFormat="false" ht="15.75" hidden="false" customHeight="false" outlineLevel="0" collapsed="false">
      <c r="L254" s="3"/>
    </row>
    <row r="255" customFormat="false" ht="15.75" hidden="false" customHeight="false" outlineLevel="0" collapsed="false">
      <c r="L255" s="3"/>
    </row>
    <row r="256" customFormat="false" ht="15.75" hidden="false" customHeight="false" outlineLevel="0" collapsed="false">
      <c r="L256" s="3"/>
    </row>
    <row r="257" customFormat="false" ht="15.75" hidden="false" customHeight="false" outlineLevel="0" collapsed="false">
      <c r="L257" s="3"/>
    </row>
    <row r="258" customFormat="false" ht="15.75" hidden="false" customHeight="false" outlineLevel="0" collapsed="false">
      <c r="L258" s="3"/>
    </row>
    <row r="259" customFormat="false" ht="15.75" hidden="false" customHeight="false" outlineLevel="0" collapsed="false">
      <c r="L259" s="3"/>
    </row>
    <row r="260" customFormat="false" ht="15.75" hidden="false" customHeight="false" outlineLevel="0" collapsed="false">
      <c r="L260" s="3"/>
    </row>
    <row r="261" customFormat="false" ht="15.75" hidden="false" customHeight="false" outlineLevel="0" collapsed="false">
      <c r="L261" s="3"/>
    </row>
    <row r="262" customFormat="false" ht="15.75" hidden="false" customHeight="false" outlineLevel="0" collapsed="false">
      <c r="L262" s="3"/>
    </row>
    <row r="263" customFormat="false" ht="15.75" hidden="false" customHeight="false" outlineLevel="0" collapsed="false">
      <c r="L263" s="3"/>
    </row>
    <row r="264" customFormat="false" ht="15.75" hidden="false" customHeight="false" outlineLevel="0" collapsed="false">
      <c r="L264" s="3"/>
    </row>
    <row r="265" customFormat="false" ht="15.75" hidden="false" customHeight="false" outlineLevel="0" collapsed="false">
      <c r="L265" s="3"/>
    </row>
    <row r="266" customFormat="false" ht="15.75" hidden="false" customHeight="false" outlineLevel="0" collapsed="false">
      <c r="L266" s="3"/>
    </row>
    <row r="267" customFormat="false" ht="15.75" hidden="false" customHeight="false" outlineLevel="0" collapsed="false">
      <c r="L267" s="3"/>
    </row>
    <row r="268" customFormat="false" ht="15.75" hidden="false" customHeight="false" outlineLevel="0" collapsed="false">
      <c r="L268" s="3"/>
    </row>
    <row r="269" customFormat="false" ht="15.75" hidden="false" customHeight="false" outlineLevel="0" collapsed="false">
      <c r="L269" s="3"/>
    </row>
    <row r="270" customFormat="false" ht="15.75" hidden="false" customHeight="false" outlineLevel="0" collapsed="false">
      <c r="L270" s="3"/>
    </row>
    <row r="271" customFormat="false" ht="15.75" hidden="false" customHeight="false" outlineLevel="0" collapsed="false">
      <c r="L271" s="3"/>
    </row>
    <row r="272" customFormat="false" ht="15.75" hidden="false" customHeight="false" outlineLevel="0" collapsed="false">
      <c r="L272" s="3"/>
    </row>
    <row r="273" customFormat="false" ht="15.75" hidden="false" customHeight="false" outlineLevel="0" collapsed="false">
      <c r="L273" s="3"/>
    </row>
    <row r="274" customFormat="false" ht="15.75" hidden="false" customHeight="false" outlineLevel="0" collapsed="false">
      <c r="L274" s="3"/>
    </row>
    <row r="275" customFormat="false" ht="15.75" hidden="false" customHeight="false" outlineLevel="0" collapsed="false">
      <c r="L275" s="3"/>
    </row>
    <row r="276" customFormat="false" ht="15.75" hidden="false" customHeight="false" outlineLevel="0" collapsed="false">
      <c r="L276" s="3"/>
    </row>
    <row r="277" customFormat="false" ht="15.75" hidden="false" customHeight="false" outlineLevel="0" collapsed="false">
      <c r="L277" s="3"/>
    </row>
    <row r="278" customFormat="false" ht="15.75" hidden="false" customHeight="false" outlineLevel="0" collapsed="false">
      <c r="L278" s="3"/>
    </row>
    <row r="279" customFormat="false" ht="15.75" hidden="false" customHeight="false" outlineLevel="0" collapsed="false">
      <c r="L279" s="3"/>
    </row>
    <row r="280" customFormat="false" ht="15.75" hidden="false" customHeight="false" outlineLevel="0" collapsed="false">
      <c r="L280" s="3"/>
    </row>
    <row r="281" customFormat="false" ht="15.75" hidden="false" customHeight="false" outlineLevel="0" collapsed="false">
      <c r="L281" s="3"/>
    </row>
    <row r="282" customFormat="false" ht="15.75" hidden="false" customHeight="false" outlineLevel="0" collapsed="false">
      <c r="L282" s="3"/>
    </row>
    <row r="283" customFormat="false" ht="15.75" hidden="false" customHeight="false" outlineLevel="0" collapsed="false">
      <c r="L283" s="3"/>
    </row>
    <row r="284" customFormat="false" ht="15.75" hidden="false" customHeight="false" outlineLevel="0" collapsed="false">
      <c r="L284" s="3"/>
    </row>
    <row r="285" customFormat="false" ht="15.75" hidden="false" customHeight="false" outlineLevel="0" collapsed="false">
      <c r="L285" s="3"/>
    </row>
    <row r="286" customFormat="false" ht="15.75" hidden="false" customHeight="false" outlineLevel="0" collapsed="false">
      <c r="L286" s="3"/>
    </row>
    <row r="287" customFormat="false" ht="15.75" hidden="false" customHeight="false" outlineLevel="0" collapsed="false">
      <c r="L287" s="3"/>
    </row>
    <row r="288" customFormat="false" ht="15.75" hidden="false" customHeight="false" outlineLevel="0" collapsed="false">
      <c r="L288" s="3"/>
    </row>
    <row r="289" customFormat="false" ht="15.75" hidden="false" customHeight="false" outlineLevel="0" collapsed="false">
      <c r="L289" s="3"/>
    </row>
    <row r="290" customFormat="false" ht="15.75" hidden="false" customHeight="false" outlineLevel="0" collapsed="false">
      <c r="L290" s="3"/>
    </row>
    <row r="291" customFormat="false" ht="15.75" hidden="false" customHeight="false" outlineLevel="0" collapsed="false">
      <c r="L291" s="3"/>
    </row>
    <row r="292" customFormat="false" ht="15.75" hidden="false" customHeight="false" outlineLevel="0" collapsed="false">
      <c r="L292" s="3"/>
    </row>
    <row r="293" customFormat="false" ht="15.75" hidden="false" customHeight="false" outlineLevel="0" collapsed="false">
      <c r="L293" s="3"/>
    </row>
    <row r="294" customFormat="false" ht="15.75" hidden="false" customHeight="false" outlineLevel="0" collapsed="false">
      <c r="L294" s="3"/>
    </row>
    <row r="295" customFormat="false" ht="15.75" hidden="false" customHeight="false" outlineLevel="0" collapsed="false">
      <c r="L295" s="3"/>
    </row>
    <row r="296" customFormat="false" ht="15.75" hidden="false" customHeight="false" outlineLevel="0" collapsed="false">
      <c r="L296" s="3"/>
    </row>
    <row r="297" customFormat="false" ht="15.75" hidden="false" customHeight="false" outlineLevel="0" collapsed="false">
      <c r="L297" s="3"/>
    </row>
    <row r="298" customFormat="false" ht="15.75" hidden="false" customHeight="false" outlineLevel="0" collapsed="false">
      <c r="L298" s="3"/>
    </row>
    <row r="299" customFormat="false" ht="15.75" hidden="false" customHeight="false" outlineLevel="0" collapsed="false">
      <c r="L299" s="3"/>
    </row>
    <row r="300" customFormat="false" ht="15.75" hidden="false" customHeight="false" outlineLevel="0" collapsed="false">
      <c r="L300" s="3"/>
    </row>
    <row r="301" customFormat="false" ht="15.75" hidden="false" customHeight="false" outlineLevel="0" collapsed="false">
      <c r="L301" s="3"/>
    </row>
    <row r="302" customFormat="false" ht="15.75" hidden="false" customHeight="false" outlineLevel="0" collapsed="false">
      <c r="L302" s="3"/>
    </row>
    <row r="303" customFormat="false" ht="15.75" hidden="false" customHeight="false" outlineLevel="0" collapsed="false">
      <c r="L303" s="3"/>
    </row>
    <row r="304" customFormat="false" ht="15.75" hidden="false" customHeight="false" outlineLevel="0" collapsed="false">
      <c r="L304" s="3"/>
    </row>
    <row r="305" customFormat="false" ht="15.75" hidden="false" customHeight="false" outlineLevel="0" collapsed="false">
      <c r="L305" s="3"/>
    </row>
    <row r="306" customFormat="false" ht="15.75" hidden="false" customHeight="false" outlineLevel="0" collapsed="false">
      <c r="L306" s="3"/>
    </row>
    <row r="307" customFormat="false" ht="15.75" hidden="false" customHeight="false" outlineLevel="0" collapsed="false">
      <c r="L307" s="3"/>
    </row>
    <row r="308" customFormat="false" ht="15.75" hidden="false" customHeight="false" outlineLevel="0" collapsed="false">
      <c r="L308" s="3"/>
    </row>
    <row r="309" customFormat="false" ht="15.75" hidden="false" customHeight="false" outlineLevel="0" collapsed="false">
      <c r="L309" s="3"/>
    </row>
    <row r="310" customFormat="false" ht="15.75" hidden="false" customHeight="false" outlineLevel="0" collapsed="false">
      <c r="L310" s="3"/>
    </row>
    <row r="311" customFormat="false" ht="15.75" hidden="false" customHeight="false" outlineLevel="0" collapsed="false">
      <c r="L311" s="3"/>
    </row>
    <row r="312" customFormat="false" ht="15.75" hidden="false" customHeight="false" outlineLevel="0" collapsed="false">
      <c r="L312" s="3"/>
    </row>
    <row r="313" customFormat="false" ht="15.75" hidden="false" customHeight="false" outlineLevel="0" collapsed="false">
      <c r="L313" s="3"/>
    </row>
    <row r="314" customFormat="false" ht="15.75" hidden="false" customHeight="false" outlineLevel="0" collapsed="false">
      <c r="L314" s="3"/>
    </row>
    <row r="315" customFormat="false" ht="15.75" hidden="false" customHeight="false" outlineLevel="0" collapsed="false">
      <c r="L315" s="3"/>
    </row>
    <row r="316" customFormat="false" ht="15.75" hidden="false" customHeight="false" outlineLevel="0" collapsed="false">
      <c r="L316" s="3"/>
    </row>
    <row r="317" customFormat="false" ht="15.75" hidden="false" customHeight="false" outlineLevel="0" collapsed="false">
      <c r="L317" s="3"/>
    </row>
    <row r="318" customFormat="false" ht="15.75" hidden="false" customHeight="false" outlineLevel="0" collapsed="false">
      <c r="L318" s="3"/>
    </row>
    <row r="319" customFormat="false" ht="15.75" hidden="false" customHeight="false" outlineLevel="0" collapsed="false">
      <c r="L319" s="3"/>
    </row>
    <row r="320" customFormat="false" ht="15.75" hidden="false" customHeight="false" outlineLevel="0" collapsed="false">
      <c r="L320" s="3"/>
    </row>
    <row r="321" customFormat="false" ht="15.75" hidden="false" customHeight="false" outlineLevel="0" collapsed="false">
      <c r="L321" s="3"/>
    </row>
    <row r="322" customFormat="false" ht="15.75" hidden="false" customHeight="false" outlineLevel="0" collapsed="false">
      <c r="L322" s="3"/>
    </row>
    <row r="323" customFormat="false" ht="15.75" hidden="false" customHeight="false" outlineLevel="0" collapsed="false">
      <c r="L323" s="3"/>
    </row>
    <row r="324" customFormat="false" ht="15.75" hidden="false" customHeight="false" outlineLevel="0" collapsed="false">
      <c r="L324" s="3"/>
    </row>
    <row r="325" customFormat="false" ht="15.75" hidden="false" customHeight="false" outlineLevel="0" collapsed="false">
      <c r="L325" s="3"/>
    </row>
    <row r="326" customFormat="false" ht="15.75" hidden="false" customHeight="false" outlineLevel="0" collapsed="false">
      <c r="L326" s="3"/>
    </row>
    <row r="327" customFormat="false" ht="15.75" hidden="false" customHeight="false" outlineLevel="0" collapsed="false">
      <c r="L327" s="3"/>
    </row>
    <row r="328" customFormat="false" ht="15.75" hidden="false" customHeight="false" outlineLevel="0" collapsed="false">
      <c r="L328" s="3"/>
    </row>
    <row r="329" customFormat="false" ht="15.75" hidden="false" customHeight="false" outlineLevel="0" collapsed="false">
      <c r="L329" s="3"/>
    </row>
    <row r="330" customFormat="false" ht="15.75" hidden="false" customHeight="false" outlineLevel="0" collapsed="false">
      <c r="L330" s="3"/>
    </row>
    <row r="331" customFormat="false" ht="15.75" hidden="false" customHeight="false" outlineLevel="0" collapsed="false">
      <c r="L331" s="3"/>
    </row>
    <row r="332" customFormat="false" ht="15.75" hidden="false" customHeight="false" outlineLevel="0" collapsed="false">
      <c r="L332" s="3"/>
    </row>
    <row r="333" customFormat="false" ht="15.75" hidden="false" customHeight="false" outlineLevel="0" collapsed="false">
      <c r="L333" s="3"/>
    </row>
    <row r="334" customFormat="false" ht="15.75" hidden="false" customHeight="false" outlineLevel="0" collapsed="false">
      <c r="L334" s="3"/>
    </row>
    <row r="335" customFormat="false" ht="15.75" hidden="false" customHeight="false" outlineLevel="0" collapsed="false">
      <c r="L335" s="3"/>
    </row>
    <row r="336" customFormat="false" ht="15.75" hidden="false" customHeight="false" outlineLevel="0" collapsed="false">
      <c r="L336" s="3"/>
    </row>
    <row r="337" customFormat="false" ht="15.75" hidden="false" customHeight="false" outlineLevel="0" collapsed="false">
      <c r="L337" s="3"/>
    </row>
    <row r="338" customFormat="false" ht="15.75" hidden="false" customHeight="false" outlineLevel="0" collapsed="false">
      <c r="L338" s="3"/>
    </row>
    <row r="339" customFormat="false" ht="15.75" hidden="false" customHeight="false" outlineLevel="0" collapsed="false">
      <c r="L339" s="3"/>
    </row>
    <row r="340" customFormat="false" ht="15.75" hidden="false" customHeight="false" outlineLevel="0" collapsed="false">
      <c r="L340" s="3"/>
    </row>
    <row r="341" customFormat="false" ht="15.75" hidden="false" customHeight="false" outlineLevel="0" collapsed="false">
      <c r="L341" s="3"/>
    </row>
    <row r="342" customFormat="false" ht="15.75" hidden="false" customHeight="false" outlineLevel="0" collapsed="false">
      <c r="L342" s="3"/>
    </row>
    <row r="343" customFormat="false" ht="15.75" hidden="false" customHeight="false" outlineLevel="0" collapsed="false">
      <c r="L343" s="3"/>
    </row>
    <row r="344" customFormat="false" ht="15.75" hidden="false" customHeight="false" outlineLevel="0" collapsed="false">
      <c r="L344" s="3"/>
    </row>
    <row r="345" customFormat="false" ht="15.75" hidden="false" customHeight="false" outlineLevel="0" collapsed="false">
      <c r="L345" s="3"/>
    </row>
    <row r="346" customFormat="false" ht="15.75" hidden="false" customHeight="false" outlineLevel="0" collapsed="false">
      <c r="L346" s="3"/>
    </row>
    <row r="347" customFormat="false" ht="15.75" hidden="false" customHeight="false" outlineLevel="0" collapsed="false">
      <c r="L347" s="3"/>
    </row>
    <row r="348" customFormat="false" ht="15.75" hidden="false" customHeight="false" outlineLevel="0" collapsed="false">
      <c r="L348" s="3"/>
    </row>
    <row r="349" customFormat="false" ht="15.75" hidden="false" customHeight="false" outlineLevel="0" collapsed="false">
      <c r="L349" s="3"/>
    </row>
    <row r="350" customFormat="false" ht="15.75" hidden="false" customHeight="false" outlineLevel="0" collapsed="false">
      <c r="L350" s="3"/>
    </row>
    <row r="351" customFormat="false" ht="15.75" hidden="false" customHeight="false" outlineLevel="0" collapsed="false">
      <c r="L351" s="3"/>
    </row>
    <row r="352" customFormat="false" ht="15.75" hidden="false" customHeight="false" outlineLevel="0" collapsed="false">
      <c r="L352" s="3"/>
    </row>
    <row r="353" customFormat="false" ht="15.75" hidden="false" customHeight="false" outlineLevel="0" collapsed="false">
      <c r="L353" s="3"/>
    </row>
    <row r="354" customFormat="false" ht="15.75" hidden="false" customHeight="false" outlineLevel="0" collapsed="false">
      <c r="L354" s="3"/>
    </row>
    <row r="355" customFormat="false" ht="15.75" hidden="false" customHeight="false" outlineLevel="0" collapsed="false">
      <c r="L355" s="3"/>
    </row>
    <row r="356" customFormat="false" ht="15.75" hidden="false" customHeight="false" outlineLevel="0" collapsed="false">
      <c r="L356" s="3"/>
    </row>
    <row r="357" customFormat="false" ht="15.75" hidden="false" customHeight="false" outlineLevel="0" collapsed="false">
      <c r="L357" s="3"/>
    </row>
    <row r="358" customFormat="false" ht="15.75" hidden="false" customHeight="false" outlineLevel="0" collapsed="false">
      <c r="L358" s="3"/>
    </row>
    <row r="359" customFormat="false" ht="15.75" hidden="false" customHeight="false" outlineLevel="0" collapsed="false">
      <c r="L359" s="3"/>
    </row>
    <row r="360" customFormat="false" ht="15.75" hidden="false" customHeight="false" outlineLevel="0" collapsed="false">
      <c r="L360" s="3"/>
    </row>
    <row r="361" customFormat="false" ht="15.75" hidden="false" customHeight="false" outlineLevel="0" collapsed="false">
      <c r="L361" s="3"/>
    </row>
    <row r="362" customFormat="false" ht="15.75" hidden="false" customHeight="false" outlineLevel="0" collapsed="false">
      <c r="L362" s="3"/>
    </row>
    <row r="363" customFormat="false" ht="15.75" hidden="false" customHeight="false" outlineLevel="0" collapsed="false">
      <c r="L363" s="3"/>
    </row>
    <row r="364" customFormat="false" ht="15.75" hidden="false" customHeight="false" outlineLevel="0" collapsed="false">
      <c r="L364" s="3"/>
    </row>
    <row r="365" customFormat="false" ht="15.75" hidden="false" customHeight="false" outlineLevel="0" collapsed="false">
      <c r="L365" s="3"/>
    </row>
    <row r="366" customFormat="false" ht="15.75" hidden="false" customHeight="false" outlineLevel="0" collapsed="false">
      <c r="L366" s="3"/>
    </row>
    <row r="367" customFormat="false" ht="15.75" hidden="false" customHeight="false" outlineLevel="0" collapsed="false">
      <c r="L367" s="3"/>
    </row>
    <row r="368" customFormat="false" ht="15.75" hidden="false" customHeight="false" outlineLevel="0" collapsed="false">
      <c r="L368" s="3"/>
    </row>
    <row r="369" customFormat="false" ht="15.75" hidden="false" customHeight="false" outlineLevel="0" collapsed="false">
      <c r="L369" s="3"/>
    </row>
    <row r="370" customFormat="false" ht="15.75" hidden="false" customHeight="false" outlineLevel="0" collapsed="false">
      <c r="L370" s="3"/>
    </row>
    <row r="371" customFormat="false" ht="15.75" hidden="false" customHeight="false" outlineLevel="0" collapsed="false">
      <c r="L371" s="3"/>
    </row>
    <row r="372" customFormat="false" ht="15.75" hidden="false" customHeight="false" outlineLevel="0" collapsed="false">
      <c r="L372" s="3"/>
    </row>
    <row r="373" customFormat="false" ht="15.75" hidden="false" customHeight="false" outlineLevel="0" collapsed="false">
      <c r="L373" s="3"/>
    </row>
    <row r="374" customFormat="false" ht="15.75" hidden="false" customHeight="false" outlineLevel="0" collapsed="false">
      <c r="L374" s="3"/>
    </row>
    <row r="375" customFormat="false" ht="15.75" hidden="false" customHeight="false" outlineLevel="0" collapsed="false">
      <c r="L375" s="3"/>
    </row>
    <row r="376" customFormat="false" ht="15.75" hidden="false" customHeight="false" outlineLevel="0" collapsed="false">
      <c r="L376" s="3"/>
    </row>
    <row r="377" customFormat="false" ht="15.75" hidden="false" customHeight="false" outlineLevel="0" collapsed="false">
      <c r="L377" s="3"/>
    </row>
    <row r="378" customFormat="false" ht="15.75" hidden="false" customHeight="false" outlineLevel="0" collapsed="false">
      <c r="L378" s="3"/>
    </row>
    <row r="379" customFormat="false" ht="15.75" hidden="false" customHeight="false" outlineLevel="0" collapsed="false">
      <c r="L379" s="3"/>
    </row>
    <row r="380" customFormat="false" ht="15.75" hidden="false" customHeight="false" outlineLevel="0" collapsed="false">
      <c r="L380" s="3"/>
    </row>
    <row r="381" customFormat="false" ht="15.75" hidden="false" customHeight="false" outlineLevel="0" collapsed="false">
      <c r="L381" s="3"/>
    </row>
    <row r="382" customFormat="false" ht="15.75" hidden="false" customHeight="false" outlineLevel="0" collapsed="false">
      <c r="L382" s="3"/>
    </row>
    <row r="383" customFormat="false" ht="15.75" hidden="false" customHeight="false" outlineLevel="0" collapsed="false">
      <c r="L383" s="3"/>
    </row>
    <row r="384" customFormat="false" ht="15.75" hidden="false" customHeight="false" outlineLevel="0" collapsed="false">
      <c r="L384" s="3"/>
    </row>
    <row r="385" customFormat="false" ht="15.75" hidden="false" customHeight="false" outlineLevel="0" collapsed="false">
      <c r="L385" s="3"/>
    </row>
    <row r="386" customFormat="false" ht="15.75" hidden="false" customHeight="false" outlineLevel="0" collapsed="false">
      <c r="L386" s="3"/>
    </row>
    <row r="387" customFormat="false" ht="15.75" hidden="false" customHeight="false" outlineLevel="0" collapsed="false">
      <c r="L387" s="3"/>
    </row>
    <row r="388" customFormat="false" ht="15.75" hidden="false" customHeight="false" outlineLevel="0" collapsed="false">
      <c r="L388" s="3"/>
    </row>
    <row r="389" customFormat="false" ht="15.75" hidden="false" customHeight="false" outlineLevel="0" collapsed="false">
      <c r="L389" s="3"/>
    </row>
    <row r="390" customFormat="false" ht="15.75" hidden="false" customHeight="false" outlineLevel="0" collapsed="false">
      <c r="L390" s="3"/>
    </row>
    <row r="391" customFormat="false" ht="15.75" hidden="false" customHeight="false" outlineLevel="0" collapsed="false">
      <c r="L391" s="3"/>
    </row>
    <row r="392" customFormat="false" ht="15.75" hidden="false" customHeight="false" outlineLevel="0" collapsed="false">
      <c r="L392" s="3"/>
    </row>
    <row r="393" customFormat="false" ht="15.75" hidden="false" customHeight="false" outlineLevel="0" collapsed="false">
      <c r="L393" s="3"/>
    </row>
    <row r="394" customFormat="false" ht="15.75" hidden="false" customHeight="false" outlineLevel="0" collapsed="false">
      <c r="L394" s="3"/>
    </row>
    <row r="395" customFormat="false" ht="15.75" hidden="false" customHeight="false" outlineLevel="0" collapsed="false">
      <c r="L395" s="3"/>
    </row>
    <row r="396" customFormat="false" ht="15.75" hidden="false" customHeight="false" outlineLevel="0" collapsed="false">
      <c r="L396" s="3"/>
    </row>
    <row r="397" customFormat="false" ht="15.75" hidden="false" customHeight="false" outlineLevel="0" collapsed="false">
      <c r="L397" s="3"/>
    </row>
    <row r="398" customFormat="false" ht="15.75" hidden="false" customHeight="false" outlineLevel="0" collapsed="false">
      <c r="L398" s="3"/>
    </row>
    <row r="399" customFormat="false" ht="15.75" hidden="false" customHeight="false" outlineLevel="0" collapsed="false">
      <c r="L399" s="3"/>
    </row>
    <row r="400" customFormat="false" ht="15.75" hidden="false" customHeight="false" outlineLevel="0" collapsed="false">
      <c r="L400" s="3"/>
    </row>
    <row r="401" customFormat="false" ht="15.75" hidden="false" customHeight="false" outlineLevel="0" collapsed="false">
      <c r="L401" s="3"/>
    </row>
    <row r="402" customFormat="false" ht="15.75" hidden="false" customHeight="false" outlineLevel="0" collapsed="false">
      <c r="L402" s="3"/>
    </row>
    <row r="403" customFormat="false" ht="15.75" hidden="false" customHeight="false" outlineLevel="0" collapsed="false">
      <c r="L403" s="3"/>
    </row>
    <row r="404" customFormat="false" ht="15.75" hidden="false" customHeight="false" outlineLevel="0" collapsed="false">
      <c r="L404" s="3"/>
    </row>
    <row r="405" customFormat="false" ht="15.75" hidden="false" customHeight="false" outlineLevel="0" collapsed="false">
      <c r="L405" s="3"/>
    </row>
    <row r="406" customFormat="false" ht="15.75" hidden="false" customHeight="false" outlineLevel="0" collapsed="false">
      <c r="L406" s="3"/>
    </row>
    <row r="407" customFormat="false" ht="15.75" hidden="false" customHeight="false" outlineLevel="0" collapsed="false">
      <c r="L407" s="3"/>
    </row>
    <row r="408" customFormat="false" ht="15.75" hidden="false" customHeight="false" outlineLevel="0" collapsed="false">
      <c r="L408" s="3"/>
    </row>
    <row r="409" customFormat="false" ht="15.75" hidden="false" customHeight="false" outlineLevel="0" collapsed="false">
      <c r="L409" s="3"/>
    </row>
    <row r="410" customFormat="false" ht="15.75" hidden="false" customHeight="false" outlineLevel="0" collapsed="false">
      <c r="L410" s="3"/>
    </row>
    <row r="411" customFormat="false" ht="15.75" hidden="false" customHeight="false" outlineLevel="0" collapsed="false">
      <c r="L411" s="3"/>
    </row>
    <row r="412" customFormat="false" ht="15.75" hidden="false" customHeight="false" outlineLevel="0" collapsed="false">
      <c r="L412" s="3"/>
    </row>
    <row r="413" customFormat="false" ht="15.75" hidden="false" customHeight="false" outlineLevel="0" collapsed="false">
      <c r="L413" s="3"/>
    </row>
    <row r="414" customFormat="false" ht="15.75" hidden="false" customHeight="false" outlineLevel="0" collapsed="false">
      <c r="L414" s="3"/>
    </row>
    <row r="415" customFormat="false" ht="15.75" hidden="false" customHeight="false" outlineLevel="0" collapsed="false">
      <c r="L415" s="3"/>
    </row>
    <row r="416" customFormat="false" ht="15.75" hidden="false" customHeight="false" outlineLevel="0" collapsed="false">
      <c r="L416" s="3"/>
    </row>
    <row r="417" customFormat="false" ht="15.75" hidden="false" customHeight="false" outlineLevel="0" collapsed="false">
      <c r="L417" s="3"/>
    </row>
    <row r="418" customFormat="false" ht="15.75" hidden="false" customHeight="false" outlineLevel="0" collapsed="false">
      <c r="L418" s="3"/>
    </row>
    <row r="419" customFormat="false" ht="15.75" hidden="false" customHeight="false" outlineLevel="0" collapsed="false">
      <c r="L419" s="3"/>
    </row>
    <row r="420" customFormat="false" ht="15.75" hidden="false" customHeight="false" outlineLevel="0" collapsed="false">
      <c r="L420" s="3"/>
    </row>
    <row r="421" customFormat="false" ht="15.75" hidden="false" customHeight="false" outlineLevel="0" collapsed="false">
      <c r="L421" s="3"/>
    </row>
    <row r="422" customFormat="false" ht="15.75" hidden="false" customHeight="false" outlineLevel="0" collapsed="false">
      <c r="L422" s="3"/>
    </row>
    <row r="423" customFormat="false" ht="15.75" hidden="false" customHeight="false" outlineLevel="0" collapsed="false">
      <c r="L423" s="3"/>
    </row>
    <row r="424" customFormat="false" ht="15.75" hidden="false" customHeight="false" outlineLevel="0" collapsed="false">
      <c r="L424" s="3"/>
    </row>
    <row r="425" customFormat="false" ht="15.75" hidden="false" customHeight="false" outlineLevel="0" collapsed="false">
      <c r="L425" s="3"/>
    </row>
    <row r="426" customFormat="false" ht="15.75" hidden="false" customHeight="false" outlineLevel="0" collapsed="false">
      <c r="L426" s="3"/>
    </row>
    <row r="427" customFormat="false" ht="15.75" hidden="false" customHeight="false" outlineLevel="0" collapsed="false">
      <c r="L427" s="3"/>
    </row>
    <row r="428" customFormat="false" ht="15.75" hidden="false" customHeight="false" outlineLevel="0" collapsed="false">
      <c r="L428" s="3"/>
    </row>
    <row r="429" customFormat="false" ht="15.75" hidden="false" customHeight="false" outlineLevel="0" collapsed="false">
      <c r="L429" s="3"/>
    </row>
    <row r="430" customFormat="false" ht="15.75" hidden="false" customHeight="false" outlineLevel="0" collapsed="false">
      <c r="L430" s="3"/>
    </row>
    <row r="431" customFormat="false" ht="15.75" hidden="false" customHeight="false" outlineLevel="0" collapsed="false">
      <c r="L431" s="3"/>
    </row>
    <row r="432" customFormat="false" ht="15.75" hidden="false" customHeight="false" outlineLevel="0" collapsed="false">
      <c r="L432" s="3"/>
    </row>
    <row r="433" customFormat="false" ht="15.75" hidden="false" customHeight="false" outlineLevel="0" collapsed="false">
      <c r="L433" s="3"/>
    </row>
    <row r="434" customFormat="false" ht="15.75" hidden="false" customHeight="false" outlineLevel="0" collapsed="false">
      <c r="L434" s="3"/>
    </row>
    <row r="435" customFormat="false" ht="15.75" hidden="false" customHeight="false" outlineLevel="0" collapsed="false">
      <c r="L435" s="3"/>
    </row>
    <row r="436" customFormat="false" ht="15.75" hidden="false" customHeight="false" outlineLevel="0" collapsed="false">
      <c r="L436" s="3"/>
    </row>
    <row r="437" customFormat="false" ht="15.75" hidden="false" customHeight="false" outlineLevel="0" collapsed="false">
      <c r="L437" s="3"/>
    </row>
    <row r="438" customFormat="false" ht="15.75" hidden="false" customHeight="false" outlineLevel="0" collapsed="false">
      <c r="L438" s="3"/>
    </row>
    <row r="439" customFormat="false" ht="15.75" hidden="false" customHeight="false" outlineLevel="0" collapsed="false">
      <c r="L439" s="3"/>
    </row>
    <row r="440" customFormat="false" ht="15.75" hidden="false" customHeight="false" outlineLevel="0" collapsed="false">
      <c r="L440" s="3"/>
    </row>
    <row r="441" customFormat="false" ht="15.75" hidden="false" customHeight="false" outlineLevel="0" collapsed="false">
      <c r="L441" s="3"/>
    </row>
    <row r="442" customFormat="false" ht="15.75" hidden="false" customHeight="false" outlineLevel="0" collapsed="false">
      <c r="L442" s="3"/>
    </row>
    <row r="443" customFormat="false" ht="15.75" hidden="false" customHeight="false" outlineLevel="0" collapsed="false">
      <c r="L443" s="3"/>
    </row>
    <row r="444" customFormat="false" ht="15.75" hidden="false" customHeight="false" outlineLevel="0" collapsed="false">
      <c r="L444" s="3"/>
    </row>
    <row r="445" customFormat="false" ht="15.75" hidden="false" customHeight="false" outlineLevel="0" collapsed="false">
      <c r="L445" s="3"/>
    </row>
    <row r="446" customFormat="false" ht="15.75" hidden="false" customHeight="false" outlineLevel="0" collapsed="false">
      <c r="L446" s="3"/>
    </row>
    <row r="447" customFormat="false" ht="15.75" hidden="false" customHeight="false" outlineLevel="0" collapsed="false">
      <c r="L447" s="3"/>
    </row>
    <row r="448" customFormat="false" ht="15.75" hidden="false" customHeight="false" outlineLevel="0" collapsed="false">
      <c r="L448" s="3"/>
    </row>
    <row r="449" customFormat="false" ht="15.75" hidden="false" customHeight="false" outlineLevel="0" collapsed="false">
      <c r="L449" s="3"/>
    </row>
    <row r="450" customFormat="false" ht="15.75" hidden="false" customHeight="false" outlineLevel="0" collapsed="false">
      <c r="L450" s="3"/>
    </row>
    <row r="451" customFormat="false" ht="15.75" hidden="false" customHeight="false" outlineLevel="0" collapsed="false">
      <c r="L451" s="3"/>
    </row>
    <row r="452" customFormat="false" ht="15.75" hidden="false" customHeight="false" outlineLevel="0" collapsed="false">
      <c r="L452" s="3"/>
    </row>
    <row r="453" customFormat="false" ht="15.75" hidden="false" customHeight="false" outlineLevel="0" collapsed="false">
      <c r="L453" s="3"/>
    </row>
    <row r="454" customFormat="false" ht="15.75" hidden="false" customHeight="false" outlineLevel="0" collapsed="false">
      <c r="L454" s="3"/>
    </row>
    <row r="455" customFormat="false" ht="15.75" hidden="false" customHeight="false" outlineLevel="0" collapsed="false">
      <c r="L455" s="3"/>
    </row>
    <row r="456" customFormat="false" ht="15.75" hidden="false" customHeight="false" outlineLevel="0" collapsed="false">
      <c r="L456" s="3"/>
    </row>
    <row r="457" customFormat="false" ht="15.75" hidden="false" customHeight="false" outlineLevel="0" collapsed="false">
      <c r="L457" s="3"/>
    </row>
    <row r="458" customFormat="false" ht="15.75" hidden="false" customHeight="false" outlineLevel="0" collapsed="false">
      <c r="L458" s="3"/>
    </row>
    <row r="459" customFormat="false" ht="15.75" hidden="false" customHeight="false" outlineLevel="0" collapsed="false">
      <c r="L459" s="3"/>
    </row>
    <row r="460" customFormat="false" ht="15.75" hidden="false" customHeight="false" outlineLevel="0" collapsed="false">
      <c r="L460" s="3"/>
    </row>
    <row r="461" customFormat="false" ht="15.75" hidden="false" customHeight="false" outlineLevel="0" collapsed="false">
      <c r="L461" s="3"/>
    </row>
    <row r="462" customFormat="false" ht="15.75" hidden="false" customHeight="false" outlineLevel="0" collapsed="false">
      <c r="L462" s="3"/>
    </row>
    <row r="463" customFormat="false" ht="15.75" hidden="false" customHeight="false" outlineLevel="0" collapsed="false">
      <c r="L463" s="3"/>
    </row>
    <row r="464" customFormat="false" ht="15.75" hidden="false" customHeight="false" outlineLevel="0" collapsed="false">
      <c r="L464" s="3"/>
    </row>
    <row r="465" customFormat="false" ht="15.75" hidden="false" customHeight="false" outlineLevel="0" collapsed="false">
      <c r="L465" s="3"/>
    </row>
    <row r="466" customFormat="false" ht="15.75" hidden="false" customHeight="false" outlineLevel="0" collapsed="false">
      <c r="L466" s="3"/>
    </row>
    <row r="467" customFormat="false" ht="15.75" hidden="false" customHeight="false" outlineLevel="0" collapsed="false">
      <c r="L467" s="3"/>
    </row>
    <row r="468" customFormat="false" ht="15.75" hidden="false" customHeight="false" outlineLevel="0" collapsed="false">
      <c r="L468" s="3"/>
    </row>
    <row r="469" customFormat="false" ht="15.75" hidden="false" customHeight="false" outlineLevel="0" collapsed="false">
      <c r="L469" s="3"/>
    </row>
    <row r="470" customFormat="false" ht="15.75" hidden="false" customHeight="false" outlineLevel="0" collapsed="false">
      <c r="L470" s="3"/>
    </row>
    <row r="471" customFormat="false" ht="15.75" hidden="false" customHeight="false" outlineLevel="0" collapsed="false">
      <c r="L471" s="3"/>
    </row>
    <row r="472" customFormat="false" ht="15.75" hidden="false" customHeight="false" outlineLevel="0" collapsed="false">
      <c r="L472" s="3"/>
    </row>
    <row r="473" customFormat="false" ht="15.75" hidden="false" customHeight="false" outlineLevel="0" collapsed="false">
      <c r="L473" s="3"/>
    </row>
    <row r="474" customFormat="false" ht="15.75" hidden="false" customHeight="false" outlineLevel="0" collapsed="false">
      <c r="L474" s="3"/>
    </row>
    <row r="475" customFormat="false" ht="15.75" hidden="false" customHeight="false" outlineLevel="0" collapsed="false">
      <c r="L475" s="3"/>
    </row>
    <row r="476" customFormat="false" ht="15.75" hidden="false" customHeight="false" outlineLevel="0" collapsed="false">
      <c r="L476" s="3"/>
    </row>
    <row r="477" customFormat="false" ht="15.75" hidden="false" customHeight="false" outlineLevel="0" collapsed="false">
      <c r="L477" s="3"/>
    </row>
    <row r="478" customFormat="false" ht="15.75" hidden="false" customHeight="false" outlineLevel="0" collapsed="false">
      <c r="L478" s="3"/>
    </row>
    <row r="479" customFormat="false" ht="15.75" hidden="false" customHeight="false" outlineLevel="0" collapsed="false">
      <c r="L479" s="3"/>
    </row>
    <row r="480" customFormat="false" ht="15.75" hidden="false" customHeight="false" outlineLevel="0" collapsed="false">
      <c r="L480" s="3"/>
    </row>
    <row r="481" customFormat="false" ht="15.75" hidden="false" customHeight="false" outlineLevel="0" collapsed="false">
      <c r="L481" s="3"/>
    </row>
    <row r="482" customFormat="false" ht="15.75" hidden="false" customHeight="false" outlineLevel="0" collapsed="false">
      <c r="L482" s="3"/>
    </row>
    <row r="483" customFormat="false" ht="15.75" hidden="false" customHeight="false" outlineLevel="0" collapsed="false">
      <c r="L483" s="3"/>
    </row>
    <row r="484" customFormat="false" ht="15.75" hidden="false" customHeight="false" outlineLevel="0" collapsed="false">
      <c r="L484" s="3"/>
    </row>
    <row r="485" customFormat="false" ht="15.75" hidden="false" customHeight="false" outlineLevel="0" collapsed="false">
      <c r="L485" s="3"/>
    </row>
    <row r="486" customFormat="false" ht="15.75" hidden="false" customHeight="false" outlineLevel="0" collapsed="false">
      <c r="L486" s="3"/>
    </row>
    <row r="487" customFormat="false" ht="15.75" hidden="false" customHeight="false" outlineLevel="0" collapsed="false">
      <c r="L487" s="3"/>
    </row>
    <row r="488" customFormat="false" ht="15.75" hidden="false" customHeight="false" outlineLevel="0" collapsed="false">
      <c r="L488" s="3"/>
    </row>
    <row r="489" customFormat="false" ht="15.75" hidden="false" customHeight="false" outlineLevel="0" collapsed="false">
      <c r="L489" s="3"/>
    </row>
    <row r="490" customFormat="false" ht="15.75" hidden="false" customHeight="false" outlineLevel="0" collapsed="false">
      <c r="L490" s="3"/>
    </row>
    <row r="491" customFormat="false" ht="15.75" hidden="false" customHeight="false" outlineLevel="0" collapsed="false">
      <c r="L491" s="3"/>
    </row>
    <row r="492" customFormat="false" ht="15.75" hidden="false" customHeight="false" outlineLevel="0" collapsed="false">
      <c r="L492" s="3"/>
    </row>
    <row r="493" customFormat="false" ht="15.75" hidden="false" customHeight="false" outlineLevel="0" collapsed="false">
      <c r="L493" s="3"/>
    </row>
    <row r="494" customFormat="false" ht="15.75" hidden="false" customHeight="false" outlineLevel="0" collapsed="false">
      <c r="L494" s="3"/>
    </row>
    <row r="495" customFormat="false" ht="15.75" hidden="false" customHeight="false" outlineLevel="0" collapsed="false">
      <c r="L495" s="3"/>
    </row>
    <row r="496" customFormat="false" ht="15.75" hidden="false" customHeight="false" outlineLevel="0" collapsed="false">
      <c r="L496" s="3"/>
    </row>
    <row r="497" customFormat="false" ht="15.75" hidden="false" customHeight="false" outlineLevel="0" collapsed="false">
      <c r="L497" s="3"/>
    </row>
    <row r="498" customFormat="false" ht="15.75" hidden="false" customHeight="false" outlineLevel="0" collapsed="false">
      <c r="L498" s="3"/>
    </row>
    <row r="499" customFormat="false" ht="15.75" hidden="false" customHeight="false" outlineLevel="0" collapsed="false">
      <c r="L499" s="3"/>
    </row>
    <row r="500" customFormat="false" ht="15.75" hidden="false" customHeight="false" outlineLevel="0" collapsed="false">
      <c r="L500" s="3"/>
    </row>
    <row r="501" customFormat="false" ht="15.75" hidden="false" customHeight="false" outlineLevel="0" collapsed="false">
      <c r="L501" s="3"/>
    </row>
    <row r="502" customFormat="false" ht="15.75" hidden="false" customHeight="false" outlineLevel="0" collapsed="false">
      <c r="L502" s="3"/>
    </row>
    <row r="503" customFormat="false" ht="15.75" hidden="false" customHeight="false" outlineLevel="0" collapsed="false">
      <c r="L503" s="3"/>
    </row>
    <row r="504" customFormat="false" ht="15.75" hidden="false" customHeight="false" outlineLevel="0" collapsed="false">
      <c r="L504" s="3"/>
    </row>
    <row r="505" customFormat="false" ht="15.75" hidden="false" customHeight="false" outlineLevel="0" collapsed="false">
      <c r="L505" s="3"/>
    </row>
    <row r="506" customFormat="false" ht="15.75" hidden="false" customHeight="false" outlineLevel="0" collapsed="false">
      <c r="L506" s="3"/>
    </row>
    <row r="507" customFormat="false" ht="15.75" hidden="false" customHeight="false" outlineLevel="0" collapsed="false">
      <c r="L507" s="3"/>
    </row>
    <row r="508" customFormat="false" ht="15.75" hidden="false" customHeight="false" outlineLevel="0" collapsed="false">
      <c r="L508" s="3"/>
    </row>
    <row r="509" customFormat="false" ht="15.75" hidden="false" customHeight="false" outlineLevel="0" collapsed="false">
      <c r="L509" s="3"/>
    </row>
    <row r="510" customFormat="false" ht="15.75" hidden="false" customHeight="false" outlineLevel="0" collapsed="false">
      <c r="L510" s="3"/>
    </row>
    <row r="511" customFormat="false" ht="15.75" hidden="false" customHeight="false" outlineLevel="0" collapsed="false">
      <c r="L511" s="3"/>
    </row>
    <row r="512" customFormat="false" ht="15.75" hidden="false" customHeight="false" outlineLevel="0" collapsed="false">
      <c r="L512" s="3"/>
    </row>
    <row r="513" customFormat="false" ht="15.75" hidden="false" customHeight="false" outlineLevel="0" collapsed="false">
      <c r="L513" s="3"/>
    </row>
    <row r="514" customFormat="false" ht="15.75" hidden="false" customHeight="false" outlineLevel="0" collapsed="false">
      <c r="L514" s="3"/>
    </row>
    <row r="515" customFormat="false" ht="15.75" hidden="false" customHeight="false" outlineLevel="0" collapsed="false">
      <c r="L515" s="3"/>
    </row>
    <row r="516" customFormat="false" ht="15.75" hidden="false" customHeight="false" outlineLevel="0" collapsed="false">
      <c r="L516" s="3"/>
    </row>
    <row r="517" customFormat="false" ht="15.75" hidden="false" customHeight="false" outlineLevel="0" collapsed="false">
      <c r="L517" s="3"/>
    </row>
    <row r="518" customFormat="false" ht="15.75" hidden="false" customHeight="false" outlineLevel="0" collapsed="false">
      <c r="L518" s="3"/>
    </row>
    <row r="519" customFormat="false" ht="15.75" hidden="false" customHeight="false" outlineLevel="0" collapsed="false">
      <c r="L519" s="3"/>
    </row>
    <row r="520" customFormat="false" ht="15.75" hidden="false" customHeight="false" outlineLevel="0" collapsed="false">
      <c r="L520" s="3"/>
    </row>
    <row r="521" customFormat="false" ht="15.75" hidden="false" customHeight="false" outlineLevel="0" collapsed="false">
      <c r="L521" s="3"/>
    </row>
    <row r="522" customFormat="false" ht="15.75" hidden="false" customHeight="false" outlineLevel="0" collapsed="false">
      <c r="L522" s="3"/>
    </row>
    <row r="523" customFormat="false" ht="15.75" hidden="false" customHeight="false" outlineLevel="0" collapsed="false">
      <c r="L523" s="3"/>
    </row>
    <row r="524" customFormat="false" ht="15.75" hidden="false" customHeight="false" outlineLevel="0" collapsed="false">
      <c r="L524" s="3"/>
    </row>
    <row r="525" customFormat="false" ht="15.75" hidden="false" customHeight="false" outlineLevel="0" collapsed="false">
      <c r="L525" s="3"/>
    </row>
    <row r="526" customFormat="false" ht="15.75" hidden="false" customHeight="false" outlineLevel="0" collapsed="false">
      <c r="L526" s="3"/>
    </row>
    <row r="527" customFormat="false" ht="15.75" hidden="false" customHeight="false" outlineLevel="0" collapsed="false">
      <c r="L527" s="3"/>
    </row>
    <row r="528" customFormat="false" ht="15.75" hidden="false" customHeight="false" outlineLevel="0" collapsed="false">
      <c r="L528" s="3"/>
    </row>
    <row r="529" customFormat="false" ht="15.75" hidden="false" customHeight="false" outlineLevel="0" collapsed="false">
      <c r="L529" s="3"/>
    </row>
    <row r="530" customFormat="false" ht="15.75" hidden="false" customHeight="false" outlineLevel="0" collapsed="false">
      <c r="L530" s="3"/>
    </row>
    <row r="531" customFormat="false" ht="15.75" hidden="false" customHeight="false" outlineLevel="0" collapsed="false">
      <c r="L531" s="3"/>
    </row>
    <row r="532" customFormat="false" ht="15.75" hidden="false" customHeight="false" outlineLevel="0" collapsed="false">
      <c r="L532" s="3"/>
    </row>
    <row r="533" customFormat="false" ht="15.75" hidden="false" customHeight="false" outlineLevel="0" collapsed="false">
      <c r="L533" s="3"/>
    </row>
    <row r="534" customFormat="false" ht="15.75" hidden="false" customHeight="false" outlineLevel="0" collapsed="false">
      <c r="L534" s="3"/>
    </row>
    <row r="535" customFormat="false" ht="15.75" hidden="false" customHeight="false" outlineLevel="0" collapsed="false">
      <c r="L535" s="3"/>
    </row>
    <row r="536" customFormat="false" ht="15.75" hidden="false" customHeight="false" outlineLevel="0" collapsed="false">
      <c r="L536" s="3"/>
    </row>
    <row r="537" customFormat="false" ht="15.75" hidden="false" customHeight="false" outlineLevel="0" collapsed="false">
      <c r="L537" s="3"/>
    </row>
    <row r="538" customFormat="false" ht="15.75" hidden="false" customHeight="false" outlineLevel="0" collapsed="false">
      <c r="L538" s="3"/>
    </row>
    <row r="539" customFormat="false" ht="15.75" hidden="false" customHeight="false" outlineLevel="0" collapsed="false">
      <c r="L539" s="3"/>
    </row>
    <row r="540" customFormat="false" ht="15.75" hidden="false" customHeight="false" outlineLevel="0" collapsed="false">
      <c r="L540" s="3"/>
    </row>
    <row r="541" customFormat="false" ht="15.75" hidden="false" customHeight="false" outlineLevel="0" collapsed="false">
      <c r="L541" s="3"/>
    </row>
    <row r="542" customFormat="false" ht="15.75" hidden="false" customHeight="false" outlineLevel="0" collapsed="false">
      <c r="L542" s="3"/>
    </row>
    <row r="543" customFormat="false" ht="15.75" hidden="false" customHeight="false" outlineLevel="0" collapsed="false">
      <c r="L543" s="3"/>
    </row>
    <row r="544" customFormat="false" ht="15.75" hidden="false" customHeight="false" outlineLevel="0" collapsed="false">
      <c r="L544" s="3"/>
    </row>
    <row r="545" customFormat="false" ht="15.75" hidden="false" customHeight="false" outlineLevel="0" collapsed="false">
      <c r="L545" s="3"/>
    </row>
    <row r="546" customFormat="false" ht="15.75" hidden="false" customHeight="false" outlineLevel="0" collapsed="false">
      <c r="L546" s="3"/>
    </row>
    <row r="547" customFormat="false" ht="15.75" hidden="false" customHeight="false" outlineLevel="0" collapsed="false">
      <c r="L547" s="3"/>
    </row>
    <row r="548" customFormat="false" ht="15.75" hidden="false" customHeight="false" outlineLevel="0" collapsed="false">
      <c r="L548" s="3"/>
    </row>
    <row r="549" customFormat="false" ht="15.75" hidden="false" customHeight="false" outlineLevel="0" collapsed="false">
      <c r="L549" s="3"/>
    </row>
    <row r="550" customFormat="false" ht="15.75" hidden="false" customHeight="false" outlineLevel="0" collapsed="false">
      <c r="L550" s="3"/>
    </row>
    <row r="551" customFormat="false" ht="15.75" hidden="false" customHeight="false" outlineLevel="0" collapsed="false">
      <c r="L551" s="3"/>
    </row>
    <row r="552" customFormat="false" ht="15.75" hidden="false" customHeight="false" outlineLevel="0" collapsed="false">
      <c r="L552" s="3"/>
    </row>
    <row r="553" customFormat="false" ht="15.75" hidden="false" customHeight="false" outlineLevel="0" collapsed="false">
      <c r="L553" s="3"/>
    </row>
    <row r="554" customFormat="false" ht="15.75" hidden="false" customHeight="false" outlineLevel="0" collapsed="false">
      <c r="L554" s="3"/>
    </row>
    <row r="555" customFormat="false" ht="15.75" hidden="false" customHeight="false" outlineLevel="0" collapsed="false">
      <c r="L555" s="3"/>
    </row>
    <row r="556" customFormat="false" ht="15.75" hidden="false" customHeight="false" outlineLevel="0" collapsed="false">
      <c r="L556" s="3"/>
    </row>
    <row r="557" customFormat="false" ht="15.75" hidden="false" customHeight="false" outlineLevel="0" collapsed="false">
      <c r="L557" s="3"/>
    </row>
    <row r="558" customFormat="false" ht="15.75" hidden="false" customHeight="false" outlineLevel="0" collapsed="false">
      <c r="L558" s="3"/>
    </row>
    <row r="559" customFormat="false" ht="15.75" hidden="false" customHeight="false" outlineLevel="0" collapsed="false">
      <c r="L559" s="3"/>
    </row>
    <row r="560" customFormat="false" ht="15.75" hidden="false" customHeight="false" outlineLevel="0" collapsed="false">
      <c r="L560" s="3"/>
    </row>
    <row r="561" customFormat="false" ht="15.75" hidden="false" customHeight="false" outlineLevel="0" collapsed="false">
      <c r="L561" s="3"/>
    </row>
    <row r="562" customFormat="false" ht="15.75" hidden="false" customHeight="false" outlineLevel="0" collapsed="false">
      <c r="L562" s="3"/>
    </row>
    <row r="563" customFormat="false" ht="15.75" hidden="false" customHeight="false" outlineLevel="0" collapsed="false">
      <c r="L563" s="3"/>
    </row>
    <row r="564" customFormat="false" ht="15.75" hidden="false" customHeight="false" outlineLevel="0" collapsed="false">
      <c r="L564" s="3"/>
    </row>
    <row r="565" customFormat="false" ht="15.75" hidden="false" customHeight="false" outlineLevel="0" collapsed="false">
      <c r="L565" s="3"/>
    </row>
    <row r="566" customFormat="false" ht="15.75" hidden="false" customHeight="false" outlineLevel="0" collapsed="false">
      <c r="L566" s="3"/>
    </row>
    <row r="567" customFormat="false" ht="15.75" hidden="false" customHeight="false" outlineLevel="0" collapsed="false">
      <c r="L567" s="3"/>
    </row>
    <row r="568" customFormat="false" ht="15.75" hidden="false" customHeight="false" outlineLevel="0" collapsed="false">
      <c r="L568" s="3"/>
    </row>
    <row r="569" customFormat="false" ht="15.75" hidden="false" customHeight="false" outlineLevel="0" collapsed="false">
      <c r="L569" s="3"/>
    </row>
    <row r="570" customFormat="false" ht="15.75" hidden="false" customHeight="false" outlineLevel="0" collapsed="false">
      <c r="L570" s="3"/>
    </row>
    <row r="571" customFormat="false" ht="15.75" hidden="false" customHeight="false" outlineLevel="0" collapsed="false">
      <c r="L571" s="3"/>
    </row>
    <row r="572" customFormat="false" ht="15.75" hidden="false" customHeight="false" outlineLevel="0" collapsed="false">
      <c r="L572" s="3"/>
    </row>
    <row r="573" customFormat="false" ht="15.75" hidden="false" customHeight="false" outlineLevel="0" collapsed="false">
      <c r="L573" s="3"/>
    </row>
    <row r="574" customFormat="false" ht="15.75" hidden="false" customHeight="false" outlineLevel="0" collapsed="false">
      <c r="L574" s="3"/>
    </row>
    <row r="575" customFormat="false" ht="15.75" hidden="false" customHeight="false" outlineLevel="0" collapsed="false">
      <c r="L575" s="3"/>
    </row>
    <row r="576" customFormat="false" ht="15.75" hidden="false" customHeight="false" outlineLevel="0" collapsed="false">
      <c r="L576" s="3"/>
    </row>
    <row r="577" customFormat="false" ht="15.75" hidden="false" customHeight="false" outlineLevel="0" collapsed="false">
      <c r="L577" s="3"/>
    </row>
    <row r="578" customFormat="false" ht="15.75" hidden="false" customHeight="false" outlineLevel="0" collapsed="false">
      <c r="L578" s="3"/>
    </row>
    <row r="579" customFormat="false" ht="15.75" hidden="false" customHeight="false" outlineLevel="0" collapsed="false">
      <c r="L579" s="3"/>
    </row>
    <row r="580" customFormat="false" ht="15.75" hidden="false" customHeight="false" outlineLevel="0" collapsed="false">
      <c r="L580" s="3"/>
    </row>
    <row r="581" customFormat="false" ht="15.75" hidden="false" customHeight="false" outlineLevel="0" collapsed="false">
      <c r="L581" s="3"/>
    </row>
    <row r="582" customFormat="false" ht="15.75" hidden="false" customHeight="false" outlineLevel="0" collapsed="false">
      <c r="L582" s="3"/>
    </row>
    <row r="583" customFormat="false" ht="15.75" hidden="false" customHeight="false" outlineLevel="0" collapsed="false">
      <c r="L583" s="3"/>
    </row>
    <row r="584" customFormat="false" ht="15.75" hidden="false" customHeight="false" outlineLevel="0" collapsed="false">
      <c r="L584" s="3"/>
    </row>
    <row r="585" customFormat="false" ht="15.75" hidden="false" customHeight="false" outlineLevel="0" collapsed="false">
      <c r="L585" s="3"/>
    </row>
    <row r="586" customFormat="false" ht="15.75" hidden="false" customHeight="false" outlineLevel="0" collapsed="false">
      <c r="L586" s="3"/>
    </row>
    <row r="587" customFormat="false" ht="15.75" hidden="false" customHeight="false" outlineLevel="0" collapsed="false">
      <c r="L587" s="3"/>
    </row>
    <row r="588" customFormat="false" ht="15.75" hidden="false" customHeight="false" outlineLevel="0" collapsed="false">
      <c r="L588" s="3"/>
    </row>
    <row r="589" customFormat="false" ht="15.75" hidden="false" customHeight="false" outlineLevel="0" collapsed="false">
      <c r="L589" s="3"/>
    </row>
    <row r="590" customFormat="false" ht="15.75" hidden="false" customHeight="false" outlineLevel="0" collapsed="false">
      <c r="L590" s="3"/>
    </row>
    <row r="591" customFormat="false" ht="15.75" hidden="false" customHeight="false" outlineLevel="0" collapsed="false">
      <c r="L591" s="3"/>
    </row>
    <row r="592" customFormat="false" ht="15.75" hidden="false" customHeight="false" outlineLevel="0" collapsed="false">
      <c r="L592" s="3"/>
    </row>
    <row r="593" customFormat="false" ht="15.75" hidden="false" customHeight="false" outlineLevel="0" collapsed="false">
      <c r="L593" s="3"/>
    </row>
    <row r="594" customFormat="false" ht="15.75" hidden="false" customHeight="false" outlineLevel="0" collapsed="false">
      <c r="L594" s="3"/>
    </row>
    <row r="595" customFormat="false" ht="15.75" hidden="false" customHeight="false" outlineLevel="0" collapsed="false">
      <c r="L595" s="3"/>
    </row>
    <row r="596" customFormat="false" ht="15.75" hidden="false" customHeight="false" outlineLevel="0" collapsed="false">
      <c r="L596" s="3"/>
    </row>
    <row r="597" customFormat="false" ht="15.75" hidden="false" customHeight="false" outlineLevel="0" collapsed="false">
      <c r="L597" s="3"/>
    </row>
    <row r="598" customFormat="false" ht="15.75" hidden="false" customHeight="false" outlineLevel="0" collapsed="false">
      <c r="L598" s="3"/>
    </row>
    <row r="599" customFormat="false" ht="15.75" hidden="false" customHeight="false" outlineLevel="0" collapsed="false">
      <c r="L599" s="3"/>
    </row>
    <row r="600" customFormat="false" ht="15.75" hidden="false" customHeight="false" outlineLevel="0" collapsed="false">
      <c r="L600" s="3"/>
    </row>
    <row r="601" customFormat="false" ht="15.75" hidden="false" customHeight="false" outlineLevel="0" collapsed="false">
      <c r="L601" s="3"/>
    </row>
    <row r="602" customFormat="false" ht="15.75" hidden="false" customHeight="false" outlineLevel="0" collapsed="false">
      <c r="L602" s="3"/>
    </row>
    <row r="603" customFormat="false" ht="15.75" hidden="false" customHeight="false" outlineLevel="0" collapsed="false">
      <c r="L603" s="3"/>
    </row>
    <row r="604" customFormat="false" ht="15.75" hidden="false" customHeight="false" outlineLevel="0" collapsed="false">
      <c r="L604" s="3"/>
    </row>
    <row r="605" customFormat="false" ht="15.75" hidden="false" customHeight="false" outlineLevel="0" collapsed="false">
      <c r="L605" s="3"/>
    </row>
    <row r="606" customFormat="false" ht="15.75" hidden="false" customHeight="false" outlineLevel="0" collapsed="false">
      <c r="L606" s="3"/>
    </row>
    <row r="607" customFormat="false" ht="15.75" hidden="false" customHeight="false" outlineLevel="0" collapsed="false">
      <c r="L607" s="3"/>
    </row>
    <row r="608" customFormat="false" ht="15.75" hidden="false" customHeight="false" outlineLevel="0" collapsed="false">
      <c r="L608" s="3"/>
    </row>
    <row r="609" customFormat="false" ht="15.75" hidden="false" customHeight="false" outlineLevel="0" collapsed="false">
      <c r="L609" s="3"/>
    </row>
    <row r="610" customFormat="false" ht="15.75" hidden="false" customHeight="false" outlineLevel="0" collapsed="false">
      <c r="L610" s="3"/>
    </row>
    <row r="611" customFormat="false" ht="15.75" hidden="false" customHeight="false" outlineLevel="0" collapsed="false">
      <c r="L611" s="3"/>
    </row>
    <row r="612" customFormat="false" ht="15.75" hidden="false" customHeight="false" outlineLevel="0" collapsed="false">
      <c r="L612" s="3"/>
    </row>
    <row r="613" customFormat="false" ht="15.75" hidden="false" customHeight="false" outlineLevel="0" collapsed="false">
      <c r="L613" s="3"/>
    </row>
    <row r="614" customFormat="false" ht="15.75" hidden="false" customHeight="false" outlineLevel="0" collapsed="false">
      <c r="L614" s="3"/>
    </row>
    <row r="615" customFormat="false" ht="15.75" hidden="false" customHeight="false" outlineLevel="0" collapsed="false">
      <c r="L615" s="3"/>
    </row>
    <row r="616" customFormat="false" ht="15.75" hidden="false" customHeight="false" outlineLevel="0" collapsed="false">
      <c r="L616" s="3"/>
    </row>
    <row r="617" customFormat="false" ht="15.75" hidden="false" customHeight="false" outlineLevel="0" collapsed="false">
      <c r="L617" s="3"/>
    </row>
    <row r="618" customFormat="false" ht="15.75" hidden="false" customHeight="false" outlineLevel="0" collapsed="false">
      <c r="L618" s="3"/>
    </row>
    <row r="619" customFormat="false" ht="15.75" hidden="false" customHeight="false" outlineLevel="0" collapsed="false">
      <c r="L619" s="3"/>
    </row>
    <row r="620" customFormat="false" ht="15.75" hidden="false" customHeight="false" outlineLevel="0" collapsed="false">
      <c r="L620" s="3"/>
    </row>
    <row r="621" customFormat="false" ht="15.75" hidden="false" customHeight="false" outlineLevel="0" collapsed="false">
      <c r="L621" s="3"/>
    </row>
    <row r="622" customFormat="false" ht="15.75" hidden="false" customHeight="false" outlineLevel="0" collapsed="false">
      <c r="L622" s="3"/>
    </row>
    <row r="623" customFormat="false" ht="15.75" hidden="false" customHeight="false" outlineLevel="0" collapsed="false">
      <c r="L623" s="3"/>
    </row>
    <row r="624" customFormat="false" ht="15.75" hidden="false" customHeight="false" outlineLevel="0" collapsed="false">
      <c r="L624" s="3"/>
    </row>
    <row r="625" customFormat="false" ht="15.75" hidden="false" customHeight="false" outlineLevel="0" collapsed="false">
      <c r="L625" s="3"/>
    </row>
    <row r="626" customFormat="false" ht="15.75" hidden="false" customHeight="false" outlineLevel="0" collapsed="false">
      <c r="L626" s="3"/>
    </row>
    <row r="627" customFormat="false" ht="15.75" hidden="false" customHeight="false" outlineLevel="0" collapsed="false">
      <c r="L627" s="3"/>
    </row>
    <row r="628" customFormat="false" ht="15.75" hidden="false" customHeight="false" outlineLevel="0" collapsed="false">
      <c r="L628" s="3"/>
    </row>
    <row r="629" customFormat="false" ht="15.75" hidden="false" customHeight="false" outlineLevel="0" collapsed="false">
      <c r="L629" s="3"/>
    </row>
    <row r="630" customFormat="false" ht="15.75" hidden="false" customHeight="false" outlineLevel="0" collapsed="false">
      <c r="L630" s="3"/>
    </row>
    <row r="631" customFormat="false" ht="15.75" hidden="false" customHeight="false" outlineLevel="0" collapsed="false">
      <c r="L631" s="3"/>
    </row>
    <row r="632" customFormat="false" ht="15.75" hidden="false" customHeight="false" outlineLevel="0" collapsed="false">
      <c r="L632" s="3"/>
    </row>
    <row r="633" customFormat="false" ht="15.75" hidden="false" customHeight="false" outlineLevel="0" collapsed="false">
      <c r="L633" s="3"/>
    </row>
    <row r="634" customFormat="false" ht="15.75" hidden="false" customHeight="false" outlineLevel="0" collapsed="false">
      <c r="L634" s="3"/>
    </row>
    <row r="635" customFormat="false" ht="15.75" hidden="false" customHeight="false" outlineLevel="0" collapsed="false">
      <c r="L635" s="3"/>
    </row>
    <row r="636" customFormat="false" ht="15.75" hidden="false" customHeight="false" outlineLevel="0" collapsed="false">
      <c r="L636" s="3"/>
    </row>
    <row r="637" customFormat="false" ht="15.75" hidden="false" customHeight="false" outlineLevel="0" collapsed="false">
      <c r="L637" s="3"/>
    </row>
    <row r="638" customFormat="false" ht="15.75" hidden="false" customHeight="false" outlineLevel="0" collapsed="false">
      <c r="L638" s="3"/>
    </row>
    <row r="639" customFormat="false" ht="15.75" hidden="false" customHeight="false" outlineLevel="0" collapsed="false">
      <c r="L639" s="3"/>
    </row>
    <row r="640" customFormat="false" ht="15.75" hidden="false" customHeight="false" outlineLevel="0" collapsed="false">
      <c r="L640" s="3"/>
    </row>
    <row r="641" customFormat="false" ht="15.75" hidden="false" customHeight="false" outlineLevel="0" collapsed="false">
      <c r="L641" s="3"/>
    </row>
    <row r="642" customFormat="false" ht="15.75" hidden="false" customHeight="false" outlineLevel="0" collapsed="false">
      <c r="L642" s="3"/>
    </row>
    <row r="643" customFormat="false" ht="15.75" hidden="false" customHeight="false" outlineLevel="0" collapsed="false">
      <c r="L643" s="3"/>
    </row>
    <row r="644" customFormat="false" ht="15.75" hidden="false" customHeight="false" outlineLevel="0" collapsed="false">
      <c r="L644" s="3"/>
    </row>
    <row r="645" customFormat="false" ht="15.75" hidden="false" customHeight="false" outlineLevel="0" collapsed="false">
      <c r="L645" s="3"/>
    </row>
    <row r="646" customFormat="false" ht="15.75" hidden="false" customHeight="false" outlineLevel="0" collapsed="false">
      <c r="L646" s="3"/>
    </row>
    <row r="647" customFormat="false" ht="15.75" hidden="false" customHeight="false" outlineLevel="0" collapsed="false">
      <c r="L647" s="3"/>
    </row>
    <row r="648" customFormat="false" ht="15.75" hidden="false" customHeight="false" outlineLevel="0" collapsed="false">
      <c r="L648" s="3"/>
    </row>
    <row r="649" customFormat="false" ht="15.75" hidden="false" customHeight="false" outlineLevel="0" collapsed="false">
      <c r="L649" s="3"/>
    </row>
    <row r="650" customFormat="false" ht="15.75" hidden="false" customHeight="false" outlineLevel="0" collapsed="false">
      <c r="L650" s="3"/>
    </row>
    <row r="651" customFormat="false" ht="15.75" hidden="false" customHeight="false" outlineLevel="0" collapsed="false">
      <c r="L651" s="3"/>
    </row>
    <row r="652" customFormat="false" ht="15.75" hidden="false" customHeight="false" outlineLevel="0" collapsed="false">
      <c r="L652" s="3"/>
    </row>
    <row r="653" customFormat="false" ht="15.75" hidden="false" customHeight="false" outlineLevel="0" collapsed="false">
      <c r="L653" s="3"/>
    </row>
    <row r="654" customFormat="false" ht="15.75" hidden="false" customHeight="false" outlineLevel="0" collapsed="false">
      <c r="L654" s="3"/>
    </row>
    <row r="655" customFormat="false" ht="15.75" hidden="false" customHeight="false" outlineLevel="0" collapsed="false">
      <c r="L655" s="3"/>
    </row>
    <row r="656" customFormat="false" ht="15.75" hidden="false" customHeight="false" outlineLevel="0" collapsed="false">
      <c r="L656" s="3"/>
    </row>
    <row r="657" customFormat="false" ht="15.75" hidden="false" customHeight="false" outlineLevel="0" collapsed="false">
      <c r="L657" s="3"/>
    </row>
    <row r="658" customFormat="false" ht="15.75" hidden="false" customHeight="false" outlineLevel="0" collapsed="false">
      <c r="L658" s="3"/>
    </row>
    <row r="659" customFormat="false" ht="15.75" hidden="false" customHeight="false" outlineLevel="0" collapsed="false">
      <c r="L659" s="3"/>
    </row>
    <row r="660" customFormat="false" ht="15.75" hidden="false" customHeight="false" outlineLevel="0" collapsed="false">
      <c r="L660" s="3"/>
    </row>
    <row r="661" customFormat="false" ht="15.75" hidden="false" customHeight="false" outlineLevel="0" collapsed="false">
      <c r="L661" s="3"/>
    </row>
    <row r="662" customFormat="false" ht="15.75" hidden="false" customHeight="false" outlineLevel="0" collapsed="false">
      <c r="L662" s="3"/>
    </row>
    <row r="663" customFormat="false" ht="15.75" hidden="false" customHeight="false" outlineLevel="0" collapsed="false">
      <c r="L663" s="3"/>
    </row>
    <row r="664" customFormat="false" ht="15.75" hidden="false" customHeight="false" outlineLevel="0" collapsed="false">
      <c r="L664" s="3"/>
    </row>
    <row r="665" customFormat="false" ht="15.75" hidden="false" customHeight="false" outlineLevel="0" collapsed="false">
      <c r="L665" s="3"/>
    </row>
    <row r="666" customFormat="false" ht="15.75" hidden="false" customHeight="false" outlineLevel="0" collapsed="false">
      <c r="L666" s="3"/>
    </row>
    <row r="667" customFormat="false" ht="15.75" hidden="false" customHeight="false" outlineLevel="0" collapsed="false">
      <c r="L667" s="3"/>
    </row>
    <row r="668" customFormat="false" ht="15.75" hidden="false" customHeight="false" outlineLevel="0" collapsed="false">
      <c r="L668" s="3"/>
    </row>
    <row r="669" customFormat="false" ht="15.75" hidden="false" customHeight="false" outlineLevel="0" collapsed="false">
      <c r="L669" s="3"/>
    </row>
    <row r="670" customFormat="false" ht="15.75" hidden="false" customHeight="false" outlineLevel="0" collapsed="false">
      <c r="L670" s="3"/>
    </row>
    <row r="671" customFormat="false" ht="15.75" hidden="false" customHeight="false" outlineLevel="0" collapsed="false">
      <c r="L671" s="3"/>
    </row>
    <row r="672" customFormat="false" ht="15.75" hidden="false" customHeight="false" outlineLevel="0" collapsed="false">
      <c r="L672" s="3"/>
    </row>
    <row r="673" customFormat="false" ht="15.75" hidden="false" customHeight="false" outlineLevel="0" collapsed="false">
      <c r="L673" s="3"/>
    </row>
    <row r="674" customFormat="false" ht="15.75" hidden="false" customHeight="false" outlineLevel="0" collapsed="false">
      <c r="L674" s="3"/>
    </row>
    <row r="675" customFormat="false" ht="15.75" hidden="false" customHeight="false" outlineLevel="0" collapsed="false">
      <c r="L675" s="3"/>
    </row>
    <row r="676" customFormat="false" ht="15.75" hidden="false" customHeight="false" outlineLevel="0" collapsed="false">
      <c r="L676" s="3"/>
    </row>
    <row r="677" customFormat="false" ht="15.75" hidden="false" customHeight="false" outlineLevel="0" collapsed="false">
      <c r="L677" s="3"/>
    </row>
    <row r="678" customFormat="false" ht="15.75" hidden="false" customHeight="false" outlineLevel="0" collapsed="false">
      <c r="L678" s="3"/>
    </row>
    <row r="679" customFormat="false" ht="15.75" hidden="false" customHeight="false" outlineLevel="0" collapsed="false">
      <c r="L679" s="3"/>
    </row>
    <row r="680" customFormat="false" ht="15.75" hidden="false" customHeight="false" outlineLevel="0" collapsed="false">
      <c r="L680" s="3"/>
    </row>
    <row r="681" customFormat="false" ht="15.75" hidden="false" customHeight="false" outlineLevel="0" collapsed="false">
      <c r="L681" s="3"/>
    </row>
    <row r="682" customFormat="false" ht="15.75" hidden="false" customHeight="false" outlineLevel="0" collapsed="false">
      <c r="L682" s="3"/>
    </row>
    <row r="683" customFormat="false" ht="15.75" hidden="false" customHeight="false" outlineLevel="0" collapsed="false">
      <c r="L683" s="3"/>
    </row>
    <row r="684" customFormat="false" ht="15.75" hidden="false" customHeight="false" outlineLevel="0" collapsed="false">
      <c r="L684" s="3"/>
    </row>
    <row r="685" customFormat="false" ht="15.75" hidden="false" customHeight="false" outlineLevel="0" collapsed="false">
      <c r="L685" s="3"/>
    </row>
    <row r="686" customFormat="false" ht="15.75" hidden="false" customHeight="false" outlineLevel="0" collapsed="false">
      <c r="L686" s="3"/>
    </row>
    <row r="687" customFormat="false" ht="15.75" hidden="false" customHeight="false" outlineLevel="0" collapsed="false">
      <c r="L687" s="3"/>
    </row>
    <row r="688" customFormat="false" ht="15.75" hidden="false" customHeight="false" outlineLevel="0" collapsed="false">
      <c r="L688" s="3"/>
    </row>
    <row r="689" customFormat="false" ht="15.75" hidden="false" customHeight="false" outlineLevel="0" collapsed="false">
      <c r="L689" s="3"/>
    </row>
    <row r="690" customFormat="false" ht="15.75" hidden="false" customHeight="false" outlineLevel="0" collapsed="false">
      <c r="L690" s="3"/>
    </row>
    <row r="691" customFormat="false" ht="15.75" hidden="false" customHeight="false" outlineLevel="0" collapsed="false">
      <c r="L691" s="3"/>
    </row>
    <row r="692" customFormat="false" ht="15.75" hidden="false" customHeight="false" outlineLevel="0" collapsed="false">
      <c r="L692" s="3"/>
    </row>
    <row r="693" customFormat="false" ht="15.75" hidden="false" customHeight="false" outlineLevel="0" collapsed="false">
      <c r="L693" s="3"/>
    </row>
    <row r="694" customFormat="false" ht="15.75" hidden="false" customHeight="false" outlineLevel="0" collapsed="false">
      <c r="L694" s="3"/>
    </row>
    <row r="695" customFormat="false" ht="15.75" hidden="false" customHeight="false" outlineLevel="0" collapsed="false">
      <c r="L695" s="3"/>
    </row>
    <row r="696" customFormat="false" ht="15.75" hidden="false" customHeight="false" outlineLevel="0" collapsed="false">
      <c r="L696" s="3"/>
    </row>
    <row r="697" customFormat="false" ht="15.75" hidden="false" customHeight="false" outlineLevel="0" collapsed="false">
      <c r="L697" s="3"/>
    </row>
    <row r="698" customFormat="false" ht="15.75" hidden="false" customHeight="false" outlineLevel="0" collapsed="false">
      <c r="L698" s="3"/>
    </row>
    <row r="699" customFormat="false" ht="15.75" hidden="false" customHeight="false" outlineLevel="0" collapsed="false">
      <c r="L699" s="3"/>
    </row>
    <row r="700" customFormat="false" ht="15.75" hidden="false" customHeight="false" outlineLevel="0" collapsed="false">
      <c r="L700" s="3"/>
    </row>
    <row r="701" customFormat="false" ht="15.75" hidden="false" customHeight="false" outlineLevel="0" collapsed="false">
      <c r="L701" s="3"/>
    </row>
    <row r="702" customFormat="false" ht="15.75" hidden="false" customHeight="false" outlineLevel="0" collapsed="false">
      <c r="L702" s="3"/>
    </row>
    <row r="703" customFormat="false" ht="15.75" hidden="false" customHeight="false" outlineLevel="0" collapsed="false">
      <c r="L703" s="3"/>
    </row>
    <row r="704" customFormat="false" ht="15.75" hidden="false" customHeight="false" outlineLevel="0" collapsed="false">
      <c r="L704" s="3"/>
    </row>
    <row r="705" customFormat="false" ht="15.75" hidden="false" customHeight="false" outlineLevel="0" collapsed="false">
      <c r="L705" s="3"/>
    </row>
    <row r="706" customFormat="false" ht="15.75" hidden="false" customHeight="false" outlineLevel="0" collapsed="false">
      <c r="L706" s="3"/>
    </row>
    <row r="707" customFormat="false" ht="15.75" hidden="false" customHeight="false" outlineLevel="0" collapsed="false">
      <c r="L707" s="3"/>
    </row>
    <row r="708" customFormat="false" ht="15.75" hidden="false" customHeight="false" outlineLevel="0" collapsed="false">
      <c r="L708" s="3"/>
    </row>
    <row r="709" customFormat="false" ht="15.75" hidden="false" customHeight="false" outlineLevel="0" collapsed="false">
      <c r="L709" s="3"/>
    </row>
    <row r="710" customFormat="false" ht="15.75" hidden="false" customHeight="false" outlineLevel="0" collapsed="false">
      <c r="L710" s="3"/>
    </row>
    <row r="711" customFormat="false" ht="15.75" hidden="false" customHeight="false" outlineLevel="0" collapsed="false">
      <c r="L711" s="3"/>
    </row>
    <row r="712" customFormat="false" ht="15.75" hidden="false" customHeight="false" outlineLevel="0" collapsed="false">
      <c r="L712" s="3"/>
    </row>
    <row r="713" customFormat="false" ht="15.75" hidden="false" customHeight="false" outlineLevel="0" collapsed="false">
      <c r="L713" s="3"/>
    </row>
    <row r="714" customFormat="false" ht="15.75" hidden="false" customHeight="false" outlineLevel="0" collapsed="false">
      <c r="L714" s="3"/>
    </row>
    <row r="715" customFormat="false" ht="15.75" hidden="false" customHeight="false" outlineLevel="0" collapsed="false">
      <c r="L715" s="3"/>
    </row>
    <row r="716" customFormat="false" ht="15.75" hidden="false" customHeight="false" outlineLevel="0" collapsed="false">
      <c r="L716" s="3"/>
    </row>
    <row r="717" customFormat="false" ht="15.75" hidden="false" customHeight="false" outlineLevel="0" collapsed="false">
      <c r="L717" s="3"/>
    </row>
    <row r="718" customFormat="false" ht="15.75" hidden="false" customHeight="false" outlineLevel="0" collapsed="false">
      <c r="L718" s="3"/>
    </row>
    <row r="719" customFormat="false" ht="15.75" hidden="false" customHeight="false" outlineLevel="0" collapsed="false">
      <c r="L719" s="3"/>
    </row>
    <row r="720" customFormat="false" ht="15.75" hidden="false" customHeight="false" outlineLevel="0" collapsed="false">
      <c r="L720" s="3"/>
    </row>
    <row r="721" customFormat="false" ht="15.75" hidden="false" customHeight="false" outlineLevel="0" collapsed="false">
      <c r="L721" s="3"/>
    </row>
    <row r="722" customFormat="false" ht="15.75" hidden="false" customHeight="false" outlineLevel="0" collapsed="false">
      <c r="L722" s="3"/>
    </row>
    <row r="723" customFormat="false" ht="15.75" hidden="false" customHeight="false" outlineLevel="0" collapsed="false">
      <c r="L723" s="3"/>
    </row>
    <row r="724" customFormat="false" ht="15.75" hidden="false" customHeight="false" outlineLevel="0" collapsed="false">
      <c r="L724" s="3"/>
    </row>
    <row r="725" customFormat="false" ht="15.75" hidden="false" customHeight="false" outlineLevel="0" collapsed="false">
      <c r="L725" s="3"/>
    </row>
    <row r="726" customFormat="false" ht="15.75" hidden="false" customHeight="false" outlineLevel="0" collapsed="false">
      <c r="L726" s="3"/>
    </row>
    <row r="727" customFormat="false" ht="15.75" hidden="false" customHeight="false" outlineLevel="0" collapsed="false">
      <c r="L727" s="3"/>
    </row>
    <row r="728" customFormat="false" ht="15.75" hidden="false" customHeight="false" outlineLevel="0" collapsed="false">
      <c r="L728" s="3"/>
    </row>
    <row r="729" customFormat="false" ht="15.75" hidden="false" customHeight="false" outlineLevel="0" collapsed="false">
      <c r="L729" s="3"/>
    </row>
    <row r="730" customFormat="false" ht="15.75" hidden="false" customHeight="false" outlineLevel="0" collapsed="false">
      <c r="L730" s="3"/>
    </row>
    <row r="731" customFormat="false" ht="15.75" hidden="false" customHeight="false" outlineLevel="0" collapsed="false">
      <c r="L731" s="3"/>
    </row>
    <row r="732" customFormat="false" ht="15.75" hidden="false" customHeight="false" outlineLevel="0" collapsed="false">
      <c r="L732" s="3"/>
    </row>
    <row r="733" customFormat="false" ht="15.75" hidden="false" customHeight="false" outlineLevel="0" collapsed="false">
      <c r="L733" s="3"/>
    </row>
    <row r="734" customFormat="false" ht="15.75" hidden="false" customHeight="false" outlineLevel="0" collapsed="false">
      <c r="L734" s="3"/>
    </row>
    <row r="735" customFormat="false" ht="15.75" hidden="false" customHeight="false" outlineLevel="0" collapsed="false">
      <c r="L735" s="3"/>
    </row>
    <row r="736" customFormat="false" ht="15.75" hidden="false" customHeight="false" outlineLevel="0" collapsed="false">
      <c r="L736" s="3"/>
    </row>
    <row r="737" customFormat="false" ht="15.75" hidden="false" customHeight="false" outlineLevel="0" collapsed="false">
      <c r="L737" s="3"/>
    </row>
    <row r="738" customFormat="false" ht="15.75" hidden="false" customHeight="false" outlineLevel="0" collapsed="false">
      <c r="L738" s="3"/>
    </row>
    <row r="739" customFormat="false" ht="15.75" hidden="false" customHeight="false" outlineLevel="0" collapsed="false">
      <c r="L739" s="3"/>
    </row>
    <row r="740" customFormat="false" ht="15.75" hidden="false" customHeight="false" outlineLevel="0" collapsed="false">
      <c r="L740" s="3"/>
    </row>
    <row r="741" customFormat="false" ht="15.75" hidden="false" customHeight="false" outlineLevel="0" collapsed="false">
      <c r="L741" s="3"/>
    </row>
    <row r="742" customFormat="false" ht="15.75" hidden="false" customHeight="false" outlineLevel="0" collapsed="false">
      <c r="L742" s="3"/>
    </row>
    <row r="743" customFormat="false" ht="15.75" hidden="false" customHeight="false" outlineLevel="0" collapsed="false">
      <c r="L743" s="3"/>
    </row>
    <row r="744" customFormat="false" ht="15.75" hidden="false" customHeight="false" outlineLevel="0" collapsed="false">
      <c r="L744" s="3"/>
    </row>
    <row r="745" customFormat="false" ht="15.75" hidden="false" customHeight="false" outlineLevel="0" collapsed="false">
      <c r="L745" s="3"/>
    </row>
    <row r="746" customFormat="false" ht="15.75" hidden="false" customHeight="false" outlineLevel="0" collapsed="false">
      <c r="L746" s="3"/>
    </row>
    <row r="747" customFormat="false" ht="15.75" hidden="false" customHeight="false" outlineLevel="0" collapsed="false">
      <c r="L747" s="3"/>
    </row>
    <row r="748" customFormat="false" ht="15.75" hidden="false" customHeight="false" outlineLevel="0" collapsed="false">
      <c r="L748" s="3"/>
    </row>
    <row r="749" customFormat="false" ht="15.75" hidden="false" customHeight="false" outlineLevel="0" collapsed="false">
      <c r="L749" s="3"/>
    </row>
    <row r="750" customFormat="false" ht="15.75" hidden="false" customHeight="false" outlineLevel="0" collapsed="false">
      <c r="L750" s="3"/>
    </row>
    <row r="751" customFormat="false" ht="15.75" hidden="false" customHeight="false" outlineLevel="0" collapsed="false">
      <c r="L751" s="3"/>
    </row>
    <row r="752" customFormat="false" ht="15.75" hidden="false" customHeight="false" outlineLevel="0" collapsed="false">
      <c r="L752" s="3"/>
    </row>
    <row r="753" customFormat="false" ht="15.75" hidden="false" customHeight="false" outlineLevel="0" collapsed="false">
      <c r="L753" s="3"/>
    </row>
    <row r="754" customFormat="false" ht="15.75" hidden="false" customHeight="false" outlineLevel="0" collapsed="false">
      <c r="L754" s="3"/>
    </row>
    <row r="755" customFormat="false" ht="15.75" hidden="false" customHeight="false" outlineLevel="0" collapsed="false">
      <c r="L755" s="3"/>
    </row>
    <row r="756" customFormat="false" ht="15.75" hidden="false" customHeight="false" outlineLevel="0" collapsed="false">
      <c r="L756" s="3"/>
    </row>
    <row r="757" customFormat="false" ht="15.75" hidden="false" customHeight="false" outlineLevel="0" collapsed="false">
      <c r="L757" s="3"/>
    </row>
    <row r="758" customFormat="false" ht="15.75" hidden="false" customHeight="false" outlineLevel="0" collapsed="false">
      <c r="L758" s="3"/>
    </row>
    <row r="759" customFormat="false" ht="15.75" hidden="false" customHeight="false" outlineLevel="0" collapsed="false">
      <c r="L759" s="3"/>
    </row>
    <row r="760" customFormat="false" ht="15.75" hidden="false" customHeight="false" outlineLevel="0" collapsed="false">
      <c r="L760" s="3"/>
    </row>
    <row r="761" customFormat="false" ht="15.75" hidden="false" customHeight="false" outlineLevel="0" collapsed="false">
      <c r="L761" s="3"/>
    </row>
    <row r="762" customFormat="false" ht="15.75" hidden="false" customHeight="false" outlineLevel="0" collapsed="false">
      <c r="L762" s="3"/>
    </row>
    <row r="763" customFormat="false" ht="15.75" hidden="false" customHeight="false" outlineLevel="0" collapsed="false">
      <c r="L763" s="3"/>
    </row>
    <row r="764" customFormat="false" ht="15.75" hidden="false" customHeight="false" outlineLevel="0" collapsed="false">
      <c r="L764" s="3"/>
    </row>
    <row r="765" customFormat="false" ht="15.75" hidden="false" customHeight="false" outlineLevel="0" collapsed="false">
      <c r="L765" s="3"/>
    </row>
    <row r="766" customFormat="false" ht="15.75" hidden="false" customHeight="false" outlineLevel="0" collapsed="false">
      <c r="L766" s="3"/>
    </row>
    <row r="767" customFormat="false" ht="15.75" hidden="false" customHeight="false" outlineLevel="0" collapsed="false">
      <c r="L767" s="3"/>
    </row>
    <row r="768" customFormat="false" ht="15.75" hidden="false" customHeight="false" outlineLevel="0" collapsed="false">
      <c r="L768" s="3"/>
    </row>
    <row r="769" customFormat="false" ht="15.75" hidden="false" customHeight="false" outlineLevel="0" collapsed="false">
      <c r="L769" s="3"/>
    </row>
    <row r="770" customFormat="false" ht="15.75" hidden="false" customHeight="false" outlineLevel="0" collapsed="false">
      <c r="L770" s="3"/>
    </row>
    <row r="771" customFormat="false" ht="15.75" hidden="false" customHeight="false" outlineLevel="0" collapsed="false">
      <c r="L771" s="3"/>
    </row>
    <row r="772" customFormat="false" ht="15.75" hidden="false" customHeight="false" outlineLevel="0" collapsed="false">
      <c r="L772" s="3"/>
    </row>
    <row r="773" customFormat="false" ht="15.75" hidden="false" customHeight="false" outlineLevel="0" collapsed="false">
      <c r="L773" s="3"/>
    </row>
    <row r="774" customFormat="false" ht="15.75" hidden="false" customHeight="false" outlineLevel="0" collapsed="false">
      <c r="L774" s="3"/>
    </row>
    <row r="775" customFormat="false" ht="15.75" hidden="false" customHeight="false" outlineLevel="0" collapsed="false">
      <c r="L775" s="3"/>
    </row>
    <row r="776" customFormat="false" ht="15.75" hidden="false" customHeight="false" outlineLevel="0" collapsed="false">
      <c r="L776" s="3"/>
    </row>
    <row r="777" customFormat="false" ht="15.75" hidden="false" customHeight="false" outlineLevel="0" collapsed="false">
      <c r="L777" s="3"/>
    </row>
    <row r="778" customFormat="false" ht="15.75" hidden="false" customHeight="false" outlineLevel="0" collapsed="false">
      <c r="L778" s="3"/>
    </row>
    <row r="779" customFormat="false" ht="15.75" hidden="false" customHeight="false" outlineLevel="0" collapsed="false">
      <c r="L779" s="3"/>
    </row>
    <row r="780" customFormat="false" ht="15.75" hidden="false" customHeight="false" outlineLevel="0" collapsed="false">
      <c r="L780" s="3"/>
    </row>
    <row r="781" customFormat="false" ht="15.75" hidden="false" customHeight="false" outlineLevel="0" collapsed="false">
      <c r="L781" s="3"/>
    </row>
    <row r="782" customFormat="false" ht="15.75" hidden="false" customHeight="false" outlineLevel="0" collapsed="false">
      <c r="L782" s="3"/>
    </row>
    <row r="783" customFormat="false" ht="15.75" hidden="false" customHeight="false" outlineLevel="0" collapsed="false">
      <c r="L783" s="3"/>
    </row>
    <row r="784" customFormat="false" ht="15.75" hidden="false" customHeight="false" outlineLevel="0" collapsed="false">
      <c r="L784" s="3"/>
    </row>
    <row r="785" customFormat="false" ht="15.75" hidden="false" customHeight="false" outlineLevel="0" collapsed="false">
      <c r="L785" s="3"/>
    </row>
    <row r="786" customFormat="false" ht="15.75" hidden="false" customHeight="false" outlineLevel="0" collapsed="false">
      <c r="L786" s="3"/>
    </row>
    <row r="787" customFormat="false" ht="15.75" hidden="false" customHeight="false" outlineLevel="0" collapsed="false">
      <c r="L787" s="3"/>
    </row>
    <row r="788" customFormat="false" ht="15.75" hidden="false" customHeight="false" outlineLevel="0" collapsed="false">
      <c r="L788" s="3"/>
    </row>
    <row r="789" customFormat="false" ht="15.75" hidden="false" customHeight="false" outlineLevel="0" collapsed="false">
      <c r="L789" s="3"/>
    </row>
    <row r="790" customFormat="false" ht="15.75" hidden="false" customHeight="false" outlineLevel="0" collapsed="false">
      <c r="L790" s="3"/>
    </row>
    <row r="791" customFormat="false" ht="15.75" hidden="false" customHeight="false" outlineLevel="0" collapsed="false">
      <c r="L791" s="3"/>
    </row>
    <row r="792" customFormat="false" ht="15.75" hidden="false" customHeight="false" outlineLevel="0" collapsed="false">
      <c r="L792" s="3"/>
    </row>
    <row r="793" customFormat="false" ht="15.75" hidden="false" customHeight="false" outlineLevel="0" collapsed="false">
      <c r="L793" s="3"/>
    </row>
    <row r="794" customFormat="false" ht="15.75" hidden="false" customHeight="false" outlineLevel="0" collapsed="false">
      <c r="L794" s="3"/>
    </row>
    <row r="795" customFormat="false" ht="15.75" hidden="false" customHeight="false" outlineLevel="0" collapsed="false">
      <c r="L795" s="3"/>
    </row>
    <row r="796" customFormat="false" ht="15.75" hidden="false" customHeight="false" outlineLevel="0" collapsed="false">
      <c r="L796" s="3"/>
    </row>
    <row r="797" customFormat="false" ht="15.75" hidden="false" customHeight="false" outlineLevel="0" collapsed="false">
      <c r="L797" s="3"/>
    </row>
    <row r="798" customFormat="false" ht="15.75" hidden="false" customHeight="false" outlineLevel="0" collapsed="false">
      <c r="L798" s="3"/>
    </row>
    <row r="799" customFormat="false" ht="15.75" hidden="false" customHeight="false" outlineLevel="0" collapsed="false">
      <c r="L799" s="3"/>
    </row>
    <row r="800" customFormat="false" ht="15.75" hidden="false" customHeight="false" outlineLevel="0" collapsed="false">
      <c r="L800" s="3"/>
    </row>
    <row r="801" customFormat="false" ht="15.75" hidden="false" customHeight="false" outlineLevel="0" collapsed="false">
      <c r="L801" s="3"/>
    </row>
    <row r="802" customFormat="false" ht="15.75" hidden="false" customHeight="false" outlineLevel="0" collapsed="false">
      <c r="L802" s="3"/>
    </row>
    <row r="803" customFormat="false" ht="15.75" hidden="false" customHeight="false" outlineLevel="0" collapsed="false">
      <c r="L803" s="3"/>
    </row>
    <row r="804" customFormat="false" ht="15.75" hidden="false" customHeight="false" outlineLevel="0" collapsed="false">
      <c r="L804" s="3"/>
    </row>
    <row r="805" customFormat="false" ht="15.75" hidden="false" customHeight="false" outlineLevel="0" collapsed="false">
      <c r="L805" s="3"/>
    </row>
    <row r="806" customFormat="false" ht="15.75" hidden="false" customHeight="false" outlineLevel="0" collapsed="false">
      <c r="L806" s="3"/>
    </row>
    <row r="807" customFormat="false" ht="15.75" hidden="false" customHeight="false" outlineLevel="0" collapsed="false">
      <c r="L807" s="3"/>
    </row>
    <row r="808" customFormat="false" ht="15.75" hidden="false" customHeight="false" outlineLevel="0" collapsed="false">
      <c r="L808" s="3"/>
    </row>
    <row r="809" customFormat="false" ht="15.75" hidden="false" customHeight="false" outlineLevel="0" collapsed="false">
      <c r="L809" s="3"/>
    </row>
    <row r="810" customFormat="false" ht="15.75" hidden="false" customHeight="false" outlineLevel="0" collapsed="false">
      <c r="L810" s="3"/>
    </row>
    <row r="811" customFormat="false" ht="15.75" hidden="false" customHeight="false" outlineLevel="0" collapsed="false">
      <c r="L811" s="3"/>
    </row>
    <row r="812" customFormat="false" ht="15.75" hidden="false" customHeight="false" outlineLevel="0" collapsed="false">
      <c r="L812" s="3"/>
    </row>
    <row r="813" customFormat="false" ht="15.75" hidden="false" customHeight="false" outlineLevel="0" collapsed="false">
      <c r="L813" s="3"/>
    </row>
    <row r="814" customFormat="false" ht="15.75" hidden="false" customHeight="false" outlineLevel="0" collapsed="false">
      <c r="L814" s="3"/>
    </row>
    <row r="815" customFormat="false" ht="15.75" hidden="false" customHeight="false" outlineLevel="0" collapsed="false">
      <c r="L815" s="3"/>
    </row>
    <row r="816" customFormat="false" ht="15.75" hidden="false" customHeight="false" outlineLevel="0" collapsed="false">
      <c r="L816" s="3"/>
    </row>
    <row r="817" customFormat="false" ht="15.75" hidden="false" customHeight="false" outlineLevel="0" collapsed="false">
      <c r="L817" s="3"/>
    </row>
    <row r="818" customFormat="false" ht="15.75" hidden="false" customHeight="false" outlineLevel="0" collapsed="false">
      <c r="L818" s="3"/>
    </row>
    <row r="819" customFormat="false" ht="15.75" hidden="false" customHeight="false" outlineLevel="0" collapsed="false">
      <c r="L819" s="3"/>
    </row>
    <row r="820" customFormat="false" ht="15.75" hidden="false" customHeight="false" outlineLevel="0" collapsed="false">
      <c r="L820" s="3"/>
    </row>
    <row r="821" customFormat="false" ht="15.75" hidden="false" customHeight="false" outlineLevel="0" collapsed="false">
      <c r="L821" s="3"/>
    </row>
    <row r="822" customFormat="false" ht="15.75" hidden="false" customHeight="false" outlineLevel="0" collapsed="false">
      <c r="L822" s="3"/>
    </row>
    <row r="823" customFormat="false" ht="15.75" hidden="false" customHeight="false" outlineLevel="0" collapsed="false">
      <c r="L823" s="3"/>
    </row>
    <row r="824" customFormat="false" ht="15.75" hidden="false" customHeight="false" outlineLevel="0" collapsed="false">
      <c r="L824" s="3"/>
    </row>
    <row r="825" customFormat="false" ht="15.75" hidden="false" customHeight="false" outlineLevel="0" collapsed="false">
      <c r="L825" s="3"/>
    </row>
    <row r="826" customFormat="false" ht="15.75" hidden="false" customHeight="false" outlineLevel="0" collapsed="false">
      <c r="L826" s="3"/>
    </row>
    <row r="827" customFormat="false" ht="15.75" hidden="false" customHeight="false" outlineLevel="0" collapsed="false">
      <c r="L827" s="3"/>
    </row>
    <row r="828" customFormat="false" ht="15.75" hidden="false" customHeight="false" outlineLevel="0" collapsed="false">
      <c r="L828" s="3"/>
    </row>
    <row r="829" customFormat="false" ht="15.75" hidden="false" customHeight="false" outlineLevel="0" collapsed="false">
      <c r="L829" s="3"/>
    </row>
    <row r="830" customFormat="false" ht="15.75" hidden="false" customHeight="false" outlineLevel="0" collapsed="false">
      <c r="L830" s="3"/>
    </row>
    <row r="831" customFormat="false" ht="15.75" hidden="false" customHeight="false" outlineLevel="0" collapsed="false">
      <c r="L831" s="3"/>
    </row>
    <row r="832" customFormat="false" ht="15.75" hidden="false" customHeight="false" outlineLevel="0" collapsed="false">
      <c r="L832" s="3"/>
    </row>
    <row r="833" customFormat="false" ht="15.75" hidden="false" customHeight="false" outlineLevel="0" collapsed="false">
      <c r="L833" s="3"/>
    </row>
    <row r="834" customFormat="false" ht="15.75" hidden="false" customHeight="false" outlineLevel="0" collapsed="false">
      <c r="L834" s="3"/>
    </row>
    <row r="835" customFormat="false" ht="15.75" hidden="false" customHeight="false" outlineLevel="0" collapsed="false">
      <c r="L835" s="3"/>
    </row>
    <row r="836" customFormat="false" ht="15.75" hidden="false" customHeight="false" outlineLevel="0" collapsed="false">
      <c r="L836" s="3"/>
    </row>
    <row r="837" customFormat="false" ht="15.75" hidden="false" customHeight="false" outlineLevel="0" collapsed="false">
      <c r="L837" s="3"/>
    </row>
    <row r="838" customFormat="false" ht="15.75" hidden="false" customHeight="false" outlineLevel="0" collapsed="false">
      <c r="L838" s="3"/>
    </row>
    <row r="839" customFormat="false" ht="15.75" hidden="false" customHeight="false" outlineLevel="0" collapsed="false">
      <c r="L839" s="3"/>
    </row>
    <row r="840" customFormat="false" ht="15.75" hidden="false" customHeight="false" outlineLevel="0" collapsed="false">
      <c r="L840" s="3"/>
    </row>
    <row r="841" customFormat="false" ht="15.75" hidden="false" customHeight="false" outlineLevel="0" collapsed="false">
      <c r="L841" s="3"/>
    </row>
    <row r="842" customFormat="false" ht="15.75" hidden="false" customHeight="false" outlineLevel="0" collapsed="false">
      <c r="L842" s="3"/>
    </row>
    <row r="843" customFormat="false" ht="15.75" hidden="false" customHeight="false" outlineLevel="0" collapsed="false">
      <c r="L843" s="3"/>
    </row>
    <row r="844" customFormat="false" ht="15.75" hidden="false" customHeight="false" outlineLevel="0" collapsed="false">
      <c r="L844" s="3"/>
    </row>
    <row r="845" customFormat="false" ht="15.75" hidden="false" customHeight="false" outlineLevel="0" collapsed="false">
      <c r="L845" s="3"/>
    </row>
    <row r="846" customFormat="false" ht="15.75" hidden="false" customHeight="false" outlineLevel="0" collapsed="false">
      <c r="L846" s="3"/>
    </row>
    <row r="847" customFormat="false" ht="15.75" hidden="false" customHeight="false" outlineLevel="0" collapsed="false">
      <c r="L847" s="3"/>
    </row>
    <row r="848" customFormat="false" ht="15.75" hidden="false" customHeight="false" outlineLevel="0" collapsed="false">
      <c r="L848" s="3"/>
    </row>
    <row r="849" customFormat="false" ht="15.75" hidden="false" customHeight="false" outlineLevel="0" collapsed="false">
      <c r="L849" s="3"/>
    </row>
    <row r="850" customFormat="false" ht="15.75" hidden="false" customHeight="false" outlineLevel="0" collapsed="false">
      <c r="L850" s="3"/>
    </row>
    <row r="851" customFormat="false" ht="15.75" hidden="false" customHeight="false" outlineLevel="0" collapsed="false">
      <c r="L851" s="3"/>
    </row>
    <row r="852" customFormat="false" ht="15.75" hidden="false" customHeight="false" outlineLevel="0" collapsed="false">
      <c r="L852" s="3"/>
    </row>
    <row r="853" customFormat="false" ht="15.75" hidden="false" customHeight="false" outlineLevel="0" collapsed="false">
      <c r="L853" s="3"/>
    </row>
    <row r="854" customFormat="false" ht="15.75" hidden="false" customHeight="false" outlineLevel="0" collapsed="false">
      <c r="L854" s="3"/>
    </row>
    <row r="855" customFormat="false" ht="15.75" hidden="false" customHeight="false" outlineLevel="0" collapsed="false">
      <c r="L855" s="3"/>
    </row>
    <row r="856" customFormat="false" ht="15.75" hidden="false" customHeight="false" outlineLevel="0" collapsed="false">
      <c r="L856" s="3"/>
    </row>
    <row r="857" customFormat="false" ht="15.75" hidden="false" customHeight="false" outlineLevel="0" collapsed="false">
      <c r="L857" s="3"/>
    </row>
    <row r="858" customFormat="false" ht="15.75" hidden="false" customHeight="false" outlineLevel="0" collapsed="false">
      <c r="L858" s="3"/>
    </row>
    <row r="859" customFormat="false" ht="15.75" hidden="false" customHeight="false" outlineLevel="0" collapsed="false">
      <c r="L859" s="3"/>
    </row>
    <row r="860" customFormat="false" ht="15.75" hidden="false" customHeight="false" outlineLevel="0" collapsed="false">
      <c r="L860" s="3"/>
    </row>
    <row r="861" customFormat="false" ht="15.75" hidden="false" customHeight="false" outlineLevel="0" collapsed="false">
      <c r="L861" s="3"/>
    </row>
    <row r="862" customFormat="false" ht="15.75" hidden="false" customHeight="false" outlineLevel="0" collapsed="false">
      <c r="L862" s="3"/>
    </row>
    <row r="863" customFormat="false" ht="15.75" hidden="false" customHeight="false" outlineLevel="0" collapsed="false">
      <c r="L863" s="3"/>
    </row>
    <row r="864" customFormat="false" ht="15.75" hidden="false" customHeight="false" outlineLevel="0" collapsed="false">
      <c r="L864" s="3"/>
    </row>
    <row r="865" customFormat="false" ht="15.75" hidden="false" customHeight="false" outlineLevel="0" collapsed="false">
      <c r="L865" s="3"/>
    </row>
    <row r="866" customFormat="false" ht="15.75" hidden="false" customHeight="false" outlineLevel="0" collapsed="false">
      <c r="L866" s="3"/>
    </row>
    <row r="867" customFormat="false" ht="15.75" hidden="false" customHeight="false" outlineLevel="0" collapsed="false">
      <c r="L867" s="3"/>
    </row>
    <row r="868" customFormat="false" ht="15.75" hidden="false" customHeight="false" outlineLevel="0" collapsed="false">
      <c r="L868" s="3"/>
    </row>
    <row r="869" customFormat="false" ht="15.75" hidden="false" customHeight="false" outlineLevel="0" collapsed="false">
      <c r="L869" s="3"/>
    </row>
    <row r="870" customFormat="false" ht="15.75" hidden="false" customHeight="false" outlineLevel="0" collapsed="false">
      <c r="L870" s="3"/>
    </row>
    <row r="871" customFormat="false" ht="15.75" hidden="false" customHeight="false" outlineLevel="0" collapsed="false">
      <c r="L871" s="3"/>
    </row>
    <row r="872" customFormat="false" ht="15.75" hidden="false" customHeight="false" outlineLevel="0" collapsed="false">
      <c r="L872" s="3"/>
    </row>
    <row r="873" customFormat="false" ht="15.75" hidden="false" customHeight="false" outlineLevel="0" collapsed="false">
      <c r="L873" s="3"/>
    </row>
    <row r="874" customFormat="false" ht="15.75" hidden="false" customHeight="false" outlineLevel="0" collapsed="false">
      <c r="L874" s="3"/>
    </row>
    <row r="875" customFormat="false" ht="15.75" hidden="false" customHeight="false" outlineLevel="0" collapsed="false">
      <c r="L875" s="3"/>
    </row>
    <row r="876" customFormat="false" ht="15.75" hidden="false" customHeight="false" outlineLevel="0" collapsed="false">
      <c r="L876" s="3"/>
    </row>
    <row r="877" customFormat="false" ht="15.75" hidden="false" customHeight="false" outlineLevel="0" collapsed="false">
      <c r="L877" s="3"/>
    </row>
    <row r="878" customFormat="false" ht="15.75" hidden="false" customHeight="false" outlineLevel="0" collapsed="false">
      <c r="L878" s="3"/>
    </row>
    <row r="879" customFormat="false" ht="15.75" hidden="false" customHeight="false" outlineLevel="0" collapsed="false">
      <c r="L879" s="3"/>
    </row>
    <row r="880" customFormat="false" ht="15.75" hidden="false" customHeight="false" outlineLevel="0" collapsed="false">
      <c r="L880" s="3"/>
    </row>
    <row r="881" customFormat="false" ht="15.75" hidden="false" customHeight="false" outlineLevel="0" collapsed="false">
      <c r="L881" s="3"/>
    </row>
    <row r="882" customFormat="false" ht="15.75" hidden="false" customHeight="false" outlineLevel="0" collapsed="false">
      <c r="L882" s="3"/>
    </row>
    <row r="883" customFormat="false" ht="15.75" hidden="false" customHeight="false" outlineLevel="0" collapsed="false">
      <c r="L883" s="3"/>
    </row>
    <row r="884" customFormat="false" ht="15.75" hidden="false" customHeight="false" outlineLevel="0" collapsed="false">
      <c r="L884" s="3"/>
    </row>
    <row r="885" customFormat="false" ht="15.75" hidden="false" customHeight="false" outlineLevel="0" collapsed="false">
      <c r="L885" s="3"/>
    </row>
    <row r="886" customFormat="false" ht="15.75" hidden="false" customHeight="false" outlineLevel="0" collapsed="false">
      <c r="L886" s="3"/>
    </row>
    <row r="887" customFormat="false" ht="15.75" hidden="false" customHeight="false" outlineLevel="0" collapsed="false">
      <c r="L887" s="3"/>
    </row>
    <row r="888" customFormat="false" ht="15.75" hidden="false" customHeight="false" outlineLevel="0" collapsed="false">
      <c r="L888" s="3"/>
    </row>
    <row r="889" customFormat="false" ht="15.75" hidden="false" customHeight="false" outlineLevel="0" collapsed="false">
      <c r="L889" s="3"/>
    </row>
    <row r="890" customFormat="false" ht="15.75" hidden="false" customHeight="false" outlineLevel="0" collapsed="false">
      <c r="L890" s="3"/>
    </row>
    <row r="891" customFormat="false" ht="15.75" hidden="false" customHeight="false" outlineLevel="0" collapsed="false">
      <c r="L891" s="3"/>
    </row>
    <row r="892" customFormat="false" ht="15.75" hidden="false" customHeight="false" outlineLevel="0" collapsed="false">
      <c r="L892" s="3"/>
    </row>
    <row r="893" customFormat="false" ht="15.75" hidden="false" customHeight="false" outlineLevel="0" collapsed="false">
      <c r="L893" s="3"/>
    </row>
    <row r="894" customFormat="false" ht="15.75" hidden="false" customHeight="false" outlineLevel="0" collapsed="false">
      <c r="L894" s="3"/>
    </row>
    <row r="895" customFormat="false" ht="15.75" hidden="false" customHeight="false" outlineLevel="0" collapsed="false">
      <c r="L895" s="3"/>
    </row>
    <row r="896" customFormat="false" ht="15.75" hidden="false" customHeight="false" outlineLevel="0" collapsed="false">
      <c r="L896" s="3"/>
    </row>
    <row r="897" customFormat="false" ht="15.75" hidden="false" customHeight="false" outlineLevel="0" collapsed="false">
      <c r="L897" s="3"/>
    </row>
    <row r="898" customFormat="false" ht="15.75" hidden="false" customHeight="false" outlineLevel="0" collapsed="false">
      <c r="L898" s="3"/>
    </row>
    <row r="899" customFormat="false" ht="15.75" hidden="false" customHeight="false" outlineLevel="0" collapsed="false">
      <c r="L899" s="3"/>
    </row>
    <row r="900" customFormat="false" ht="15.75" hidden="false" customHeight="false" outlineLevel="0" collapsed="false">
      <c r="L900" s="3"/>
    </row>
    <row r="901" customFormat="false" ht="15.75" hidden="false" customHeight="false" outlineLevel="0" collapsed="false">
      <c r="L901" s="3"/>
    </row>
    <row r="902" customFormat="false" ht="15.75" hidden="false" customHeight="false" outlineLevel="0" collapsed="false">
      <c r="L902" s="3"/>
    </row>
    <row r="903" customFormat="false" ht="15.75" hidden="false" customHeight="false" outlineLevel="0" collapsed="false">
      <c r="L903" s="3"/>
    </row>
    <row r="904" customFormat="false" ht="15.75" hidden="false" customHeight="false" outlineLevel="0" collapsed="false">
      <c r="L904" s="3"/>
    </row>
    <row r="905" customFormat="false" ht="15.75" hidden="false" customHeight="false" outlineLevel="0" collapsed="false">
      <c r="L905" s="3"/>
    </row>
    <row r="906" customFormat="false" ht="15.75" hidden="false" customHeight="false" outlineLevel="0" collapsed="false">
      <c r="L906" s="3"/>
    </row>
    <row r="907" customFormat="false" ht="15.75" hidden="false" customHeight="false" outlineLevel="0" collapsed="false">
      <c r="L907" s="3"/>
    </row>
    <row r="908" customFormat="false" ht="15.75" hidden="false" customHeight="false" outlineLevel="0" collapsed="false">
      <c r="L908" s="3"/>
    </row>
    <row r="909" customFormat="false" ht="15.75" hidden="false" customHeight="false" outlineLevel="0" collapsed="false">
      <c r="L909" s="3"/>
    </row>
    <row r="910" customFormat="false" ht="15.75" hidden="false" customHeight="false" outlineLevel="0" collapsed="false">
      <c r="L910" s="3"/>
    </row>
    <row r="911" customFormat="false" ht="15.75" hidden="false" customHeight="false" outlineLevel="0" collapsed="false">
      <c r="L911" s="3"/>
    </row>
    <row r="912" customFormat="false" ht="15.75" hidden="false" customHeight="false" outlineLevel="0" collapsed="false">
      <c r="L912" s="3"/>
    </row>
    <row r="913" customFormat="false" ht="15.75" hidden="false" customHeight="false" outlineLevel="0" collapsed="false">
      <c r="L913" s="3"/>
    </row>
    <row r="914" customFormat="false" ht="15.75" hidden="false" customHeight="false" outlineLevel="0" collapsed="false">
      <c r="L914" s="3"/>
    </row>
    <row r="915" customFormat="false" ht="15.75" hidden="false" customHeight="false" outlineLevel="0" collapsed="false">
      <c r="L915" s="3"/>
    </row>
    <row r="916" customFormat="false" ht="15.75" hidden="false" customHeight="false" outlineLevel="0" collapsed="false">
      <c r="L916" s="3"/>
    </row>
    <row r="917" customFormat="false" ht="15.75" hidden="false" customHeight="false" outlineLevel="0" collapsed="false">
      <c r="L917" s="3"/>
    </row>
    <row r="918" customFormat="false" ht="15.75" hidden="false" customHeight="false" outlineLevel="0" collapsed="false">
      <c r="L918" s="3"/>
    </row>
    <row r="919" customFormat="false" ht="15.75" hidden="false" customHeight="false" outlineLevel="0" collapsed="false">
      <c r="L919" s="3"/>
    </row>
    <row r="920" customFormat="false" ht="15.75" hidden="false" customHeight="false" outlineLevel="0" collapsed="false">
      <c r="L920" s="3"/>
    </row>
    <row r="921" customFormat="false" ht="15.75" hidden="false" customHeight="false" outlineLevel="0" collapsed="false">
      <c r="L921" s="3"/>
    </row>
    <row r="922" customFormat="false" ht="15.75" hidden="false" customHeight="false" outlineLevel="0" collapsed="false">
      <c r="L922" s="3"/>
    </row>
    <row r="923" customFormat="false" ht="15.75" hidden="false" customHeight="false" outlineLevel="0" collapsed="false">
      <c r="L923" s="3"/>
    </row>
    <row r="924" customFormat="false" ht="15.75" hidden="false" customHeight="false" outlineLevel="0" collapsed="false">
      <c r="L924" s="3"/>
    </row>
    <row r="925" customFormat="false" ht="15.75" hidden="false" customHeight="false" outlineLevel="0" collapsed="false">
      <c r="L925" s="3"/>
    </row>
    <row r="926" customFormat="false" ht="15.75" hidden="false" customHeight="false" outlineLevel="0" collapsed="false">
      <c r="L926" s="3"/>
    </row>
    <row r="927" customFormat="false" ht="15.75" hidden="false" customHeight="false" outlineLevel="0" collapsed="false">
      <c r="L927" s="3"/>
    </row>
    <row r="928" customFormat="false" ht="15.75" hidden="false" customHeight="false" outlineLevel="0" collapsed="false">
      <c r="L928" s="3"/>
    </row>
    <row r="929" customFormat="false" ht="15.75" hidden="false" customHeight="false" outlineLevel="0" collapsed="false">
      <c r="L929" s="3"/>
    </row>
    <row r="930" customFormat="false" ht="15.75" hidden="false" customHeight="false" outlineLevel="0" collapsed="false">
      <c r="L930" s="3"/>
    </row>
    <row r="931" customFormat="false" ht="15.75" hidden="false" customHeight="false" outlineLevel="0" collapsed="false">
      <c r="L931" s="3"/>
    </row>
    <row r="932" customFormat="false" ht="15.75" hidden="false" customHeight="false" outlineLevel="0" collapsed="false">
      <c r="L932" s="3"/>
    </row>
    <row r="933" customFormat="false" ht="15.75" hidden="false" customHeight="false" outlineLevel="0" collapsed="false">
      <c r="L933" s="3"/>
    </row>
    <row r="934" customFormat="false" ht="15.75" hidden="false" customHeight="false" outlineLevel="0" collapsed="false">
      <c r="L934" s="3"/>
    </row>
    <row r="935" customFormat="false" ht="15.75" hidden="false" customHeight="false" outlineLevel="0" collapsed="false">
      <c r="L935" s="3"/>
    </row>
    <row r="936" customFormat="false" ht="15.75" hidden="false" customHeight="false" outlineLevel="0" collapsed="false">
      <c r="L936" s="3"/>
    </row>
    <row r="937" customFormat="false" ht="15.75" hidden="false" customHeight="false" outlineLevel="0" collapsed="false">
      <c r="L937" s="3"/>
    </row>
    <row r="938" customFormat="false" ht="15.75" hidden="false" customHeight="false" outlineLevel="0" collapsed="false">
      <c r="L938" s="3"/>
    </row>
    <row r="939" customFormat="false" ht="15.75" hidden="false" customHeight="false" outlineLevel="0" collapsed="false">
      <c r="L939" s="3"/>
    </row>
    <row r="940" customFormat="false" ht="15.75" hidden="false" customHeight="false" outlineLevel="0" collapsed="false">
      <c r="L940" s="3"/>
    </row>
    <row r="941" customFormat="false" ht="15.75" hidden="false" customHeight="false" outlineLevel="0" collapsed="false">
      <c r="L941" s="3"/>
    </row>
    <row r="942" customFormat="false" ht="15.75" hidden="false" customHeight="false" outlineLevel="0" collapsed="false">
      <c r="L942" s="3"/>
    </row>
    <row r="943" customFormat="false" ht="15.75" hidden="false" customHeight="false" outlineLevel="0" collapsed="false">
      <c r="L943" s="3"/>
    </row>
    <row r="944" customFormat="false" ht="15.75" hidden="false" customHeight="false" outlineLevel="0" collapsed="false">
      <c r="L944" s="3"/>
    </row>
    <row r="945" customFormat="false" ht="15.75" hidden="false" customHeight="false" outlineLevel="0" collapsed="false">
      <c r="L945" s="3"/>
    </row>
    <row r="946" customFormat="false" ht="15.75" hidden="false" customHeight="false" outlineLevel="0" collapsed="false">
      <c r="L946" s="3"/>
    </row>
    <row r="947" customFormat="false" ht="15.75" hidden="false" customHeight="false" outlineLevel="0" collapsed="false">
      <c r="L947" s="3"/>
    </row>
    <row r="948" customFormat="false" ht="15.75" hidden="false" customHeight="false" outlineLevel="0" collapsed="false">
      <c r="L948" s="3"/>
    </row>
    <row r="949" customFormat="false" ht="15.75" hidden="false" customHeight="false" outlineLevel="0" collapsed="false">
      <c r="L949" s="3"/>
    </row>
    <row r="950" customFormat="false" ht="15.75" hidden="false" customHeight="false" outlineLevel="0" collapsed="false">
      <c r="L950" s="3"/>
    </row>
    <row r="951" customFormat="false" ht="15.75" hidden="false" customHeight="false" outlineLevel="0" collapsed="false">
      <c r="L951" s="3"/>
    </row>
    <row r="952" customFormat="false" ht="15.75" hidden="false" customHeight="false" outlineLevel="0" collapsed="false">
      <c r="L952" s="3"/>
    </row>
    <row r="953" customFormat="false" ht="15.75" hidden="false" customHeight="false" outlineLevel="0" collapsed="false">
      <c r="L953" s="3"/>
    </row>
    <row r="954" customFormat="false" ht="15.75" hidden="false" customHeight="false" outlineLevel="0" collapsed="false">
      <c r="L954" s="3"/>
    </row>
    <row r="955" customFormat="false" ht="15.75" hidden="false" customHeight="false" outlineLevel="0" collapsed="false">
      <c r="L955" s="3"/>
    </row>
    <row r="956" customFormat="false" ht="15.75" hidden="false" customHeight="false" outlineLevel="0" collapsed="false">
      <c r="L956" s="3"/>
    </row>
    <row r="957" customFormat="false" ht="15.75" hidden="false" customHeight="false" outlineLevel="0" collapsed="false">
      <c r="L957" s="3"/>
    </row>
    <row r="958" customFormat="false" ht="15.75" hidden="false" customHeight="false" outlineLevel="0" collapsed="false">
      <c r="L958" s="3"/>
    </row>
    <row r="959" customFormat="false" ht="15.75" hidden="false" customHeight="false" outlineLevel="0" collapsed="false">
      <c r="L959" s="3"/>
    </row>
    <row r="960" customFormat="false" ht="15.75" hidden="false" customHeight="false" outlineLevel="0" collapsed="false">
      <c r="L960" s="3"/>
    </row>
    <row r="961" customFormat="false" ht="15.75" hidden="false" customHeight="false" outlineLevel="0" collapsed="false">
      <c r="L961" s="3"/>
    </row>
    <row r="962" customFormat="false" ht="15.75" hidden="false" customHeight="false" outlineLevel="0" collapsed="false">
      <c r="L962" s="3"/>
    </row>
    <row r="963" customFormat="false" ht="15.75" hidden="false" customHeight="false" outlineLevel="0" collapsed="false">
      <c r="L963" s="3"/>
    </row>
    <row r="964" customFormat="false" ht="15.75" hidden="false" customHeight="false" outlineLevel="0" collapsed="false">
      <c r="L964" s="3"/>
    </row>
    <row r="965" customFormat="false" ht="15.75" hidden="false" customHeight="false" outlineLevel="0" collapsed="false">
      <c r="L965" s="3"/>
    </row>
    <row r="966" customFormat="false" ht="15.75" hidden="false" customHeight="false" outlineLevel="0" collapsed="false">
      <c r="L966" s="3"/>
    </row>
    <row r="967" customFormat="false" ht="15.75" hidden="false" customHeight="false" outlineLevel="0" collapsed="false">
      <c r="L967" s="3"/>
    </row>
    <row r="968" customFormat="false" ht="15.75" hidden="false" customHeight="false" outlineLevel="0" collapsed="false">
      <c r="L968" s="3"/>
    </row>
    <row r="969" customFormat="false" ht="15.75" hidden="false" customHeight="false" outlineLevel="0" collapsed="false">
      <c r="L969" s="3"/>
    </row>
    <row r="970" customFormat="false" ht="15.75" hidden="false" customHeight="false" outlineLevel="0" collapsed="false">
      <c r="L970" s="3"/>
    </row>
    <row r="971" customFormat="false" ht="15.75" hidden="false" customHeight="false" outlineLevel="0" collapsed="false">
      <c r="L971" s="3"/>
    </row>
    <row r="972" customFormat="false" ht="15.75" hidden="false" customHeight="false" outlineLevel="0" collapsed="false">
      <c r="L972" s="3"/>
    </row>
    <row r="973" customFormat="false" ht="15.75" hidden="false" customHeight="false" outlineLevel="0" collapsed="false">
      <c r="L973" s="3"/>
    </row>
    <row r="974" customFormat="false" ht="15.75" hidden="false" customHeight="false" outlineLevel="0" collapsed="false">
      <c r="L974" s="3"/>
    </row>
    <row r="975" customFormat="false" ht="15.75" hidden="false" customHeight="false" outlineLevel="0" collapsed="false">
      <c r="L975" s="3"/>
    </row>
    <row r="976" customFormat="false" ht="15.75" hidden="false" customHeight="false" outlineLevel="0" collapsed="false">
      <c r="L976" s="3"/>
    </row>
    <row r="977" customFormat="false" ht="15.75" hidden="false" customHeight="false" outlineLevel="0" collapsed="false">
      <c r="L977" s="3"/>
    </row>
    <row r="978" customFormat="false" ht="15.75" hidden="false" customHeight="false" outlineLevel="0" collapsed="false">
      <c r="L978" s="3"/>
    </row>
    <row r="979" customFormat="false" ht="15.75" hidden="false" customHeight="false" outlineLevel="0" collapsed="false">
      <c r="L979" s="3"/>
    </row>
    <row r="980" customFormat="false" ht="15.75" hidden="false" customHeight="false" outlineLevel="0" collapsed="false">
      <c r="L980" s="3"/>
    </row>
    <row r="981" customFormat="false" ht="15.75" hidden="false" customHeight="false" outlineLevel="0" collapsed="false">
      <c r="L981" s="3"/>
    </row>
    <row r="982" customFormat="false" ht="15.75" hidden="false" customHeight="false" outlineLevel="0" collapsed="false">
      <c r="L982" s="3"/>
    </row>
    <row r="983" customFormat="false" ht="15.75" hidden="false" customHeight="false" outlineLevel="0" collapsed="false">
      <c r="L983" s="3"/>
    </row>
    <row r="984" customFormat="false" ht="15.75" hidden="false" customHeight="false" outlineLevel="0" collapsed="false">
      <c r="L984" s="3"/>
    </row>
    <row r="985" customFormat="false" ht="15.75" hidden="false" customHeight="false" outlineLevel="0" collapsed="false">
      <c r="L985" s="3"/>
    </row>
    <row r="986" customFormat="false" ht="15.75" hidden="false" customHeight="false" outlineLevel="0" collapsed="false">
      <c r="L986" s="3"/>
    </row>
    <row r="987" customFormat="false" ht="15.75" hidden="false" customHeight="false" outlineLevel="0" collapsed="false">
      <c r="L987" s="3"/>
    </row>
    <row r="988" customFormat="false" ht="15.75" hidden="false" customHeight="false" outlineLevel="0" collapsed="false">
      <c r="L988" s="3"/>
    </row>
    <row r="989" customFormat="false" ht="15.75" hidden="false" customHeight="false" outlineLevel="0" collapsed="false">
      <c r="L989" s="3"/>
    </row>
    <row r="990" customFormat="false" ht="15.75" hidden="false" customHeight="false" outlineLevel="0" collapsed="false">
      <c r="L990" s="3"/>
    </row>
    <row r="991" customFormat="false" ht="15.75" hidden="false" customHeight="false" outlineLevel="0" collapsed="false">
      <c r="L991" s="3"/>
    </row>
    <row r="992" customFormat="false" ht="15.75" hidden="false" customHeight="false" outlineLevel="0" collapsed="false">
      <c r="L992" s="3"/>
    </row>
    <row r="993" customFormat="false" ht="15.75" hidden="false" customHeight="false" outlineLevel="0" collapsed="false">
      <c r="L993" s="3"/>
    </row>
    <row r="994" customFormat="false" ht="15.75" hidden="false" customHeight="false" outlineLevel="0" collapsed="false">
      <c r="L994" s="3"/>
    </row>
    <row r="995" customFormat="false" ht="15.75" hidden="false" customHeight="false" outlineLevel="0" collapsed="false">
      <c r="L995" s="3"/>
    </row>
    <row r="996" customFormat="false" ht="15.75" hidden="false" customHeight="false" outlineLevel="0" collapsed="false">
      <c r="L996" s="3"/>
    </row>
    <row r="997" customFormat="false" ht="15.75" hidden="false" customHeight="false" outlineLevel="0" collapsed="false">
      <c r="L997" s="3"/>
    </row>
    <row r="998" customFormat="false" ht="15.75" hidden="false" customHeight="false" outlineLevel="0" collapsed="false">
      <c r="L998" s="3"/>
    </row>
    <row r="999" customFormat="false" ht="15.75" hidden="false" customHeight="false" outlineLevel="0" collapsed="false">
      <c r="L999" s="3"/>
    </row>
    <row r="1000" customFormat="false" ht="15.75" hidden="false" customHeight="false" outlineLevel="0" collapsed="false">
      <c r="L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9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40" activeCellId="0" sqref="N40"/>
    </sheetView>
  </sheetViews>
  <sheetFormatPr defaultColWidth="12.6796875" defaultRowHeight="15.75" customHeight="false" zeroHeight="false" outlineLevelRow="0" outlineLevelCol="0"/>
  <cols>
    <col collapsed="false" customWidth="true" hidden="false" outlineLevel="0" max="1" min="1" style="1" width="28.72"/>
    <col collapsed="false" customWidth="true" hidden="false" outlineLevel="0" max="2" min="2" style="1" width="15.95"/>
    <col collapsed="false" customWidth="true" hidden="false" outlineLevel="0" max="3" min="3" style="10" width="21.24"/>
    <col collapsed="false" customWidth="true" hidden="false" outlineLevel="0" max="4" min="4" style="11" width="12.9"/>
    <col collapsed="false" customWidth="true" hidden="false" outlineLevel="0" max="5" min="5" style="10" width="13.75"/>
    <col collapsed="false" customWidth="true" hidden="false" outlineLevel="0" max="6" min="6" style="11" width="12.78"/>
    <col collapsed="false" customWidth="true" hidden="false" outlineLevel="0" max="7" min="7" style="1" width="11.64"/>
    <col collapsed="false" customWidth="true" hidden="false" outlineLevel="0" max="8" min="8" style="1" width="7.98"/>
    <col collapsed="false" customWidth="true" hidden="false" outlineLevel="0" max="9" min="9" style="10" width="14.28"/>
    <col collapsed="false" customWidth="true" hidden="false" outlineLevel="0" max="10" min="10" style="0" width="10.2"/>
    <col collapsed="false" customWidth="true" hidden="false" outlineLevel="0" max="11" min="11" style="1" width="22.3"/>
    <col collapsed="false" customWidth="true" hidden="false" outlineLevel="0" max="12" min="12" style="12" width="8.97"/>
    <col collapsed="false" customWidth="false" hidden="false" outlineLevel="0" max="13" min="13" style="13" width="12.68"/>
    <col collapsed="false" customWidth="true" hidden="false" outlineLevel="0" max="1024" min="1024" style="1" width="11.52"/>
  </cols>
  <sheetData>
    <row r="1" customFormat="false" ht="13.8" hidden="false" customHeight="false" outlineLevel="0" collapsed="false">
      <c r="A1" s="2" t="s">
        <v>10</v>
      </c>
      <c r="B1" s="2" t="s">
        <v>11</v>
      </c>
      <c r="C1" s="14" t="s">
        <v>12</v>
      </c>
      <c r="D1" s="15" t="s">
        <v>13</v>
      </c>
      <c r="E1" s="14" t="s">
        <v>14</v>
      </c>
      <c r="F1" s="15" t="s">
        <v>15</v>
      </c>
      <c r="G1" s="2" t="s">
        <v>16</v>
      </c>
      <c r="H1" s="2" t="s">
        <v>17</v>
      </c>
      <c r="I1" s="10" t="s">
        <v>18</v>
      </c>
      <c r="J1" s="11" t="s">
        <v>19</v>
      </c>
      <c r="K1" s="1" t="s">
        <v>20</v>
      </c>
      <c r="L1" s="12" t="s">
        <v>21</v>
      </c>
      <c r="M1" s="1" t="s">
        <v>22</v>
      </c>
      <c r="N1" s="16" t="s">
        <v>23</v>
      </c>
      <c r="O1" s="16" t="s">
        <v>24</v>
      </c>
      <c r="P1" s="17" t="s">
        <v>25</v>
      </c>
      <c r="Q1" s="16" t="s">
        <v>26</v>
      </c>
      <c r="R1" s="1" t="s">
        <v>27</v>
      </c>
    </row>
    <row r="2" customFormat="false" ht="13.8" hidden="false" customHeight="false" outlineLevel="0" collapsed="false">
      <c r="A2" s="8" t="s">
        <v>28</v>
      </c>
      <c r="B2" s="8" t="s">
        <v>29</v>
      </c>
      <c r="C2" s="18" t="n">
        <v>45261.7916666667</v>
      </c>
      <c r="D2" s="19" t="n">
        <v>45261.7916666667</v>
      </c>
      <c r="E2" s="18" t="n">
        <v>45262.75</v>
      </c>
      <c r="F2" s="19" t="n">
        <v>45262.75</v>
      </c>
      <c r="G2" s="20" t="n">
        <v>3500</v>
      </c>
      <c r="I2" s="10" t="n">
        <v>45261</v>
      </c>
      <c r="J2" s="11" t="n">
        <v>0.557314814810521</v>
      </c>
      <c r="K2" s="1" t="s">
        <v>30</v>
      </c>
      <c r="L2" s="12" t="n">
        <f aca="false">((INT(E2)+MOD(F2,1))-(INT(C2)+MOD(D2,1)))*24</f>
        <v>22.9999999990105</v>
      </c>
      <c r="M2" s="1" t="n">
        <f aca="false">IFERROR(INDEX(Sheet3!$B$2:$B$500,MATCH(1,(INT(C2)+MOD(D2,1)&lt;INT(Sheet3!$A$2:$A$500)+TIME(18,0,0))*(INT(E2)+MOD(F2,1)&gt;=INT(Sheet3!$A$2:$A$500)),0)),0)</f>
        <v>0</v>
      </c>
      <c r="N2" s="1" t="n">
        <f aca="false">IF(OR( AND(Q2=6,D2&gt;=TIME(17,0,0),OR(K2="12H Night",K2="Couple Half Night",K2="24H Night",K2="Couple Full Night")), AND(Q2=7,D2&gt;=TIME(6,0,0),D2&lt;TIME(12,0,0),OR(K2="12H Day",K2="Couple Half Day",K2="24H Day",K2="Couple Full Day")) ),1,0)</f>
        <v>0</v>
      </c>
      <c r="O2" s="1" t="n">
        <f aca="false">IF(OR( AND(MONTH(C2)=12,DAY(C2)&gt;=26), AND(MONTH(C2)=4,DAY(C2)&gt;=15), MONTH(C2)=5, AND(MONTH(C2)=6,DAY(C2)&lt;=10) ),1,0)</f>
        <v>0</v>
      </c>
      <c r="P2" s="1" t="str">
        <f aca="false">IF(OR(MONTH(C2)=3,MONTH(C2)=4,MONTH(C2)=5,MONTH(C2)=6), "Summer", IF(OR(MONTH(C2)=7,MONTH(C2)=8,MONTH(C2)=9,MONTH(C2)=10), "Monsoon", "Winter"))</f>
        <v>Winter</v>
      </c>
      <c r="Q2" s="1" t="n">
        <f aca="false">WEEKDAY(C2,2)</f>
        <v>5</v>
      </c>
      <c r="R2" s="0" t="n">
        <f aca="false">ROUNDDOWN(((INT(C2)+MOD(D2,1))-(INT(I2)+MOD(J2,1))),0)</f>
        <v>0</v>
      </c>
      <c r="S2" s="10"/>
      <c r="T2" s="1"/>
      <c r="U2" s="13"/>
      <c r="V2" s="21"/>
    </row>
    <row r="3" customFormat="false" ht="13.8" hidden="false" customHeight="false" outlineLevel="0" collapsed="false">
      <c r="A3" s="8" t="s">
        <v>28</v>
      </c>
      <c r="B3" s="8" t="s">
        <v>31</v>
      </c>
      <c r="C3" s="18" t="n">
        <v>45262.7916666667</v>
      </c>
      <c r="D3" s="19" t="n">
        <v>45262.7916666667</v>
      </c>
      <c r="E3" s="18" t="n">
        <v>45263.75</v>
      </c>
      <c r="F3" s="19" t="n">
        <v>45263.75</v>
      </c>
      <c r="G3" s="20" t="n">
        <v>4800</v>
      </c>
      <c r="I3" s="10" t="n">
        <v>45257</v>
      </c>
      <c r="J3" s="11" t="n">
        <v>0.737175925925845</v>
      </c>
      <c r="K3" s="1" t="str">
        <f aca="false">IF(L3&gt;24,     IF(H3=2,"Couple Extended Day","Extended Day"), IF(L3&lt;=12,     IF(AND(D3&gt;=TIME(6,0,0),D3&lt;TIME(17,0,0)),         IF(H3=2,"Couple Half Day","12H Day"),         IF(H3=2,"Couple Half Night","12H Night")), IF(L3&lt;=24,     IF(AND(D3&gt;=TIME(6,0,0),D3&lt;TIME(17,0,0)),         IF(H3=2,"Couple Full Day","24H Day"),         IF(H3=2,"Couple Full Night","24H Night")), "Check Data")))</f>
        <v>24H Night</v>
      </c>
      <c r="L3" s="12" t="n">
        <f aca="false">((INT(E3)+MOD(F3,1))-(INT(C3)+MOD(D3,1)))*24</f>
        <v>22.9999999990105</v>
      </c>
      <c r="M3" s="1" t="n">
        <f aca="false">IFERROR(INDEX(Sheet3!$B$2:$B$500,MATCH(1,(INT(C3)+MOD(D3,1)&lt;INT(Sheet3!$A$2:$A$500)+TIME(18,0,0))*(INT(E3)+MOD(F3,1)&gt;=INT(Sheet3!$A$2:$A$500)),0)),0)</f>
        <v>0</v>
      </c>
      <c r="N3" s="1" t="n">
        <f aca="false">IF(OR( AND(Q3=6,D3&gt;=TIME(17,0,0),OR(K3="12H Night",K3="Couple Half Night",K3="24H Night",K3="Couple Full Night")), AND(Q3=7,D3&gt;=TIME(6,0,0),D3&lt;TIME(12,0,0),OR(K3="12H Day",K3="Couple Half Day",K3="24H Day",K3="Couple Full Day")) ),1,0)</f>
        <v>1</v>
      </c>
      <c r="O3" s="1" t="n">
        <f aca="false">IF(OR( AND(MONTH(C3)=12,DAY(C3)&gt;=26), AND(MONTH(C3)=4,DAY(C3)&gt;=15), MONTH(C3)=5, AND(MONTH(C3)=6,DAY(C3)&lt;=10) ),1,0)</f>
        <v>0</v>
      </c>
      <c r="P3" s="1" t="str">
        <f aca="false">IF(OR(MONTH(C3)=3,MONTH(C3)=4,MONTH(C3)=5,MONTH(C3)=6), "Summer", IF(OR(MONTH(C3)=7,MONTH(C3)=8,MONTH(C3)=9,MONTH(C3)=10), "Monsoon", "Winter"))</f>
        <v>Winter</v>
      </c>
      <c r="Q3" s="1" t="n">
        <f aca="false">WEEKDAY(C3,2)</f>
        <v>6</v>
      </c>
      <c r="R3" s="0" t="n">
        <f aca="false">ROUNDDOWN(((INT(C3)+MOD(D3,1))-(INT(I3)+MOD(J3,1))),0)</f>
        <v>5</v>
      </c>
      <c r="S3" s="10"/>
    </row>
    <row r="4" customFormat="false" ht="13.8" hidden="false" customHeight="false" outlineLevel="0" collapsed="false">
      <c r="A4" s="8" t="s">
        <v>28</v>
      </c>
      <c r="B4" s="8" t="s">
        <v>32</v>
      </c>
      <c r="C4" s="18" t="n">
        <v>45264.375</v>
      </c>
      <c r="D4" s="19" t="n">
        <v>45264.375</v>
      </c>
      <c r="E4" s="18" t="n">
        <v>45264.6666666667</v>
      </c>
      <c r="F4" s="19" t="n">
        <v>45264.6666666667</v>
      </c>
      <c r="G4" s="20" t="n">
        <v>2000</v>
      </c>
      <c r="I4" s="10" t="n">
        <v>45263</v>
      </c>
      <c r="J4" s="11" t="n">
        <v>0.615104166667153</v>
      </c>
      <c r="K4" s="1" t="str">
        <f aca="false">IF(L26&gt;24,     IF(H26=2,"Couple Extended Day","Extended Day"), IF(L26&lt;=12,     IF(AND(MOD(D26,1)&gt;=TIME(6,0,0),MOD(D26,1)&lt;TIME(18,0,0)),         IF(H26=2,"Couple Half Day","12H Day"),         IF(H26=2,"Couple Half Night","12H Night")), IF(L26&lt;=24,     IF(AND(MOD(D26,1)&gt;=TIME(6,0,0),MOD(D26,1)&lt;TIME(18,0,0)),         IF(H26=2,"Couple Full Day","24H Day"),         IF(H26=2,"Couple Full Night","24H Night")), "Check Data")))</f>
        <v>12H Day</v>
      </c>
      <c r="L4" s="12" t="n">
        <f aca="false">((INT(E4)+MOD(F4,1))-(INT(C4)+MOD(D4,1)))*24</f>
        <v>7.00000000098953</v>
      </c>
      <c r="M4" s="1" t="n">
        <f aca="false">IFERROR(INDEX(Sheet3!$B$2:$B$500,MATCH(1,(INT(C4)+MOD(D4,1)&lt;INT(Sheet3!$A$2:$A$500)+TIME(18,0,0))*(INT(E4)+MOD(F4,1)&gt;=INT(Sheet3!$A$2:$A$500)),0)),0)</f>
        <v>0</v>
      </c>
      <c r="N4" s="1" t="n">
        <f aca="false">IF(OR( AND(Q4=6,D4&gt;=TIME(17,0,0),OR(K4="12H Night",K4="Couple Half Night",K4="24H Night",K4="Couple Full Night")), AND(Q4=7,D4&gt;=TIME(6,0,0),D4&lt;TIME(12,0,0),OR(K4="12H Day",K4="Couple Half Day",K4="24H Day",K4="Couple Full Day")) ),1,0)</f>
        <v>0</v>
      </c>
      <c r="O4" s="1" t="n">
        <f aca="false">IF(OR( AND(MONTH(C4)=12,DAY(C4)&gt;=26), AND(MONTH(C4)=4,DAY(C4)&gt;=15), MONTH(C4)=5, AND(MONTH(C4)=6,DAY(C4)&lt;=10) ),1,0)</f>
        <v>0</v>
      </c>
      <c r="P4" s="1" t="str">
        <f aca="false">IF(OR(MONTH(C4)=3,MONTH(C4)=4,MONTH(C4)=5,MONTH(C4)=6), "Summer", IF(OR(MONTH(C4)=7,MONTH(C4)=8,MONTH(C4)=9,MONTH(C4)=10), "Monsoon", "Winter"))</f>
        <v>Winter</v>
      </c>
      <c r="Q4" s="1" t="n">
        <f aca="false">WEEKDAY(C4,2)</f>
        <v>1</v>
      </c>
      <c r="R4" s="0" t="n">
        <f aca="false">ROUNDDOWN(((INT(C4)+MOD(D4,1))-(INT(I4)+MOD(J4,1))),0)</f>
        <v>0</v>
      </c>
      <c r="S4" s="10"/>
    </row>
    <row r="5" customFormat="false" ht="13.8" hidden="false" customHeight="false" outlineLevel="0" collapsed="false">
      <c r="A5" s="8" t="s">
        <v>28</v>
      </c>
      <c r="B5" s="8" t="s">
        <v>33</v>
      </c>
      <c r="C5" s="18" t="n">
        <v>45269.7916666667</v>
      </c>
      <c r="D5" s="19" t="n">
        <v>45269.7916666667</v>
      </c>
      <c r="E5" s="18" t="n">
        <v>45270.75</v>
      </c>
      <c r="F5" s="19" t="n">
        <v>45270.75</v>
      </c>
      <c r="G5" s="20" t="n">
        <v>5000</v>
      </c>
      <c r="I5" s="10" t="n">
        <v>45267</v>
      </c>
      <c r="J5" s="11" t="n">
        <v>0.49596064814978</v>
      </c>
      <c r="K5" s="1" t="str">
        <f aca="false">IF(L5&gt;24,     IF(H5=2,"Couple Extended Day","Extended Day"), IF(L5&lt;=12,     IF(AND(D5&gt;=TIME(6,0,0),D5&lt;TIME(17,0,0)),         IF(H5=2,"Couple Half Day","12H Day"),         IF(H5=2,"Couple Half Night","12H Night")), IF(L5&lt;=24,     IF(AND(D5&gt;=TIME(6,0,0),D5&lt;TIME(17,0,0)),         IF(H5=2,"Couple Full Day","24H Day"),         IF(H5=2,"Couple Full Night","24H Night")), "Check Data")))</f>
        <v>24H Night</v>
      </c>
      <c r="L5" s="12" t="n">
        <f aca="false">((INT(E5)+MOD(F5,1))-(INT(C5)+MOD(D5,1)))*24</f>
        <v>22.9999999990105</v>
      </c>
      <c r="M5" s="1" t="n">
        <f aca="false">IFERROR(INDEX(Sheet3!$B$2:$B$500,MATCH(1,(INT(C5)+MOD(D5,1)&lt;INT(Sheet3!$A$2:$A$500)+TIME(18,0,0))*(INT(E5)+MOD(F5,1)&gt;=INT(Sheet3!$A$2:$A$500)),0)),0)</f>
        <v>0</v>
      </c>
      <c r="N5" s="1" t="n">
        <f aca="false">IF(OR( AND(Q5=6,D5&gt;=TIME(17,0,0),OR(K5="12H Night",K5="Couple Half Night",K5="24H Night",K5="Couple Full Night")), AND(Q5=7,D5&gt;=TIME(6,0,0),D5&lt;TIME(12,0,0),OR(K5="12H Day",K5="Couple Half Day",K5="24H Day",K5="Couple Full Day")) ),1,0)</f>
        <v>1</v>
      </c>
      <c r="O5" s="1" t="n">
        <f aca="false">IF(OR( AND(MONTH(C5)=12,DAY(C5)&gt;=26), AND(MONTH(C5)=4,DAY(C5)&gt;=15), MONTH(C5)=5, AND(MONTH(C5)=6,DAY(C5)&lt;=10) ),1,0)</f>
        <v>0</v>
      </c>
      <c r="P5" s="1" t="str">
        <f aca="false">IF(OR(MONTH(C5)=3,MONTH(C5)=4,MONTH(C5)=5,MONTH(C5)=6), "Summer", IF(OR(MONTH(C5)=7,MONTH(C5)=8,MONTH(C5)=9,MONTH(C5)=10), "Monsoon", "Winter"))</f>
        <v>Winter</v>
      </c>
      <c r="Q5" s="1" t="n">
        <f aca="false">WEEKDAY(C5,2)</f>
        <v>6</v>
      </c>
      <c r="R5" s="0" t="n">
        <f aca="false">ROUNDDOWN(((INT(C5)+MOD(D5,1))-(INT(I5)+MOD(J5,1))),0)</f>
        <v>2</v>
      </c>
      <c r="S5" s="10"/>
    </row>
    <row r="6" customFormat="false" ht="13.8" hidden="false" customHeight="false" outlineLevel="0" collapsed="false">
      <c r="A6" s="8" t="s">
        <v>28</v>
      </c>
      <c r="B6" s="8" t="s">
        <v>34</v>
      </c>
      <c r="C6" s="18" t="n">
        <v>45272.25</v>
      </c>
      <c r="D6" s="19" t="n">
        <v>45272.25</v>
      </c>
      <c r="E6" s="18" t="n">
        <v>45272.75</v>
      </c>
      <c r="F6" s="19" t="n">
        <v>45272.75</v>
      </c>
      <c r="G6" s="20" t="n">
        <v>2800</v>
      </c>
      <c r="I6" s="10" t="n">
        <v>45268</v>
      </c>
      <c r="J6" s="11" t="n">
        <v>0.553298611106586</v>
      </c>
      <c r="K6" s="1" t="s">
        <v>35</v>
      </c>
      <c r="L6" s="12" t="n">
        <f aca="false">((INT(E6)+MOD(F6,1))-(INT(C6)+MOD(D6,1)))*24</f>
        <v>12</v>
      </c>
      <c r="M6" s="1" t="n">
        <f aca="false">IFERROR(INDEX(Sheet3!$B$2:$B$500,MATCH(1,(INT(C6)+MOD(D6,1)&lt;INT(Sheet3!$A$2:$A$500)+TIME(18,0,0))*(INT(E6)+MOD(F6,1)&gt;=INT(Sheet3!$A$2:$A$500)),0)),0)</f>
        <v>0</v>
      </c>
      <c r="N6" s="1" t="n">
        <f aca="false">IF(OR( AND(Q6=6,D6&gt;=TIME(17,0,0),OR(K6="12H Night",K6="Couple Half Night",K6="24H Night",K6="Couple Full Night")), AND(Q6=7,D6&gt;=TIME(6,0,0),D6&lt;TIME(12,0,0),OR(K6="12H Day",K6="Couple Half Day",K6="24H Day",K6="Couple Full Day")) ),1,0)</f>
        <v>0</v>
      </c>
      <c r="O6" s="1" t="n">
        <f aca="false">IF(OR( AND(MONTH(C6)=12,DAY(C6)&gt;=26), AND(MONTH(C6)=4,DAY(C6)&gt;=15), MONTH(C6)=5, AND(MONTH(C6)=6,DAY(C6)&lt;=10) ),1,0)</f>
        <v>0</v>
      </c>
      <c r="P6" s="1" t="str">
        <f aca="false">IF(OR(MONTH(C6)=3,MONTH(C6)=4,MONTH(C6)=5,MONTH(C6)=6), "Summer", IF(OR(MONTH(C6)=7,MONTH(C6)=8,MONTH(C6)=9,MONTH(C6)=10), "Monsoon", "Winter"))</f>
        <v>Winter</v>
      </c>
      <c r="Q6" s="1" t="n">
        <f aca="false">WEEKDAY(C6,2)</f>
        <v>2</v>
      </c>
      <c r="R6" s="0" t="n">
        <f aca="false">ROUNDDOWN(((INT(C6)+MOD(D6,1))-(INT(I6)+MOD(J6,1))),0)</f>
        <v>3</v>
      </c>
      <c r="S6" s="10"/>
    </row>
    <row r="7" customFormat="false" ht="13.8" hidden="false" customHeight="false" outlineLevel="0" collapsed="false">
      <c r="A7" s="8" t="s">
        <v>28</v>
      </c>
      <c r="B7" s="8" t="s">
        <v>32</v>
      </c>
      <c r="C7" s="18" t="n">
        <v>45274.375</v>
      </c>
      <c r="D7" s="19" t="n">
        <v>45274.375</v>
      </c>
      <c r="E7" s="18" t="n">
        <v>45274.7083333333</v>
      </c>
      <c r="F7" s="19" t="n">
        <v>0</v>
      </c>
      <c r="G7" s="20" t="n">
        <v>2000</v>
      </c>
      <c r="I7" s="10" t="n">
        <v>45273</v>
      </c>
      <c r="J7" s="11" t="n">
        <v>0.802916666667442</v>
      </c>
      <c r="K7" s="1" t="s">
        <v>35</v>
      </c>
      <c r="L7" s="12" t="n">
        <f aca="false">((INT(E7)+MOD(F7,1))-(INT(C7)+MOD(D7,1)))*24</f>
        <v>-9</v>
      </c>
      <c r="M7" s="1" t="n">
        <f aca="false">IFERROR(INDEX(Sheet3!$B$2:$B$500,MATCH(1,(INT(C7)+MOD(D7,1)&lt;INT(Sheet3!$A$2:$A$500)+TIME(18,0,0))*(INT(E7)+MOD(F7,1)&gt;=INT(Sheet3!$A$2:$A$500)),0)),0)</f>
        <v>0</v>
      </c>
      <c r="N7" s="1" t="n">
        <f aca="false">IF(OR( AND(Q7=6,D7&gt;=TIME(17,0,0),OR(K7="12H Night",K7="Couple Half Night",K7="24H Night",K7="Couple Full Night")), AND(Q7=7,D7&gt;=TIME(6,0,0),D7&lt;TIME(12,0,0),OR(K7="12H Day",K7="Couple Half Day",K7="24H Day",K7="Couple Full Day")) ),1,0)</f>
        <v>0</v>
      </c>
      <c r="O7" s="1" t="n">
        <f aca="false">IF(OR( AND(MONTH(C7)=12,DAY(C7)&gt;=26), AND(MONTH(C7)=4,DAY(C7)&gt;=15), MONTH(C7)=5, AND(MONTH(C7)=6,DAY(C7)&lt;=10) ),1,0)</f>
        <v>0</v>
      </c>
      <c r="P7" s="1" t="str">
        <f aca="false">IF(OR(MONTH(C7)=3,MONTH(C7)=4,MONTH(C7)=5,MONTH(C7)=6), "Summer", IF(OR(MONTH(C7)=7,MONTH(C7)=8,MONTH(C7)=9,MONTH(C7)=10), "Monsoon", "Winter"))</f>
        <v>Winter</v>
      </c>
      <c r="Q7" s="1" t="n">
        <f aca="false">WEEKDAY(C7,2)</f>
        <v>4</v>
      </c>
      <c r="R7" s="0" t="n">
        <f aca="false">ROUNDDOWN(((INT(C7)+MOD(D7,1))-(INT(I7)+MOD(J7,1))),0)</f>
        <v>0</v>
      </c>
      <c r="S7" s="10"/>
    </row>
    <row r="8" customFormat="false" ht="13.8" hidden="false" customHeight="false" outlineLevel="0" collapsed="false">
      <c r="A8" s="8" t="s">
        <v>28</v>
      </c>
      <c r="B8" s="8" t="s">
        <v>36</v>
      </c>
      <c r="C8" s="18" t="n">
        <v>45275.375</v>
      </c>
      <c r="D8" s="19" t="n">
        <v>45275.375</v>
      </c>
      <c r="E8" s="18" t="n">
        <v>45275.7083333333</v>
      </c>
      <c r="F8" s="19" t="n">
        <v>0</v>
      </c>
      <c r="G8" s="20" t="n">
        <v>1200</v>
      </c>
      <c r="I8" s="10" t="n">
        <v>45275</v>
      </c>
      <c r="J8" s="11" t="n">
        <v>0.0199421296274537</v>
      </c>
      <c r="K8" s="1" t="s">
        <v>35</v>
      </c>
      <c r="L8" s="12" t="n">
        <f aca="false">((INT(E8)+MOD(F8,1))-(INT(C8)+MOD(D8,1)))*24</f>
        <v>-9</v>
      </c>
      <c r="M8" s="1" t="n">
        <f aca="false">IFERROR(INDEX(Sheet3!$B$2:$B$500,MATCH(1,(INT(C8)+MOD(D8,1)&lt;INT(Sheet3!$A$2:$A$500)+TIME(18,0,0))*(INT(E8)+MOD(F8,1)&gt;=INT(Sheet3!$A$2:$A$500)),0)),0)</f>
        <v>0</v>
      </c>
      <c r="N8" s="1" t="n">
        <f aca="false">IF(OR( AND(Q8=6,D8&gt;=TIME(17,0,0),OR(K8="12H Night",K8="Couple Half Night",K8="24H Night",K8="Couple Full Night")), AND(Q8=7,D8&gt;=TIME(6,0,0),D8&lt;TIME(12,0,0),OR(K8="12H Day",K8="Couple Half Day",K8="24H Day",K8="Couple Full Day")) ),1,0)</f>
        <v>0</v>
      </c>
      <c r="O8" s="1" t="n">
        <f aca="false">IF(OR( AND(MONTH(C8)=12,DAY(C8)&gt;=26), AND(MONTH(C8)=4,DAY(C8)&gt;=15), MONTH(C8)=5, AND(MONTH(C8)=6,DAY(C8)&lt;=10) ),1,0)</f>
        <v>0</v>
      </c>
      <c r="P8" s="1" t="str">
        <f aca="false">IF(OR(MONTH(C8)=3,MONTH(C8)=4,MONTH(C8)=5,MONTH(C8)=6), "Summer", IF(OR(MONTH(C8)=7,MONTH(C8)=8,MONTH(C8)=9,MONTH(C8)=10), "Monsoon", "Winter"))</f>
        <v>Winter</v>
      </c>
      <c r="Q8" s="1" t="n">
        <f aca="false">WEEKDAY(C8,2)</f>
        <v>5</v>
      </c>
      <c r="R8" s="0" t="n">
        <f aca="false">ROUNDDOWN(((INT(C8)+MOD(D8,1))-(INT(I8)+MOD(J8,1))),0)</f>
        <v>0</v>
      </c>
      <c r="S8" s="10"/>
    </row>
    <row r="9" customFormat="false" ht="13.8" hidden="false" customHeight="false" outlineLevel="0" collapsed="false">
      <c r="A9" s="8" t="s">
        <v>28</v>
      </c>
      <c r="B9" s="8" t="s">
        <v>32</v>
      </c>
      <c r="C9" s="18" t="n">
        <v>45278.3333333333</v>
      </c>
      <c r="D9" s="19" t="n">
        <v>0</v>
      </c>
      <c r="E9" s="18" t="n">
        <v>45278.6666666667</v>
      </c>
      <c r="F9" s="19" t="n">
        <v>45278.6666666667</v>
      </c>
      <c r="G9" s="20" t="n">
        <v>2000</v>
      </c>
      <c r="I9" s="10" t="n">
        <v>45278</v>
      </c>
      <c r="J9" s="11" t="n">
        <v>0.317916666666863</v>
      </c>
      <c r="K9" s="1" t="s">
        <v>35</v>
      </c>
      <c r="L9" s="12" t="n">
        <f aca="false">((INT(E9)+MOD(F9,1))-(INT(C9)+MOD(D9,1)))*24</f>
        <v>16.0000000009895</v>
      </c>
      <c r="M9" s="1" t="n">
        <f aca="false">IFERROR(INDEX(Sheet3!$B$2:$B$500,MATCH(1,(INT(C9)+MOD(D9,1)&lt;INT(Sheet3!$A$2:$A$500)+TIME(18,0,0))*(INT(E9)+MOD(F9,1)&gt;=INT(Sheet3!$A$2:$A$500)),0)),0)</f>
        <v>0</v>
      </c>
      <c r="N9" s="1" t="n">
        <f aca="false">IF(OR( AND(Q9=6,D9&gt;=TIME(17,0,0),OR(K9="12H Night",K9="Couple Half Night",K9="24H Night",K9="Couple Full Night")), AND(Q9=7,D9&gt;=TIME(6,0,0),D9&lt;TIME(12,0,0),OR(K9="12H Day",K9="Couple Half Day",K9="24H Day",K9="Couple Full Day")) ),1,0)</f>
        <v>0</v>
      </c>
      <c r="O9" s="1" t="n">
        <f aca="false">IF(OR( AND(MONTH(C9)=12,DAY(C9)&gt;=26), AND(MONTH(C9)=4,DAY(C9)&gt;=15), MONTH(C9)=5, AND(MONTH(C9)=6,DAY(C9)&lt;=10) ),1,0)</f>
        <v>0</v>
      </c>
      <c r="P9" s="1" t="str">
        <f aca="false">IF(OR(MONTH(C9)=3,MONTH(C9)=4,MONTH(C9)=5,MONTH(C9)=6), "Summer", IF(OR(MONTH(C9)=7,MONTH(C9)=8,MONTH(C9)=9,MONTH(C9)=10), "Monsoon", "Winter"))</f>
        <v>Winter</v>
      </c>
      <c r="Q9" s="1" t="n">
        <f aca="false">WEEKDAY(C9,2)</f>
        <v>1</v>
      </c>
      <c r="R9" s="0" t="n">
        <f aca="false">ROUNDDOWN(((INT(C9)+MOD(D9,1))-(INT(I9)+MOD(J9,1))),0)</f>
        <v>-0</v>
      </c>
      <c r="S9" s="10"/>
    </row>
    <row r="10" customFormat="false" ht="13.8" hidden="false" customHeight="false" outlineLevel="0" collapsed="false">
      <c r="A10" s="8" t="s">
        <v>37</v>
      </c>
      <c r="B10" s="8" t="s">
        <v>38</v>
      </c>
      <c r="C10" s="18" t="n">
        <v>45278.7916666667</v>
      </c>
      <c r="D10" s="19" t="n">
        <v>45278.7916666667</v>
      </c>
      <c r="E10" s="18" t="n">
        <v>45279.25</v>
      </c>
      <c r="F10" s="19" t="n">
        <v>45279.25</v>
      </c>
      <c r="G10" s="20" t="n">
        <v>2500</v>
      </c>
      <c r="I10" s="10" t="n">
        <v>45278</v>
      </c>
      <c r="J10" s="11" t="n">
        <v>0.528298611112407</v>
      </c>
      <c r="K10" s="1" t="str">
        <f aca="false">IF(L10&gt;24,     IF(H10=2,"Couple Extended Day","Extended Day"), IF(L10&lt;=12,     IF(AND(D10&gt;=TIME(6,0,0),D10&lt;TIME(17,0,0)),         IF(H10=2,"Couple Half Day","12H Day"),         IF(H10=2,"Couple Half Night","12H Night")), IF(L10&lt;=24,     IF(AND(D10&gt;=TIME(6,0,0),D10&lt;TIME(17,0,0)),         IF(H10=2,"Couple Full Day","24H Day"),         IF(H10=2,"Couple Full Night","24H Night")), "Check Data")))</f>
        <v>12H Night</v>
      </c>
      <c r="L10" s="12" t="n">
        <f aca="false">((INT(E10)+MOD(F10,1))-(INT(C10)+MOD(D10,1)))*24</f>
        <v>10.9999999990105</v>
      </c>
      <c r="M10" s="1" t="n">
        <f aca="false">IFERROR(INDEX(Sheet3!$B$2:$B$500,MATCH(1,(INT(C10)+MOD(D10,1)&lt;INT(Sheet3!$A$2:$A$500)+TIME(18,0,0))*(INT(E10)+MOD(F10,1)&gt;=INT(Sheet3!$A$2:$A$500)),0)),0)</f>
        <v>0</v>
      </c>
      <c r="N10" s="1" t="n">
        <f aca="false">IF(OR( AND(Q10=6,D10&gt;=TIME(17,0,0),OR(K10="12H Night",K10="Couple Half Night",K10="24H Night",K10="Couple Full Night")), AND(Q10=7,D10&gt;=TIME(6,0,0),D10&lt;TIME(12,0,0),OR(K10="12H Day",K10="Couple Half Day",K10="24H Day",K10="Couple Full Day")) ),1,0)</f>
        <v>0</v>
      </c>
      <c r="O10" s="1" t="n">
        <f aca="false">IF(OR( AND(MONTH(C10)=12,DAY(C10)&gt;=26), AND(MONTH(C10)=4,DAY(C10)&gt;=15), MONTH(C10)=5, AND(MONTH(C10)=6,DAY(C10)&lt;=10) ),1,0)</f>
        <v>0</v>
      </c>
      <c r="P10" s="1" t="str">
        <f aca="false">IF(OR(MONTH(C10)=3,MONTH(C10)=4,MONTH(C10)=5,MONTH(C10)=6), "Summer", IF(OR(MONTH(C10)=7,MONTH(C10)=8,MONTH(C10)=9,MONTH(C10)=10), "Monsoon", "Winter"))</f>
        <v>Winter</v>
      </c>
      <c r="Q10" s="1" t="n">
        <f aca="false">WEEKDAY(C10,2)</f>
        <v>1</v>
      </c>
      <c r="R10" s="0" t="n">
        <f aca="false">ROUNDDOWN(((INT(C10)+MOD(D10,1))-(INT(I10)+MOD(J10,1))),0)</f>
        <v>0</v>
      </c>
      <c r="S10" s="10"/>
    </row>
    <row r="11" customFormat="false" ht="13.8" hidden="false" customHeight="false" outlineLevel="0" collapsed="false">
      <c r="A11" s="8" t="s">
        <v>28</v>
      </c>
      <c r="B11" s="8" t="s">
        <v>39</v>
      </c>
      <c r="C11" s="18" t="n">
        <v>45280.4583333333</v>
      </c>
      <c r="D11" s="19" t="n">
        <v>0</v>
      </c>
      <c r="E11" s="18" t="n">
        <v>45280.875</v>
      </c>
      <c r="F11" s="19" t="n">
        <v>45280.875</v>
      </c>
      <c r="G11" s="20" t="n">
        <v>2700</v>
      </c>
      <c r="I11" s="10" t="n">
        <v>45279</v>
      </c>
      <c r="J11" s="11" t="n">
        <v>0.644641203703947</v>
      </c>
      <c r="K11" s="1" t="s">
        <v>35</v>
      </c>
      <c r="L11" s="12" t="n">
        <f aca="false">((INT(E11)+MOD(F11,1))-(INT(C11)+MOD(D11,1)))*24</f>
        <v>21</v>
      </c>
      <c r="M11" s="1" t="n">
        <f aca="false">IFERROR(INDEX(Sheet3!$B$2:$B$500,MATCH(1,(INT(C11)+MOD(D11,1)&lt;INT(Sheet3!$A$2:$A$500)+TIME(18,0,0))*(INT(E11)+MOD(F11,1)&gt;=INT(Sheet3!$A$2:$A$500)),0)),0)</f>
        <v>0</v>
      </c>
      <c r="N11" s="1" t="n">
        <f aca="false">IF(OR( AND(Q11=6,D11&gt;=TIME(17,0,0),OR(K11="12H Night",K11="Couple Half Night",K11="24H Night",K11="Couple Full Night")), AND(Q11=7,D11&gt;=TIME(6,0,0),D11&lt;TIME(12,0,0),OR(K11="12H Day",K11="Couple Half Day",K11="24H Day",K11="Couple Full Day")) ),1,0)</f>
        <v>0</v>
      </c>
      <c r="O11" s="1" t="n">
        <f aca="false">IF(OR( AND(MONTH(C11)=12,DAY(C11)&gt;=26), AND(MONTH(C11)=4,DAY(C11)&gt;=15), MONTH(C11)=5, AND(MONTH(C11)=6,DAY(C11)&lt;=10) ),1,0)</f>
        <v>0</v>
      </c>
      <c r="P11" s="1" t="str">
        <f aca="false">IF(OR(MONTH(C11)=3,MONTH(C11)=4,MONTH(C11)=5,MONTH(C11)=6), "Summer", IF(OR(MONTH(C11)=7,MONTH(C11)=8,MONTH(C11)=9,MONTH(C11)=10), "Monsoon", "Winter"))</f>
        <v>Winter</v>
      </c>
      <c r="Q11" s="1" t="n">
        <f aca="false">WEEKDAY(C11,2)</f>
        <v>3</v>
      </c>
      <c r="R11" s="0" t="n">
        <f aca="false">ROUNDDOWN(((INT(C11)+MOD(D11,1))-(INT(I11)+MOD(J11,1))),0)</f>
        <v>0</v>
      </c>
      <c r="S11" s="10"/>
    </row>
    <row r="12" customFormat="false" ht="13.8" hidden="false" customHeight="false" outlineLevel="0" collapsed="false">
      <c r="A12" s="8" t="s">
        <v>28</v>
      </c>
      <c r="B12" s="8" t="s">
        <v>40</v>
      </c>
      <c r="C12" s="18" t="n">
        <v>45281.4166666667</v>
      </c>
      <c r="D12" s="19" t="n">
        <v>45281.4166666667</v>
      </c>
      <c r="E12" s="18" t="n">
        <v>45281.9166666667</v>
      </c>
      <c r="F12" s="19" t="n">
        <v>45281.9166666667</v>
      </c>
      <c r="G12" s="20" t="n">
        <v>3300</v>
      </c>
      <c r="I12" s="10" t="n">
        <v>45277</v>
      </c>
      <c r="J12" s="11" t="n">
        <v>0.676168981481169</v>
      </c>
      <c r="K12" s="1" t="s">
        <v>35</v>
      </c>
      <c r="L12" s="12" t="n">
        <f aca="false">((INT(E12)+MOD(F12,1))-(INT(C12)+MOD(D12,1)))*24</f>
        <v>12</v>
      </c>
      <c r="M12" s="1" t="n">
        <f aca="false">IFERROR(INDEX(Sheet3!$B$2:$B$500,MATCH(1,(INT(C12)+MOD(D12,1)&lt;INT(Sheet3!$A$2:$A$500)+TIME(18,0,0))*(INT(E12)+MOD(F12,1)&gt;=INT(Sheet3!$A$2:$A$500)),0)),0)</f>
        <v>0</v>
      </c>
      <c r="N12" s="1" t="n">
        <f aca="false">IF(OR( AND(Q12=6,D12&gt;=TIME(17,0,0),OR(K12="12H Night",K12="Couple Half Night",K12="24H Night",K12="Couple Full Night")), AND(Q12=7,D12&gt;=TIME(6,0,0),D12&lt;TIME(12,0,0),OR(K12="12H Day",K12="Couple Half Day",K12="24H Day",K12="Couple Full Day")) ),1,0)</f>
        <v>0</v>
      </c>
      <c r="O12" s="1" t="n">
        <f aca="false">IF(OR( AND(MONTH(C12)=12,DAY(C12)&gt;=26), AND(MONTH(C12)=4,DAY(C12)&gt;=15), MONTH(C12)=5, AND(MONTH(C12)=6,DAY(C12)&lt;=10) ),1,0)</f>
        <v>0</v>
      </c>
      <c r="P12" s="1" t="str">
        <f aca="false">IF(OR(MONTH(C12)=3,MONTH(C12)=4,MONTH(C12)=5,MONTH(C12)=6), "Summer", IF(OR(MONTH(C12)=7,MONTH(C12)=8,MONTH(C12)=9,MONTH(C12)=10), "Monsoon", "Winter"))</f>
        <v>Winter</v>
      </c>
      <c r="Q12" s="1" t="n">
        <f aca="false">WEEKDAY(C12,2)</f>
        <v>4</v>
      </c>
      <c r="R12" s="0" t="n">
        <f aca="false">ROUNDDOWN(((INT(C12)+MOD(D12,1))-(INT(I12)+MOD(J12,1))),0)</f>
        <v>3</v>
      </c>
      <c r="S12" s="10"/>
    </row>
    <row r="13" customFormat="false" ht="13.8" hidden="false" customHeight="false" outlineLevel="0" collapsed="false">
      <c r="A13" s="8" t="s">
        <v>37</v>
      </c>
      <c r="B13" s="8" t="s">
        <v>32</v>
      </c>
      <c r="C13" s="18" t="n">
        <v>45282.375</v>
      </c>
      <c r="D13" s="19" t="n">
        <v>45282.375</v>
      </c>
      <c r="E13" s="18" t="n">
        <v>45282.75</v>
      </c>
      <c r="F13" s="19" t="n">
        <v>45282.75</v>
      </c>
      <c r="G13" s="20" t="n">
        <v>2000</v>
      </c>
      <c r="I13" s="10" t="n">
        <v>45280</v>
      </c>
      <c r="J13" s="11" t="n">
        <v>0.504907407404965</v>
      </c>
      <c r="K13" s="1" t="s">
        <v>35</v>
      </c>
      <c r="L13" s="12" t="n">
        <f aca="false">((INT(E13)+MOD(F13,1))-(INT(C13)+MOD(D13,1)))*24</f>
        <v>9</v>
      </c>
      <c r="M13" s="1" t="n">
        <f aca="false">IFERROR(INDEX(Sheet3!$B$2:$B$500,MATCH(1,(INT(C13)+MOD(D13,1)&lt;INT(Sheet3!$A$2:$A$500)+TIME(18,0,0))*(INT(E13)+MOD(F13,1)&gt;=INT(Sheet3!$A$2:$A$500)),0)),0)</f>
        <v>0</v>
      </c>
      <c r="N13" s="1" t="n">
        <f aca="false">IF(OR( AND(Q13=6,D13&gt;=TIME(17,0,0),OR(K13="12H Night",K13="Couple Half Night",K13="24H Night",K13="Couple Full Night")), AND(Q13=7,D13&gt;=TIME(6,0,0),D13&lt;TIME(12,0,0),OR(K13="12H Day",K13="Couple Half Day",K13="24H Day",K13="Couple Full Day")) ),1,0)</f>
        <v>0</v>
      </c>
      <c r="O13" s="1" t="n">
        <f aca="false">IF(OR( AND(MONTH(C13)=12,DAY(C13)&gt;=26), AND(MONTH(C13)=4,DAY(C13)&gt;=15), MONTH(C13)=5, AND(MONTH(C13)=6,DAY(C13)&lt;=10) ),1,0)</f>
        <v>0</v>
      </c>
      <c r="P13" s="1" t="str">
        <f aca="false">IF(OR(MONTH(C13)=3,MONTH(C13)=4,MONTH(C13)=5,MONTH(C13)=6), "Summer", IF(OR(MONTH(C13)=7,MONTH(C13)=8,MONTH(C13)=9,MONTH(C13)=10), "Monsoon", "Winter"))</f>
        <v>Winter</v>
      </c>
      <c r="Q13" s="1" t="n">
        <f aca="false">WEEKDAY(C13,2)</f>
        <v>5</v>
      </c>
      <c r="R13" s="0" t="n">
        <f aca="false">ROUNDDOWN(((INT(C13)+MOD(D13,1))-(INT(I13)+MOD(J13,1))),0)</f>
        <v>1</v>
      </c>
      <c r="S13" s="10"/>
    </row>
    <row r="14" customFormat="false" ht="13.8" hidden="false" customHeight="false" outlineLevel="0" collapsed="false">
      <c r="A14" s="8" t="s">
        <v>28</v>
      </c>
      <c r="B14" s="8" t="s">
        <v>34</v>
      </c>
      <c r="C14" s="18" t="n">
        <v>45283.2916666667</v>
      </c>
      <c r="D14" s="19" t="n">
        <v>45283.2916666667</v>
      </c>
      <c r="E14" s="18" t="n">
        <v>45283.75</v>
      </c>
      <c r="F14" s="19" t="n">
        <v>45283.75</v>
      </c>
      <c r="G14" s="20" t="n">
        <v>2800</v>
      </c>
      <c r="I14" s="10" t="n">
        <v>45277</v>
      </c>
      <c r="J14" s="11" t="n">
        <v>0.655370370368472</v>
      </c>
      <c r="K14" s="1" t="s">
        <v>35</v>
      </c>
      <c r="L14" s="12" t="n">
        <f aca="false">((INT(E14)+MOD(F14,1))-(INT(C14)+MOD(D14,1)))*24</f>
        <v>10.9999999990105</v>
      </c>
      <c r="M14" s="1" t="n">
        <f aca="false">IFERROR(INDEX(Sheet3!$B$2:$B$500,MATCH(1,(INT(C14)+MOD(D14,1)&lt;INT(Sheet3!$A$2:$A$500)+TIME(18,0,0))*(INT(E14)+MOD(F14,1)&gt;=INT(Sheet3!$A$2:$A$500)),0)),0)</f>
        <v>0</v>
      </c>
      <c r="N14" s="1" t="n">
        <f aca="false">IF(OR( AND(Q14=6,D14&gt;=TIME(17,0,0),OR(K14="12H Night",K14="Couple Half Night",K14="24H Night",K14="Couple Full Night")), AND(Q14=7,D14&gt;=TIME(6,0,0),D14&lt;TIME(12,0,0),OR(K14="12H Day",K14="Couple Half Day",K14="24H Day",K14="Couple Full Day")) ),1,0)</f>
        <v>0</v>
      </c>
      <c r="O14" s="1" t="n">
        <f aca="false">IF(OR( AND(MONTH(C14)=12,DAY(C14)&gt;=26), AND(MONTH(C14)=4,DAY(C14)&gt;=15), MONTH(C14)=5, AND(MONTH(C14)=6,DAY(C14)&lt;=10) ),1,0)</f>
        <v>0</v>
      </c>
      <c r="P14" s="1" t="str">
        <f aca="false">IF(OR(MONTH(C14)=3,MONTH(C14)=4,MONTH(C14)=5,MONTH(C14)=6), "Summer", IF(OR(MONTH(C14)=7,MONTH(C14)=8,MONTH(C14)=9,MONTH(C14)=10), "Monsoon", "Winter"))</f>
        <v>Winter</v>
      </c>
      <c r="Q14" s="1" t="n">
        <f aca="false">WEEKDAY(C14,2)</f>
        <v>6</v>
      </c>
      <c r="R14" s="0" t="n">
        <f aca="false">ROUNDDOWN(((INT(C14)+MOD(D14,1))-(INT(I14)+MOD(J14,1))),0)</f>
        <v>5</v>
      </c>
      <c r="S14" s="10"/>
    </row>
    <row r="15" customFormat="false" ht="13.8" hidden="false" customHeight="false" outlineLevel="0" collapsed="false">
      <c r="A15" s="8" t="s">
        <v>37</v>
      </c>
      <c r="B15" s="8" t="s">
        <v>41</v>
      </c>
      <c r="C15" s="18" t="n">
        <v>45283.7916666667</v>
      </c>
      <c r="D15" s="19" t="n">
        <v>45283.7916666667</v>
      </c>
      <c r="E15" s="18" t="n">
        <v>45284.75</v>
      </c>
      <c r="F15" s="19" t="n">
        <v>45284.75</v>
      </c>
      <c r="G15" s="20" t="n">
        <v>4500</v>
      </c>
      <c r="I15" s="10" t="n">
        <v>45279</v>
      </c>
      <c r="J15" s="11" t="n">
        <v>0.653680555551551</v>
      </c>
      <c r="K15" s="1" t="str">
        <f aca="false">IF(L15&gt;24,     IF(H15=2,"Couple Extended Day","Extended Day"), IF(L15&lt;=12,     IF(AND(D15&gt;=TIME(6,0,0),D15&lt;TIME(17,0,0)),         IF(H15=2,"Couple Half Day","12H Day"),         IF(H15=2,"Couple Half Night","12H Night")), IF(L15&lt;=24,     IF(AND(D15&gt;=TIME(6,0,0),D15&lt;TIME(17,0,0)),         IF(H15=2,"Couple Full Day","24H Day"),         IF(H15=2,"Couple Full Night","24H Night")), "Check Data")))</f>
        <v>24H Night</v>
      </c>
      <c r="L15" s="12" t="n">
        <f aca="false">((INT(E15)+MOD(F15,1))-(INT(C15)+MOD(D15,1)))*24</f>
        <v>22.9999999990105</v>
      </c>
      <c r="M15" s="1" t="n">
        <f aca="false">IFERROR(INDEX(Sheet3!$B$2:$B$500,MATCH(1,(INT(C15)+MOD(D15,1)&lt;INT(Sheet3!$A$2:$A$500)+TIME(18,0,0))*(INT(E15)+MOD(F15,1)&gt;=INT(Sheet3!$A$2:$A$500)),0)),0)</f>
        <v>0</v>
      </c>
      <c r="N15" s="1" t="n">
        <f aca="false">IF(OR( AND(Q15=6,D15&gt;=TIME(17,0,0),OR(K15="12H Night",K15="Couple Half Night",K15="24H Night",K15="Couple Full Night")), AND(Q15=7,D15&gt;=TIME(6,0,0),D15&lt;TIME(12,0,0),OR(K15="12H Day",K15="Couple Half Day",K15="24H Day",K15="Couple Full Day")) ),1,0)</f>
        <v>1</v>
      </c>
      <c r="O15" s="1" t="n">
        <f aca="false">IF(OR( AND(MONTH(C15)=12,DAY(C15)&gt;=26), AND(MONTH(C15)=4,DAY(C15)&gt;=15), MONTH(C15)=5, AND(MONTH(C15)=6,DAY(C15)&lt;=10) ),1,0)</f>
        <v>0</v>
      </c>
      <c r="P15" s="1" t="str">
        <f aca="false">IF(OR(MONTH(C15)=3,MONTH(C15)=4,MONTH(C15)=5,MONTH(C15)=6), "Summer", IF(OR(MONTH(C15)=7,MONTH(C15)=8,MONTH(C15)=9,MONTH(C15)=10), "Monsoon", "Winter"))</f>
        <v>Winter</v>
      </c>
      <c r="Q15" s="1" t="n">
        <f aca="false">WEEKDAY(C15,2)</f>
        <v>6</v>
      </c>
      <c r="R15" s="0" t="n">
        <f aca="false">ROUNDDOWN(((INT(C15)+MOD(D15,1))-(INT(I15)+MOD(J15,1))),0)</f>
        <v>4</v>
      </c>
      <c r="S15" s="10"/>
    </row>
    <row r="16" customFormat="false" ht="13.8" hidden="false" customHeight="false" outlineLevel="0" collapsed="false">
      <c r="A16" s="8" t="s">
        <v>42</v>
      </c>
      <c r="B16" s="8" t="s">
        <v>43</v>
      </c>
      <c r="C16" s="18" t="n">
        <v>45287.25</v>
      </c>
      <c r="D16" s="19" t="n">
        <v>45287.25</v>
      </c>
      <c r="E16" s="18" t="n">
        <v>45287.75</v>
      </c>
      <c r="F16" s="19" t="n">
        <v>45287.75</v>
      </c>
      <c r="G16" s="20" t="n">
        <v>2500</v>
      </c>
      <c r="I16" s="10" t="n">
        <v>45276</v>
      </c>
      <c r="J16" s="11" t="n">
        <v>0.644756944442639</v>
      </c>
      <c r="K16" s="1" t="s">
        <v>35</v>
      </c>
      <c r="L16" s="12" t="n">
        <f aca="false">((INT(E16)+MOD(F16,1))-(INT(C16)+MOD(D16,1)))*24</f>
        <v>12</v>
      </c>
      <c r="M16" s="1" t="n">
        <f aca="false">IFERROR(INDEX(Sheet3!$B$2:$B$500,MATCH(1,(INT(C16)+MOD(D16,1)&lt;INT(Sheet3!$A$2:$A$500)+TIME(18,0,0))*(INT(E16)+MOD(F16,1)&gt;=INT(Sheet3!$A$2:$A$500)),0)),0)</f>
        <v>0</v>
      </c>
      <c r="N16" s="1" t="n">
        <f aca="false">IF(OR( AND(Q16=6,D16&gt;=TIME(17,0,0),OR(K16="12H Night",K16="Couple Half Night",K16="24H Night",K16="Couple Full Night")), AND(Q16=7,D16&gt;=TIME(6,0,0),D16&lt;TIME(12,0,0),OR(K16="12H Day",K16="Couple Half Day",K16="24H Day",K16="Couple Full Day")) ),1,0)</f>
        <v>0</v>
      </c>
      <c r="O16" s="1" t="n">
        <f aca="false">IF(OR( AND(MONTH(C16)=12,DAY(C16)&gt;=26), AND(MONTH(C16)=4,DAY(C16)&gt;=15), MONTH(C16)=5, AND(MONTH(C16)=6,DAY(C16)&lt;=10) ),1,0)</f>
        <v>1</v>
      </c>
      <c r="P16" s="1" t="str">
        <f aca="false">IF(OR(MONTH(C16)=3,MONTH(C16)=4,MONTH(C16)=5,MONTH(C16)=6), "Summer", IF(OR(MONTH(C16)=7,MONTH(C16)=8,MONTH(C16)=9,MONTH(C16)=10), "Monsoon", "Winter"))</f>
        <v>Winter</v>
      </c>
      <c r="Q16" s="1" t="n">
        <f aca="false">WEEKDAY(C16,2)</f>
        <v>3</v>
      </c>
      <c r="R16" s="0" t="n">
        <f aca="false">ROUNDDOWN(((INT(C16)+MOD(D16,1))-(INT(I16)+MOD(J16,1))),0)</f>
        <v>10</v>
      </c>
      <c r="S16" s="10"/>
    </row>
    <row r="17" customFormat="false" ht="25.35" hidden="false" customHeight="false" outlineLevel="0" collapsed="false">
      <c r="A17" s="8" t="s">
        <v>44</v>
      </c>
      <c r="B17" s="22" t="s">
        <v>45</v>
      </c>
      <c r="C17" s="18" t="n">
        <v>45288.8333333333</v>
      </c>
      <c r="D17" s="19" t="n">
        <v>0</v>
      </c>
      <c r="E17" s="18" t="n">
        <v>45289.3333333333</v>
      </c>
      <c r="F17" s="19" t="n">
        <v>0</v>
      </c>
      <c r="G17" s="20" t="n">
        <v>2500</v>
      </c>
      <c r="I17" s="10" t="n">
        <v>45283</v>
      </c>
      <c r="J17" s="11" t="n">
        <v>0.611180555555625</v>
      </c>
      <c r="K17" s="1" t="str">
        <f aca="false">IF(L17&gt;24,     IF(H17=2,"Couple Extended Day","Extended Day"), IF(L17&lt;=12,     IF(AND(D17&gt;=TIME(6,0,0),D17&lt;TIME(17,0,0)),         IF(H17=2,"Couple Half Day","12H Day"),         IF(H17=2,"Couple Half Night","12H Night")), IF(L17&lt;=24,     IF(AND(D17&gt;=TIME(6,0,0),D17&lt;TIME(17,0,0)),         IF(H17=2,"Couple Full Day","24H Day"),         IF(H17=2,"Couple Full Night","24H Night")), "Check Data")))</f>
        <v>24H Night</v>
      </c>
      <c r="L17" s="12" t="n">
        <f aca="false">((INT(E17)+MOD(F17,1))-(INT(C17)+MOD(D17,1)))*24</f>
        <v>24</v>
      </c>
      <c r="M17" s="1" t="n">
        <f aca="false">IFERROR(INDEX(Sheet3!$B$2:$B$500,MATCH(1,(INT(C17)+MOD(D17,1)&lt;INT(Sheet3!$A$2:$A$500)+TIME(18,0,0))*(INT(E17)+MOD(F17,1)&gt;=INT(Sheet3!$A$2:$A$500)),0)),0)</f>
        <v>0</v>
      </c>
      <c r="N17" s="1" t="n">
        <f aca="false">IF(OR( AND(Q17=6,D17&gt;=TIME(17,0,0),OR(K17="12H Night",K17="Couple Half Night",K17="24H Night",K17="Couple Full Night")), AND(Q17=7,D17&gt;=TIME(6,0,0),D17&lt;TIME(12,0,0),OR(K17="12H Day",K17="Couple Half Day",K17="24H Day",K17="Couple Full Day")) ),1,0)</f>
        <v>0</v>
      </c>
      <c r="O17" s="1" t="n">
        <f aca="false">IF(OR( AND(MONTH(C17)=12,DAY(C17)&gt;=26), AND(MONTH(C17)=4,DAY(C17)&gt;=15), MONTH(C17)=5, AND(MONTH(C17)=6,DAY(C17)&lt;=10) ),1,0)</f>
        <v>1</v>
      </c>
      <c r="P17" s="1" t="str">
        <f aca="false">IF(OR(MONTH(C17)=3,MONTH(C17)=4,MONTH(C17)=5,MONTH(C17)=6), "Summer", IF(OR(MONTH(C17)=7,MONTH(C17)=8,MONTH(C17)=9,MONTH(C17)=10), "Monsoon", "Winter"))</f>
        <v>Winter</v>
      </c>
      <c r="Q17" s="1" t="n">
        <f aca="false">WEEKDAY(C17,2)</f>
        <v>4</v>
      </c>
      <c r="R17" s="0" t="n">
        <f aca="false">ROUNDDOWN(((INT(C17)+MOD(D17,1))-(INT(I17)+MOD(J17,1))),0)</f>
        <v>4</v>
      </c>
      <c r="S17" s="10"/>
    </row>
    <row r="18" customFormat="false" ht="13.8" hidden="false" customHeight="false" outlineLevel="0" collapsed="false">
      <c r="A18" s="8" t="s">
        <v>46</v>
      </c>
      <c r="B18" s="8" t="s">
        <v>43</v>
      </c>
      <c r="C18" s="18" t="n">
        <v>45289.3333333333</v>
      </c>
      <c r="D18" s="19" t="n">
        <v>0</v>
      </c>
      <c r="E18" s="18" t="n">
        <v>45289.8333333333</v>
      </c>
      <c r="F18" s="19" t="n">
        <v>0</v>
      </c>
      <c r="G18" s="20" t="n">
        <v>2500</v>
      </c>
      <c r="I18" s="10" t="n">
        <v>45286</v>
      </c>
      <c r="J18" s="11" t="n">
        <v>0.626319444447292</v>
      </c>
      <c r="K18" s="1" t="s">
        <v>35</v>
      </c>
      <c r="L18" s="12" t="n">
        <f aca="false">((INT(E18)+MOD(F18,1))-(INT(C18)+MOD(D18,1)))*24</f>
        <v>0</v>
      </c>
      <c r="M18" s="1" t="n">
        <f aca="false">IFERROR(INDEX(Sheet3!$B$2:$B$500,MATCH(1,(INT(C18)+MOD(D18,1)&lt;INT(Sheet3!$A$2:$A$500)+TIME(18,0,0))*(INT(E18)+MOD(F18,1)&gt;=INT(Sheet3!$A$2:$A$500)),0)),0)</f>
        <v>0</v>
      </c>
      <c r="N18" s="1" t="n">
        <f aca="false">IF(OR( AND(Q18=6,D18&gt;=TIME(17,0,0),OR(K18="12H Night",K18="Couple Half Night",K18="24H Night",K18="Couple Full Night")), AND(Q18=7,D18&gt;=TIME(6,0,0),D18&lt;TIME(12,0,0),OR(K18="12H Day",K18="Couple Half Day",K18="24H Day",K18="Couple Full Day")) ),1,0)</f>
        <v>0</v>
      </c>
      <c r="O18" s="1" t="n">
        <f aca="false">IF(OR( AND(MONTH(C18)=12,DAY(C18)&gt;=26), AND(MONTH(C18)=4,DAY(C18)&gt;=15), MONTH(C18)=5, AND(MONTH(C18)=6,DAY(C18)&lt;=10) ),1,0)</f>
        <v>1</v>
      </c>
      <c r="P18" s="1" t="str">
        <f aca="false">IF(OR(MONTH(C18)=3,MONTH(C18)=4,MONTH(C18)=5,MONTH(C18)=6), "Summer", IF(OR(MONTH(C18)=7,MONTH(C18)=8,MONTH(C18)=9,MONTH(C18)=10), "Monsoon", "Winter"))</f>
        <v>Winter</v>
      </c>
      <c r="Q18" s="1" t="n">
        <f aca="false">WEEKDAY(C18,2)</f>
        <v>5</v>
      </c>
      <c r="R18" s="0" t="n">
        <f aca="false">ROUNDDOWN(((INT(C18)+MOD(D18,1))-(INT(I18)+MOD(J18,1))),0)</f>
        <v>2</v>
      </c>
      <c r="S18" s="10"/>
    </row>
    <row r="19" customFormat="false" ht="37.3" hidden="false" customHeight="false" outlineLevel="0" collapsed="false">
      <c r="A19" s="8" t="s">
        <v>47</v>
      </c>
      <c r="B19" s="22" t="s">
        <v>48</v>
      </c>
      <c r="C19" s="18" t="n">
        <v>45290.5416666667</v>
      </c>
      <c r="D19" s="19" t="n">
        <v>45290.5416666667</v>
      </c>
      <c r="E19" s="18" t="n">
        <v>45290.7291666667</v>
      </c>
      <c r="F19" s="19" t="n">
        <v>45290.7291666667</v>
      </c>
      <c r="G19" s="20" t="n">
        <v>1500</v>
      </c>
      <c r="I19" s="10" t="n">
        <v>45283</v>
      </c>
      <c r="J19" s="11" t="n">
        <v>0.461261574077072</v>
      </c>
      <c r="K19" s="1" t="s">
        <v>35</v>
      </c>
      <c r="L19" s="12" t="n">
        <f aca="false">((INT(E19)+MOD(F19,1))-(INT(C19)+MOD(D19,1)))*24</f>
        <v>4.5</v>
      </c>
      <c r="M19" s="1" t="n">
        <f aca="false">IFERROR(INDEX(Sheet3!$B$2:$B$500,MATCH(1,(INT(C19)+MOD(D19,1)&lt;INT(Sheet3!$A$2:$A$500)+TIME(18,0,0))*(INT(E19)+MOD(F19,1)&gt;=INT(Sheet3!$A$2:$A$500)),0)),0)</f>
        <v>0</v>
      </c>
      <c r="N19" s="1" t="n">
        <f aca="false">IF(OR( AND(Q19=6,D19&gt;=TIME(17,0,0),OR(K19="12H Night",K19="Couple Half Night",K19="24H Night",K19="Couple Full Night")), AND(Q19=7,D19&gt;=TIME(6,0,0),D19&lt;TIME(12,0,0),OR(K19="12H Day",K19="Couple Half Day",K19="24H Day",K19="Couple Full Day")) ),1,0)</f>
        <v>0</v>
      </c>
      <c r="O19" s="1" t="n">
        <f aca="false">IF(OR( AND(MONTH(C19)=12,DAY(C19)&gt;=26), AND(MONTH(C19)=4,DAY(C19)&gt;=15), MONTH(C19)=5, AND(MONTH(C19)=6,DAY(C19)&lt;=10) ),1,0)</f>
        <v>1</v>
      </c>
      <c r="P19" s="1" t="str">
        <f aca="false">IF(OR(MONTH(C19)=3,MONTH(C19)=4,MONTH(C19)=5,MONTH(C19)=6), "Summer", IF(OR(MONTH(C19)=7,MONTH(C19)=8,MONTH(C19)=9,MONTH(C19)=10), "Monsoon", "Winter"))</f>
        <v>Winter</v>
      </c>
      <c r="Q19" s="1" t="n">
        <f aca="false">WEEKDAY(C19,2)</f>
        <v>6</v>
      </c>
      <c r="R19" s="0" t="n">
        <f aca="false">ROUNDDOWN(((INT(C19)+MOD(D19,1))-(INT(I19)+MOD(J19,1))),0)</f>
        <v>7</v>
      </c>
      <c r="S19" s="10"/>
    </row>
    <row r="20" customFormat="false" ht="13.8" hidden="false" customHeight="false" outlineLevel="0" collapsed="false">
      <c r="A20" s="8" t="s">
        <v>37</v>
      </c>
      <c r="B20" s="8" t="s">
        <v>49</v>
      </c>
      <c r="C20" s="18" t="n">
        <v>45293.375</v>
      </c>
      <c r="D20" s="19" t="n">
        <v>45293.375</v>
      </c>
      <c r="E20" s="18" t="n">
        <v>45293.5</v>
      </c>
      <c r="F20" s="19" t="n">
        <v>45293.5</v>
      </c>
      <c r="G20" s="20" t="n">
        <v>1500</v>
      </c>
      <c r="I20" s="10" t="n">
        <v>45291</v>
      </c>
      <c r="J20" s="11" t="n">
        <v>0.437777777777222</v>
      </c>
      <c r="K20" s="1" t="s">
        <v>35</v>
      </c>
      <c r="L20" s="12" t="n">
        <f aca="false">((INT(E20)+MOD(F20,1))-(INT(C20)+MOD(D20,1)))*24</f>
        <v>3</v>
      </c>
      <c r="M20" s="1" t="n">
        <f aca="false">IFERROR(INDEX(Sheet3!$B$2:$B$500,MATCH(1,(INT(C20)+MOD(D20,1)&lt;INT(Sheet3!$A$2:$A$500)+TIME(18,0,0))*(INT(E20)+MOD(F20,1)&gt;=INT(Sheet3!$A$2:$A$500)),0)),0)</f>
        <v>0</v>
      </c>
      <c r="N20" s="1" t="n">
        <f aca="false">IF(OR( AND(Q20=6,D20&gt;=TIME(17,0,0),OR(K20="12H Night",K20="Couple Half Night",K20="24H Night",K20="Couple Full Night")), AND(Q20=7,D20&gt;=TIME(6,0,0),D20&lt;TIME(12,0,0),OR(K20="12H Day",K20="Couple Half Day",K20="24H Day",K20="Couple Full Day")) ),1,0)</f>
        <v>0</v>
      </c>
      <c r="O20" s="1" t="n">
        <f aca="false">IF(OR( AND(MONTH(C20)=12,DAY(C20)&gt;=26), AND(MONTH(C20)=4,DAY(C20)&gt;=15), MONTH(C20)=5, AND(MONTH(C20)=6,DAY(C20)&lt;=10) ),1,0)</f>
        <v>0</v>
      </c>
      <c r="P20" s="1" t="str">
        <f aca="false">IF(OR(MONTH(C20)=3,MONTH(C20)=4,MONTH(C20)=5,MONTH(C20)=6), "Summer", IF(OR(MONTH(C20)=7,MONTH(C20)=8,MONTH(C20)=9,MONTH(C20)=10), "Monsoon", "Winter"))</f>
        <v>Winter</v>
      </c>
      <c r="Q20" s="1" t="n">
        <f aca="false">WEEKDAY(C20,2)</f>
        <v>2</v>
      </c>
      <c r="R20" s="0" t="n">
        <f aca="false">ROUNDDOWN(((INT(C20)+MOD(D20,1))-(INT(I20)+MOD(J20,1))),0)</f>
        <v>1</v>
      </c>
      <c r="S20" s="10"/>
    </row>
    <row r="21" customFormat="false" ht="13.8" hidden="false" customHeight="false" outlineLevel="0" collapsed="false">
      <c r="A21" s="8" t="s">
        <v>50</v>
      </c>
      <c r="B21" s="8" t="s">
        <v>51</v>
      </c>
      <c r="C21" s="18" t="n">
        <v>45294.5</v>
      </c>
      <c r="D21" s="19" t="n">
        <v>45294.5</v>
      </c>
      <c r="E21" s="18" t="n">
        <v>45296.5</v>
      </c>
      <c r="F21" s="19" t="n">
        <v>45296.5</v>
      </c>
      <c r="G21" s="20" t="n">
        <v>8500</v>
      </c>
      <c r="I21" s="10" t="n">
        <v>45258</v>
      </c>
      <c r="J21" s="11" t="n">
        <v>0.924050925925255</v>
      </c>
      <c r="K21" s="1" t="str">
        <f aca="false">IF(L21&gt;24,     IF(H21=2,"Couple Extended Day","Extended Day"), IF(L21&lt;=12,     IF(AND(D21&gt;=TIME(6,0,0),D21&lt;TIME(17,0,0)),         IF(H21=2,"Couple Half Day","12H Day"),         IF(H21=2,"Couple Half Night","12H Night")), IF(L21&lt;=24,     IF(AND(D21&gt;=TIME(6,0,0),D21&lt;TIME(17,0,0)),         IF(H21=2,"Couple Full Day","24H Day"),         IF(H21=2,"Couple Full Night","24H Night")), "Check Data")))</f>
        <v>Extended Day</v>
      </c>
      <c r="L21" s="12" t="n">
        <f aca="false">((INT(E21)+MOD(F21,1))-(INT(C21)+MOD(D21,1)))*24</f>
        <v>48</v>
      </c>
      <c r="M21" s="1" t="n">
        <f aca="false">IFERROR(INDEX(Sheet3!$B$2:$B$500,MATCH(1,(INT(C21)+MOD(D21,1)&lt;INT(Sheet3!$A$2:$A$500)+TIME(18,0,0))*(INT(E21)+MOD(F21,1)&gt;=INT(Sheet3!$A$2:$A$500)),0)),0)</f>
        <v>0</v>
      </c>
      <c r="N21" s="1" t="n">
        <f aca="false">IF(OR( AND(Q21=6,D21&gt;=TIME(17,0,0),OR(K21="12H Night",K21="Couple Half Night",K21="24H Night",K21="Couple Full Night")), AND(Q21=7,D21&gt;=TIME(6,0,0),D21&lt;TIME(12,0,0),OR(K21="12H Day",K21="Couple Half Day",K21="24H Day",K21="Couple Full Day")) ),1,0)</f>
        <v>0</v>
      </c>
      <c r="O21" s="1" t="n">
        <f aca="false">IF(OR( AND(MONTH(C21)=12,DAY(C21)&gt;=26), AND(MONTH(C21)=4,DAY(C21)&gt;=15), MONTH(C21)=5, AND(MONTH(C21)=6,DAY(C21)&lt;=10) ),1,0)</f>
        <v>0</v>
      </c>
      <c r="P21" s="1" t="str">
        <f aca="false">IF(OR(MONTH(C21)=3,MONTH(C21)=4,MONTH(C21)=5,MONTH(C21)=6), "Summer", IF(OR(MONTH(C21)=7,MONTH(C21)=8,MONTH(C21)=9,MONTH(C21)=10), "Monsoon", "Winter"))</f>
        <v>Winter</v>
      </c>
      <c r="Q21" s="1" t="n">
        <f aca="false">WEEKDAY(C21,2)</f>
        <v>3</v>
      </c>
      <c r="R21" s="0" t="n">
        <f aca="false">ROUNDDOWN(((INT(C21)+MOD(D21,1))-(INT(I21)+MOD(J21,1))),0)</f>
        <v>35</v>
      </c>
      <c r="S21" s="10"/>
    </row>
    <row r="22" customFormat="false" ht="13.8" hidden="false" customHeight="false" outlineLevel="0" collapsed="false">
      <c r="A22" s="8" t="s">
        <v>52</v>
      </c>
      <c r="B22" s="8" t="s">
        <v>53</v>
      </c>
      <c r="C22" s="18" t="n">
        <v>45296.7916666667</v>
      </c>
      <c r="D22" s="19" t="n">
        <v>45296.7916666667</v>
      </c>
      <c r="E22" s="18" t="n">
        <v>45297.75</v>
      </c>
      <c r="F22" s="19" t="n">
        <v>45297.75</v>
      </c>
      <c r="G22" s="20" t="n">
        <v>3000</v>
      </c>
      <c r="I22" s="10" t="n">
        <v>45277</v>
      </c>
      <c r="J22" s="11" t="n">
        <v>0.577800925922928</v>
      </c>
      <c r="K22" s="1" t="str">
        <f aca="false">IF(L22&gt;24,     IF(H22=2,"Couple Extended Day","Extended Day"), IF(L22&lt;=12,     IF(AND(D22&gt;=TIME(6,0,0),D22&lt;TIME(17,0,0)),         IF(H22=2,"Couple Half Day","12H Day"),         IF(H22=2,"Couple Half Night","12H Night")), IF(L22&lt;=24,     IF(AND(D22&gt;=TIME(6,0,0),D22&lt;TIME(17,0,0)),         IF(H22=2,"Couple Full Day","24H Day"),         IF(H22=2,"Couple Full Night","24H Night")), "Check Data")))</f>
        <v>24H Night</v>
      </c>
      <c r="L22" s="12" t="n">
        <f aca="false">((INT(E22)+MOD(F22,1))-(INT(C22)+MOD(D22,1)))*24</f>
        <v>22.9999999990105</v>
      </c>
      <c r="M22" s="1" t="n">
        <f aca="false">IFERROR(INDEX(Sheet3!$B$2:$B$500,MATCH(1,(INT(C22)+MOD(D22,1)&lt;INT(Sheet3!$A$2:$A$500)+TIME(18,0,0))*(INT(E22)+MOD(F22,1)&gt;=INT(Sheet3!$A$2:$A$500)),0)),0)</f>
        <v>0</v>
      </c>
      <c r="N22" s="1" t="n">
        <f aca="false">IF(OR( AND(Q22=6,D22&gt;=TIME(17,0,0),OR(K22="12H Night",K22="Couple Half Night",K22="24H Night",K22="Couple Full Night")), AND(Q22=7,D22&gt;=TIME(6,0,0),D22&lt;TIME(12,0,0),OR(K22="12H Day",K22="Couple Half Day",K22="24H Day",K22="Couple Full Day")) ),1,0)</f>
        <v>0</v>
      </c>
      <c r="O22" s="1" t="n">
        <f aca="false">IF(OR( AND(MONTH(C22)=12,DAY(C22)&gt;=26), AND(MONTH(C22)=4,DAY(C22)&gt;=15), MONTH(C22)=5, AND(MONTH(C22)=6,DAY(C22)&lt;=10) ),1,0)</f>
        <v>0</v>
      </c>
      <c r="P22" s="1" t="str">
        <f aca="false">IF(OR(MONTH(C22)=3,MONTH(C22)=4,MONTH(C22)=5,MONTH(C22)=6), "Summer", IF(OR(MONTH(C22)=7,MONTH(C22)=8,MONTH(C22)=9,MONTH(C22)=10), "Monsoon", "Winter"))</f>
        <v>Winter</v>
      </c>
      <c r="Q22" s="1" t="n">
        <f aca="false">WEEKDAY(C22,2)</f>
        <v>5</v>
      </c>
      <c r="R22" s="0" t="n">
        <f aca="false">ROUNDDOWN(((INT(C22)+MOD(D22,1))-(INT(I22)+MOD(J22,1))),0)</f>
        <v>19</v>
      </c>
      <c r="S22" s="10"/>
    </row>
    <row r="23" customFormat="false" ht="49.25" hidden="false" customHeight="false" outlineLevel="0" collapsed="false">
      <c r="A23" s="8" t="s">
        <v>54</v>
      </c>
      <c r="B23" s="22" t="s">
        <v>55</v>
      </c>
      <c r="C23" s="18" t="n">
        <v>45297.75</v>
      </c>
      <c r="D23" s="19" t="n">
        <v>45297.75</v>
      </c>
      <c r="E23" s="18" t="n">
        <v>45298.25</v>
      </c>
      <c r="F23" s="19" t="n">
        <v>45298.25</v>
      </c>
      <c r="G23" s="20" t="n">
        <v>3000</v>
      </c>
      <c r="I23" s="10" t="n">
        <v>45292</v>
      </c>
      <c r="J23" s="11" t="n">
        <v>0.690115740741019</v>
      </c>
      <c r="K23" s="1" t="str">
        <f aca="false">IF(L23&gt;24,     IF(H23=2,"Couple Extended Day","Extended Day"), IF(L23&lt;=12,     IF(AND(D23&gt;=TIME(6,0,0),D23&lt;TIME(17,0,0)),         IF(H23=2,"Couple Half Day","12H Day"),         IF(H23=2,"Couple Half Night","12H Night")), IF(L23&lt;=24,     IF(AND(D23&gt;=TIME(6,0,0),D23&lt;TIME(17,0,0)),         IF(H23=2,"Couple Full Day","24H Day"),         IF(H23=2,"Couple Full Night","24H Night")), "Check Data")))</f>
        <v>12H Night</v>
      </c>
      <c r="L23" s="12" t="n">
        <f aca="false">((INT(E23)+MOD(F23,1))-(INT(C23)+MOD(D23,1)))*24</f>
        <v>12</v>
      </c>
      <c r="M23" s="1" t="n">
        <f aca="false">IFERROR(INDEX(Sheet3!$B$2:$B$500,MATCH(1,(INT(C23)+MOD(D23,1)&lt;INT(Sheet3!$A$2:$A$500)+TIME(18,0,0))*(INT(E23)+MOD(F23,1)&gt;=INT(Sheet3!$A$2:$A$500)),0)),0)</f>
        <v>0</v>
      </c>
      <c r="N23" s="1" t="n">
        <f aca="false">IF(OR( AND(Q23=6,D23&gt;=TIME(17,0,0),OR(K23="12H Night",K23="Couple Half Night",K23="24H Night",K23="Couple Full Night")), AND(Q23=7,D23&gt;=TIME(6,0,0),D23&lt;TIME(12,0,0),OR(K23="12H Day",K23="Couple Half Day",K23="24H Day",K23="Couple Full Day")) ),1,0)</f>
        <v>1</v>
      </c>
      <c r="O23" s="1" t="n">
        <f aca="false">IF(OR( AND(MONTH(C23)=12,DAY(C23)&gt;=26), AND(MONTH(C23)=4,DAY(C23)&gt;=15), MONTH(C23)=5, AND(MONTH(C23)=6,DAY(C23)&lt;=10) ),1,0)</f>
        <v>0</v>
      </c>
      <c r="P23" s="1" t="str">
        <f aca="false">IF(OR(MONTH(C23)=3,MONTH(C23)=4,MONTH(C23)=5,MONTH(C23)=6), "Summer", IF(OR(MONTH(C23)=7,MONTH(C23)=8,MONTH(C23)=9,MONTH(C23)=10), "Monsoon", "Winter"))</f>
        <v>Winter</v>
      </c>
      <c r="Q23" s="1" t="n">
        <f aca="false">WEEKDAY(C23,2)</f>
        <v>6</v>
      </c>
      <c r="R23" s="0" t="n">
        <f aca="false">ROUNDDOWN(((INT(C23)+MOD(D23,1))-(INT(I23)+MOD(J23,1))),0)</f>
        <v>5</v>
      </c>
      <c r="S23" s="10"/>
    </row>
    <row r="24" customFormat="false" ht="13.8" hidden="false" customHeight="false" outlineLevel="0" collapsed="false">
      <c r="A24" s="8" t="s">
        <v>56</v>
      </c>
      <c r="B24" s="8" t="s">
        <v>43</v>
      </c>
      <c r="C24" s="18" t="n">
        <v>45299.25</v>
      </c>
      <c r="D24" s="19" t="n">
        <v>45299.25</v>
      </c>
      <c r="E24" s="18" t="n">
        <v>45299.75</v>
      </c>
      <c r="F24" s="19" t="n">
        <v>45299.75</v>
      </c>
      <c r="G24" s="20" t="n">
        <v>2500</v>
      </c>
      <c r="I24" s="10" t="n">
        <v>45297</v>
      </c>
      <c r="J24" s="11" t="n">
        <v>0.563159722223646</v>
      </c>
      <c r="K24" s="1" t="s">
        <v>35</v>
      </c>
      <c r="L24" s="12" t="n">
        <f aca="false">((INT(E24)+MOD(F24,1))-(INT(C24)+MOD(D24,1)))*24</f>
        <v>12</v>
      </c>
      <c r="M24" s="1" t="n">
        <f aca="false">IFERROR(INDEX(Sheet3!$B$2:$B$500,MATCH(1,(INT(C24)+MOD(D24,1)&lt;INT(Sheet3!$A$2:$A$500)+TIME(18,0,0))*(INT(E24)+MOD(F24,1)&gt;=INT(Sheet3!$A$2:$A$500)),0)),0)</f>
        <v>0</v>
      </c>
      <c r="N24" s="1" t="n">
        <f aca="false">IF(OR( AND(Q24=6,D24&gt;=TIME(17,0,0),OR(K24="12H Night",K24="Couple Half Night",K24="24H Night",K24="Couple Full Night")), AND(Q24=7,D24&gt;=TIME(6,0,0),D24&lt;TIME(12,0,0),OR(K24="12H Day",K24="Couple Half Day",K24="24H Day",K24="Couple Full Day")) ),1,0)</f>
        <v>0</v>
      </c>
      <c r="O24" s="1" t="n">
        <f aca="false">IF(OR( AND(MONTH(C24)=12,DAY(C24)&gt;=26), AND(MONTH(C24)=4,DAY(C24)&gt;=15), MONTH(C24)=5, AND(MONTH(C24)=6,DAY(C24)&lt;=10) ),1,0)</f>
        <v>0</v>
      </c>
      <c r="P24" s="1" t="str">
        <f aca="false">IF(OR(MONTH(C24)=3,MONTH(C24)=4,MONTH(C24)=5,MONTH(C24)=6), "Summer", IF(OR(MONTH(C24)=7,MONTH(C24)=8,MONTH(C24)=9,MONTH(C24)=10), "Monsoon", "Winter"))</f>
        <v>Winter</v>
      </c>
      <c r="Q24" s="1" t="n">
        <f aca="false">WEEKDAY(C24,2)</f>
        <v>1</v>
      </c>
      <c r="R24" s="0" t="n">
        <f aca="false">ROUNDDOWN(((INT(C24)+MOD(D24,1))-(INT(I24)+MOD(J24,1))),0)</f>
        <v>1</v>
      </c>
      <c r="S24" s="10"/>
    </row>
    <row r="25" customFormat="false" ht="109.15" hidden="false" customHeight="false" outlineLevel="0" collapsed="false">
      <c r="A25" s="8" t="s">
        <v>57</v>
      </c>
      <c r="B25" s="22" t="s">
        <v>58</v>
      </c>
      <c r="C25" s="18" t="n">
        <v>45300.375</v>
      </c>
      <c r="D25" s="19" t="n">
        <v>45300.375</v>
      </c>
      <c r="E25" s="18" t="n">
        <v>45300.75</v>
      </c>
      <c r="F25" s="19" t="n">
        <v>45300.75</v>
      </c>
      <c r="G25" s="20" t="n">
        <v>2000</v>
      </c>
      <c r="H25" s="8" t="n">
        <v>2</v>
      </c>
      <c r="I25" s="10" t="n">
        <v>45299</v>
      </c>
      <c r="J25" s="11" t="n">
        <v>0.708611111112986</v>
      </c>
      <c r="K25" s="1" t="str">
        <f aca="false">IF(L25&gt;24,     IF(H25=2,"Couple Extended Day","Extended Day"), IF(L25&lt;=12,     IF(AND(MOD(D25,1)&gt;=TIME(6,0,0),MOD(D25,1)&lt;TIME(18,0,0)),         IF(H25=2,"Couple Half Day","12H Day"),         IF(H25=2,"Couple Half Night","12H Night")), IF(L25&lt;=24,     IF(AND(MOD(D25,1)&gt;=TIME(6,0,0),MOD(D25,1)&lt;TIME(18,0,0)),         IF(H25=2,"Couple Full Day","24H Day"),         IF(H25=2,"Couple Full Night","24H Night")), "Check Data")))</f>
        <v>Couple Half Day</v>
      </c>
      <c r="L25" s="12" t="n">
        <f aca="false">((INT(E25)+MOD(F25,1))-(INT(C25)+MOD(D25,1)))*24</f>
        <v>9</v>
      </c>
      <c r="M25" s="1" t="n">
        <f aca="false">IFERROR(INDEX(Sheet3!$B$2:$B$500,MATCH(1,(INT(C25)+MOD(D25,1)&lt;INT(Sheet3!$A$2:$A$500)+TIME(18,0,0))*(INT(E25)+MOD(F25,1)&gt;=INT(Sheet3!$A$2:$A$500)),0)),0)</f>
        <v>0</v>
      </c>
      <c r="N25" s="1" t="n">
        <f aca="false">IF(OR( AND(Q25=6,D25&gt;=TIME(17,0,0),OR(K25="12H Night",K25="Couple Half Night",K25="24H Night",K25="Couple Full Night")), AND(Q25=7,D25&gt;=TIME(6,0,0),D25&lt;TIME(12,0,0),OR(K25="12H Day",K25="Couple Half Day",K25="24H Day",K25="Couple Full Day")) ),1,0)</f>
        <v>0</v>
      </c>
      <c r="O25" s="1" t="n">
        <f aca="false">IF(OR( AND(MONTH(C25)=12,DAY(C25)&gt;=26), AND(MONTH(C25)=4,DAY(C25)&gt;=15), MONTH(C25)=5, AND(MONTH(C25)=6,DAY(C25)&lt;=10) ),1,0)</f>
        <v>0</v>
      </c>
      <c r="P25" s="1" t="str">
        <f aca="false">IF(OR(MONTH(C25)=3,MONTH(C25)=4,MONTH(C25)=5,MONTH(C25)=6), "Summer", IF(OR(MONTH(C25)=7,MONTH(C25)=8,MONTH(C25)=9,MONTH(C25)=10), "Monsoon", "Winter"))</f>
        <v>Winter</v>
      </c>
      <c r="Q25" s="1" t="n">
        <f aca="false">WEEKDAY(C25,2)</f>
        <v>2</v>
      </c>
      <c r="R25" s="0" t="n">
        <f aca="false">ROUNDDOWN(((INT(C25)+MOD(D25,1))-(INT(I25)+MOD(J25,1))),0)</f>
        <v>0</v>
      </c>
      <c r="S25" s="10"/>
    </row>
    <row r="26" customFormat="false" ht="241.5" hidden="false" customHeight="false" outlineLevel="0" collapsed="false">
      <c r="A26" s="8" t="s">
        <v>59</v>
      </c>
      <c r="B26" s="22" t="s">
        <v>60</v>
      </c>
      <c r="C26" s="18" t="n">
        <v>45301.375</v>
      </c>
      <c r="D26" s="19" t="n">
        <v>45301.375</v>
      </c>
      <c r="E26" s="18" t="n">
        <v>45301.7083333333</v>
      </c>
      <c r="F26" s="19" t="n">
        <v>0</v>
      </c>
      <c r="G26" s="20" t="n">
        <v>2500</v>
      </c>
      <c r="H26" s="8" t="n">
        <v>4</v>
      </c>
      <c r="I26" s="10" t="n">
        <v>45300</v>
      </c>
      <c r="J26" s="11" t="n">
        <v>0.745972222226551</v>
      </c>
      <c r="K26" s="1" t="str">
        <f aca="false">IF(L26&gt;24,     IF(H26=2,"Couple Extended Day","Extended Day"), IF(L26&lt;=12,     IF(AND(MOD(D26,1)&gt;=TIME(6,0,0),MOD(D26,1)&lt;TIME(18,0,0)),         IF(H26=2,"Couple Half Day","12H Day"),         IF(H26=2,"Couple Half Night","12H Night")), IF(L26&lt;=24,     IF(AND(MOD(D26,1)&gt;=TIME(6,0,0),MOD(D26,1)&lt;TIME(18,0,0)),         IF(H26=2,"Couple Full Day","24H Day"),         IF(H26=2,"Couple Full Night","24H Night")), "Check Data")))</f>
        <v>12H Day</v>
      </c>
      <c r="L26" s="12" t="n">
        <f aca="false">((INT(E26)+MOD(F26,1))-(INT(C26)+MOD(D26,1)))*24</f>
        <v>-9</v>
      </c>
      <c r="M26" s="1" t="n">
        <f aca="false">IFERROR(INDEX(Sheet3!$B$2:$B$500,MATCH(1,(INT(C26)+MOD(D26,1)&lt;INT(Sheet3!$A$2:$A$500)+TIME(18,0,0))*(INT(E26)+MOD(F26,1)&gt;=INT(Sheet3!$A$2:$A$500)),0)),0)</f>
        <v>0</v>
      </c>
      <c r="N26" s="1" t="n">
        <f aca="false">IF(OR( AND(Q26=6,D26&gt;=TIME(17,0,0),OR(K26="12H Night",K26="Couple Half Night",K26="24H Night",K26="Couple Full Night")), AND(Q26=7,D26&gt;=TIME(6,0,0),D26&lt;TIME(12,0,0),OR(K26="12H Day",K26="Couple Half Day",K26="24H Day",K26="Couple Full Day")) ),1,0)</f>
        <v>0</v>
      </c>
      <c r="O26" s="1" t="n">
        <f aca="false">IF(OR( AND(MONTH(C26)=12,DAY(C26)&gt;=26), AND(MONTH(C26)=4,DAY(C26)&gt;=15), MONTH(C26)=5, AND(MONTH(C26)=6,DAY(C26)&lt;=10) ),1,0)</f>
        <v>0</v>
      </c>
      <c r="P26" s="1" t="str">
        <f aca="false">IF(OR(MONTH(C26)=3,MONTH(C26)=4,MONTH(C26)=5,MONTH(C26)=6), "Summer", IF(OR(MONTH(C26)=7,MONTH(C26)=8,MONTH(C26)=9,MONTH(C26)=10), "Monsoon", "Winter"))</f>
        <v>Winter</v>
      </c>
      <c r="Q26" s="1" t="n">
        <f aca="false">WEEKDAY(C26,2)</f>
        <v>3</v>
      </c>
      <c r="R26" s="0" t="n">
        <f aca="false">ROUNDDOWN(((INT(C26)+MOD(D26,1))-(INT(I26)+MOD(J26,1))),0)</f>
        <v>0</v>
      </c>
      <c r="S26" s="10"/>
    </row>
    <row r="27" customFormat="false" ht="289.4" hidden="false" customHeight="false" outlineLevel="0" collapsed="false">
      <c r="A27" s="8" t="s">
        <v>61</v>
      </c>
      <c r="B27" s="22" t="s">
        <v>62</v>
      </c>
      <c r="C27" s="18" t="n">
        <v>45301.7916666667</v>
      </c>
      <c r="D27" s="19" t="n">
        <v>45301.7916666667</v>
      </c>
      <c r="E27" s="18" t="n">
        <v>45302.75</v>
      </c>
      <c r="F27" s="19" t="n">
        <v>45302.75</v>
      </c>
      <c r="G27" s="20" t="n">
        <v>4000</v>
      </c>
      <c r="H27" s="8" t="n">
        <v>5</v>
      </c>
      <c r="I27" s="10" t="n">
        <v>45300</v>
      </c>
      <c r="J27" s="11" t="n">
        <v>0.517604166670937</v>
      </c>
      <c r="K27" s="1" t="str">
        <f aca="false">IF(L27&gt;24,     IF(H27=2,"Couple Extended Day","Extended Day"), IF(L27&lt;=12,     IF(AND(MOD(D27,1)&gt;=TIME(6,0,0),MOD(D27,1)&lt;TIME(18,0,0)),         IF(H27=2,"Couple Half Day","12H Day"),         IF(H27=2,"Couple Half Night","12H Night")), IF(L27&lt;=24,     IF(AND(MOD(D27,1)&gt;=TIME(6,0,0),MOD(D27,1)&lt;TIME(18,0,0)),         IF(H27=2,"Couple Full Day","24H Day"),         IF(H27=2,"Couple Full Night","24H Night")), "Check Data")))</f>
        <v>24H Night</v>
      </c>
      <c r="L27" s="12" t="n">
        <f aca="false">((INT(E27)+MOD(F27,1))-(INT(C27)+MOD(D27,1)))*24</f>
        <v>22.9999999990105</v>
      </c>
      <c r="M27" s="1" t="n">
        <f aca="false">IFERROR(INDEX(Sheet3!$B$2:$B$500,MATCH(1,(INT(C27)+MOD(D27,1)&lt;INT(Sheet3!$A$2:$A$500)+TIME(18,0,0))*(INT(E27)+MOD(F27,1)&gt;=INT(Sheet3!$A$2:$A$500)),0)),0)</f>
        <v>0</v>
      </c>
      <c r="N27" s="1" t="n">
        <f aca="false">IF(OR( AND(Q27=6,D27&gt;=TIME(17,0,0),OR(K27="12H Night",K27="Couple Half Night",K27="24H Night",K27="Couple Full Night")), AND(Q27=7,D27&gt;=TIME(6,0,0),D27&lt;TIME(12,0,0),OR(K27="12H Day",K27="Couple Half Day",K27="24H Day",K27="Couple Full Day")) ),1,0)</f>
        <v>0</v>
      </c>
      <c r="O27" s="1" t="n">
        <f aca="false">IF(OR( AND(MONTH(C27)=12,DAY(C27)&gt;=26), AND(MONTH(C27)=4,DAY(C27)&gt;=15), MONTH(C27)=5, AND(MONTH(C27)=6,DAY(C27)&lt;=10) ),1,0)</f>
        <v>0</v>
      </c>
      <c r="P27" s="1" t="str">
        <f aca="false">IF(OR(MONTH(C27)=3,MONTH(C27)=4,MONTH(C27)=5,MONTH(C27)=6), "Summer", IF(OR(MONTH(C27)=7,MONTH(C27)=8,MONTH(C27)=9,MONTH(C27)=10), "Monsoon", "Winter"))</f>
        <v>Winter</v>
      </c>
      <c r="Q27" s="1" t="n">
        <f aca="false">WEEKDAY(C27,2)</f>
        <v>3</v>
      </c>
      <c r="R27" s="0" t="n">
        <f aca="false">ROUNDDOWN(((INT(C27)+MOD(D27,1))-(INT(I27)+MOD(J27,1))),0)</f>
        <v>1</v>
      </c>
      <c r="S27" s="10"/>
    </row>
    <row r="28" customFormat="false" ht="277.45" hidden="false" customHeight="false" outlineLevel="0" collapsed="false">
      <c r="A28" s="8" t="s">
        <v>63</v>
      </c>
      <c r="B28" s="22" t="s">
        <v>64</v>
      </c>
      <c r="C28" s="18" t="n">
        <v>45304.75</v>
      </c>
      <c r="D28" s="19" t="n">
        <v>45304.75</v>
      </c>
      <c r="E28" s="18" t="n">
        <v>45305.3333333333</v>
      </c>
      <c r="F28" s="19" t="n">
        <v>0</v>
      </c>
      <c r="G28" s="20" t="n">
        <v>4500</v>
      </c>
      <c r="H28" s="8" t="n">
        <v>6</v>
      </c>
      <c r="I28" s="10" t="n">
        <v>45298</v>
      </c>
      <c r="J28" s="11" t="n">
        <v>0.659594907410787</v>
      </c>
      <c r="K28" s="1" t="s">
        <v>65</v>
      </c>
      <c r="L28" s="12" t="n">
        <f aca="false">((INT(E28)+MOD(F28,1))-(INT(C28)+MOD(D28,1)))*24</f>
        <v>6</v>
      </c>
      <c r="M28" s="1" t="n">
        <v>0</v>
      </c>
      <c r="N28" s="1" t="n">
        <f aca="false">IF(OR( AND(Q28=6,D28&gt;=TIME(17,0,0),OR(K28="12H Night",K28="Couple Half Night",K28="24H Night",K28="Couple Full Night")), AND(Q28=7,D28&gt;=TIME(6,0,0),D28&lt;TIME(12,0,0),OR(K28="12H Day",K28="Couple Half Day",K28="24H Day",K28="Couple Full Day")) ),1,0)</f>
        <v>1</v>
      </c>
      <c r="O28" s="1" t="n">
        <f aca="false">IF(OR( AND(MONTH(C28)=12,DAY(C28)&gt;=26), AND(MONTH(C28)=4,DAY(C28)&gt;=15), MONTH(C28)=5, AND(MONTH(C28)=6,DAY(C28)&lt;=10) ),1,0)</f>
        <v>0</v>
      </c>
      <c r="P28" s="1" t="str">
        <f aca="false">IF(OR(MONTH(C28)=3,MONTH(C28)=4,MONTH(C28)=5,MONTH(C28)=6), "Summer", IF(OR(MONTH(C28)=7,MONTH(C28)=8,MONTH(C28)=9,MONTH(C28)=10), "Monsoon", "Winter"))</f>
        <v>Winter</v>
      </c>
      <c r="Q28" s="1" t="n">
        <f aca="false">WEEKDAY(C28,2)</f>
        <v>6</v>
      </c>
      <c r="R28" s="0" t="n">
        <f aca="false">ROUNDDOWN(((INT(C28)+MOD(D28,1))-(INT(I28)+MOD(J28,1))),0)</f>
        <v>6</v>
      </c>
      <c r="S28" s="10"/>
    </row>
    <row r="29" customFormat="false" ht="145.05" hidden="false" customHeight="false" outlineLevel="0" collapsed="false">
      <c r="A29" s="8" t="s">
        <v>66</v>
      </c>
      <c r="B29" s="22" t="s">
        <v>67</v>
      </c>
      <c r="C29" s="23" t="n">
        <v>45305</v>
      </c>
      <c r="D29" s="19" t="n">
        <v>0</v>
      </c>
      <c r="E29" s="18" t="n">
        <v>45306.8333333333</v>
      </c>
      <c r="F29" s="19" t="n">
        <v>0</v>
      </c>
      <c r="G29" s="20" t="n">
        <v>10000</v>
      </c>
      <c r="H29" s="8" t="n">
        <v>8</v>
      </c>
      <c r="I29" s="10" t="n">
        <v>45304</v>
      </c>
      <c r="J29" s="11" t="n">
        <v>0.500844907408461</v>
      </c>
      <c r="K29" s="1" t="str">
        <f aca="false">IF(L29&gt;24,     IF(H29=2,"Couple Extended Day","Extended Day"), IF(L29&lt;=12,     IF(AND(MOD(D29,1)&gt;=TIME(6,0,0),MOD(D29,1)&lt;TIME(18,0,0)),         IF(H29=2,"Couple Half Day","12H Day"),         IF(H29=2,"Couple Half Night","12H Night")), IF(L29&lt;=24,     IF(AND(MOD(D29,1)&gt;=TIME(6,0,0),MOD(D29,1)&lt;TIME(18,0,0)),         IF(H29=2,"Couple Full Day","24H Day"),         IF(H29=2,"Couple Full Night","24H Night")), "Check Data")))</f>
        <v>24H Night</v>
      </c>
      <c r="L29" s="12" t="n">
        <f aca="false">((INT(E29)+MOD(F29,1))-(INT(C29)+MOD(D29,1)))*24</f>
        <v>24</v>
      </c>
      <c r="M29" s="1" t="str">
        <f aca="false">IFERROR(INDEX(Sheet3!$B$2:$B$500,MATCH(1,(INT(C29)+MOD(D29,1)&lt;INT(Sheet3!$A$2:$A$500)+TIME(18,0,0))*(INT(E29)+MOD(F29,1)&gt;=INT(Sheet3!$A$2:$A$500)),0)),0)</f>
        <v>Makar Sankranti</v>
      </c>
      <c r="N29" s="1" t="n">
        <f aca="false">IF(OR( AND(Q29=6,D29&gt;=TIME(17,0,0),OR(K29="12H Night",K29="Couple Half Night",K29="24H Night",K29="Couple Full Night")), AND(Q29=7,D29&gt;=TIME(6,0,0),D29&lt;TIME(12,0,0),OR(K29="12H Day",K29="Couple Half Day",K29="24H Day",K29="Couple Full Day")) ),1,0)</f>
        <v>0</v>
      </c>
      <c r="O29" s="1" t="n">
        <f aca="false">IF(OR( AND(MONTH(C29)=12,DAY(C29)&gt;=26), AND(MONTH(C29)=4,DAY(C29)&gt;=15), MONTH(C29)=5, AND(MONTH(C29)=6,DAY(C29)&lt;=10) ),1,0)</f>
        <v>0</v>
      </c>
      <c r="P29" s="1" t="str">
        <f aca="false">IF(OR(MONTH(C29)=3,MONTH(C29)=4,MONTH(C29)=5,MONTH(C29)=6), "Summer", IF(OR(MONTH(C29)=7,MONTH(C29)=8,MONTH(C29)=9,MONTH(C29)=10), "Monsoon", "Winter"))</f>
        <v>Winter</v>
      </c>
      <c r="Q29" s="1" t="n">
        <f aca="false">WEEKDAY(C29,2)</f>
        <v>7</v>
      </c>
      <c r="R29" s="0" t="n">
        <f aca="false">ROUNDDOWN(((INT(C29)+MOD(D29,1))-(INT(I29)+MOD(J29,1))),0)</f>
        <v>0</v>
      </c>
      <c r="S29" s="10"/>
    </row>
    <row r="30" customFormat="false" ht="192.95" hidden="false" customHeight="false" outlineLevel="0" collapsed="false">
      <c r="A30" s="8" t="s">
        <v>68</v>
      </c>
      <c r="B30" s="22" t="s">
        <v>69</v>
      </c>
      <c r="C30" s="18" t="n">
        <v>45308.25</v>
      </c>
      <c r="D30" s="19" t="n">
        <v>45308.25</v>
      </c>
      <c r="E30" s="18" t="n">
        <v>45308.75</v>
      </c>
      <c r="F30" s="19" t="n">
        <v>45308.75</v>
      </c>
      <c r="G30" s="20" t="n">
        <v>2200</v>
      </c>
      <c r="H30" s="8" t="n">
        <v>2</v>
      </c>
      <c r="I30" s="10" t="n">
        <v>45305</v>
      </c>
      <c r="J30" s="11" t="n">
        <v>0.924733796295185</v>
      </c>
      <c r="K30" s="1" t="str">
        <f aca="false">IF(L30&gt;24,     IF(H30=2,"Couple Extended Day","Extended Day"), IF(L30&lt;=12,     IF(AND(MOD(D30,1)&gt;=TIME(6,0,0),MOD(D30,1)&lt;TIME(18,0,0)),         IF(H30=2,"Couple Half Day","12H Day"),         IF(H30=2,"Couple Half Night","12H Night")), IF(L30&lt;=24,     IF(AND(MOD(D30,1)&gt;=TIME(6,0,0),MOD(D30,1)&lt;TIME(18,0,0)),         IF(H30=2,"Couple Full Day","24H Day"),         IF(H30=2,"Couple Full Night","24H Night")), "Check Data")))</f>
        <v>Couple Half Day</v>
      </c>
      <c r="L30" s="12" t="n">
        <f aca="false">((INT(E30)+MOD(F30,1))-(INT(C30)+MOD(D30,1)))*24</f>
        <v>12</v>
      </c>
      <c r="M30" s="1" t="n">
        <f aca="false">IFERROR(INDEX(Sheet3!$B$2:$B$500,MATCH(1,(INT(C30)+MOD(D30,1)&lt;INT(Sheet3!$A$2:$A$500)+TIME(18,0,0))*(INT(E30)+MOD(F30,1)&gt;=INT(Sheet3!$A$2:$A$500)),0)),0)</f>
        <v>0</v>
      </c>
      <c r="N30" s="1" t="n">
        <f aca="false">IF(OR( AND(Q30=6,D30&gt;=TIME(17,0,0),OR(K30="12H Night",K30="Couple Half Night",K30="24H Night",K30="Couple Full Night")), AND(Q30=7,D30&gt;=TIME(6,0,0),D30&lt;TIME(12,0,0),OR(K30="12H Day",K30="Couple Half Day",K30="24H Day",K30="Couple Full Day")) ),1,0)</f>
        <v>0</v>
      </c>
      <c r="O30" s="1" t="n">
        <f aca="false">IF(OR( AND(MONTH(C30)=12,DAY(C30)&gt;=26), AND(MONTH(C30)=4,DAY(C30)&gt;=15), MONTH(C30)=5, AND(MONTH(C30)=6,DAY(C30)&lt;=10) ),1,0)</f>
        <v>0</v>
      </c>
      <c r="P30" s="1" t="str">
        <f aca="false">IF(OR(MONTH(C30)=3,MONTH(C30)=4,MONTH(C30)=5,MONTH(C30)=6), "Summer", IF(OR(MONTH(C30)=7,MONTH(C30)=8,MONTH(C30)=9,MONTH(C30)=10), "Monsoon", "Winter"))</f>
        <v>Winter</v>
      </c>
      <c r="Q30" s="1" t="n">
        <f aca="false">WEEKDAY(C30,2)</f>
        <v>3</v>
      </c>
      <c r="R30" s="0" t="n">
        <f aca="false">ROUNDDOWN(((INT(C30)+MOD(D30,1))-(INT(I30)+MOD(J30,1))),0)</f>
        <v>2</v>
      </c>
      <c r="S30" s="10"/>
    </row>
    <row r="31" customFormat="false" ht="145.05" hidden="false" customHeight="false" outlineLevel="0" collapsed="false">
      <c r="A31" s="8" t="s">
        <v>70</v>
      </c>
      <c r="B31" s="22" t="s">
        <v>71</v>
      </c>
      <c r="C31" s="18" t="n">
        <v>45309.4166666667</v>
      </c>
      <c r="D31" s="19" t="n">
        <v>45309.4166666667</v>
      </c>
      <c r="E31" s="18" t="n">
        <v>45309.6666666667</v>
      </c>
      <c r="F31" s="19" t="n">
        <v>45309.6666666667</v>
      </c>
      <c r="G31" s="20" t="n">
        <v>2200</v>
      </c>
      <c r="H31" s="8" t="n">
        <v>2</v>
      </c>
      <c r="I31" s="10" t="n">
        <v>45306</v>
      </c>
      <c r="J31" s="11" t="n">
        <v>0.66993055555213</v>
      </c>
      <c r="K31" s="1" t="str">
        <f aca="false">IF(L31&gt;24,     IF(H31=2,"Couple Extended Day","Extended Day"), IF(L31&lt;=12,     IF(AND(MOD(D31,1)&gt;=TIME(6,0,0),MOD(D31,1)&lt;TIME(18,0,0)),         IF(H31=2,"Couple Half Day","12H Day"),         IF(H31=2,"Couple Half Night","12H Night")), IF(L31&lt;=24,     IF(AND(MOD(D31,1)&gt;=TIME(6,0,0),MOD(D31,1)&lt;TIME(18,0,0)),         IF(H31=2,"Couple Full Day","24H Day"),         IF(H31=2,"Couple Full Night","24H Night")), "Check Data")))</f>
        <v>Couple Half Day</v>
      </c>
      <c r="L31" s="12" t="n">
        <f aca="false">((INT(E31)+MOD(F31,1))-(INT(C31)+MOD(D31,1)))*24</f>
        <v>6</v>
      </c>
      <c r="M31" s="1" t="n">
        <f aca="false">IFERROR(INDEX(Sheet3!$B$2:$B$500,MATCH(1,(INT(C31)+MOD(D31,1)&lt;INT(Sheet3!$A$2:$A$500)+TIME(18,0,0))*(INT(E31)+MOD(F31,1)&gt;=INT(Sheet3!$A$2:$A$500)),0)),0)</f>
        <v>0</v>
      </c>
      <c r="N31" s="1" t="n">
        <f aca="false">IF(OR( AND(Q31=6,D31&gt;=TIME(17,0,0),OR(K31="12H Night",K31="Couple Half Night",K31="24H Night",K31="Couple Full Night")), AND(Q31=7,D31&gt;=TIME(6,0,0),D31&lt;TIME(12,0,0),OR(K31="12H Day",K31="Couple Half Day",K31="24H Day",K31="Couple Full Day")) ),1,0)</f>
        <v>0</v>
      </c>
      <c r="O31" s="1" t="n">
        <f aca="false">IF(OR( AND(MONTH(C31)=12,DAY(C31)&gt;=26), AND(MONTH(C31)=4,DAY(C31)&gt;=15), MONTH(C31)=5, AND(MONTH(C31)=6,DAY(C31)&lt;=10) ),1,0)</f>
        <v>0</v>
      </c>
      <c r="P31" s="1" t="str">
        <f aca="false">IF(OR(MONTH(C31)=3,MONTH(C31)=4,MONTH(C31)=5,MONTH(C31)=6), "Summer", IF(OR(MONTH(C31)=7,MONTH(C31)=8,MONTH(C31)=9,MONTH(C31)=10), "Monsoon", "Winter"))</f>
        <v>Winter</v>
      </c>
      <c r="Q31" s="1" t="n">
        <f aca="false">WEEKDAY(C31,2)</f>
        <v>4</v>
      </c>
      <c r="R31" s="0" t="n">
        <f aca="false">ROUNDDOWN(((INT(C31)+MOD(D31,1))-(INT(I31)+MOD(J31,1))),0)</f>
        <v>2</v>
      </c>
      <c r="S31" s="10"/>
    </row>
    <row r="32" customFormat="false" ht="145.05" hidden="false" customHeight="false" outlineLevel="0" collapsed="false">
      <c r="A32" s="8" t="s">
        <v>72</v>
      </c>
      <c r="B32" s="22" t="s">
        <v>73</v>
      </c>
      <c r="C32" s="18" t="n">
        <v>45312.7916666667</v>
      </c>
      <c r="D32" s="19" t="n">
        <v>45312.7916666667</v>
      </c>
      <c r="E32" s="18" t="n">
        <v>45313.75</v>
      </c>
      <c r="F32" s="19" t="n">
        <v>45313.75</v>
      </c>
      <c r="G32" s="20" t="n">
        <v>3000</v>
      </c>
      <c r="H32" s="8" t="n">
        <v>10</v>
      </c>
      <c r="I32" s="10" t="n">
        <v>45311</v>
      </c>
      <c r="J32" s="11" t="n">
        <v>0.908703703702488</v>
      </c>
      <c r="K32" s="1" t="str">
        <f aca="false">IF(L32&gt;24,     IF(H32=2,"Couple Extended Day","Extended Day"), IF(L32&lt;=12,     IF(AND(MOD(D32,1)&gt;=TIME(6,0,0),MOD(D32,1)&lt;TIME(18,0,0)),         IF(H32=2,"Couple Half Day","12H Day"),         IF(H32=2,"Couple Half Night","12H Night")), IF(L32&lt;=24,     IF(AND(MOD(D32,1)&gt;=TIME(6,0,0),MOD(D32,1)&lt;TIME(18,0,0)),         IF(H32=2,"Couple Full Day","24H Day"),         IF(H32=2,"Couple Full Night","24H Night")), "Check Data")))</f>
        <v>24H Night</v>
      </c>
      <c r="L32" s="12" t="n">
        <f aca="false">((INT(E32)+MOD(F32,1))-(INT(C32)+MOD(D32,1)))*24</f>
        <v>22.9999999990105</v>
      </c>
      <c r="M32" s="1" t="n">
        <f aca="false">IFERROR(INDEX(Sheet3!$B$2:$B$500,MATCH(1,(INT(C32)+MOD(D32,1)&lt;INT(Sheet3!$A$2:$A$500)+TIME(18,0,0))*(INT(E32)+MOD(F32,1)&gt;=INT(Sheet3!$A$2:$A$500)),0)),0)</f>
        <v>0</v>
      </c>
      <c r="N32" s="1" t="n">
        <f aca="false">IF(OR( AND(Q32=6,D32&gt;=TIME(17,0,0),OR(K32="12H Night",K32="Couple Half Night",K32="24H Night",K32="Couple Full Night")), AND(Q32=7,D32&gt;=TIME(6,0,0),D32&lt;TIME(12,0,0),OR(K32="12H Day",K32="Couple Half Day",K32="24H Day",K32="Couple Full Day")) ),1,0)</f>
        <v>0</v>
      </c>
      <c r="O32" s="1" t="n">
        <f aca="false">IF(OR( AND(MONTH(C32)=12,DAY(C32)&gt;=26), AND(MONTH(C32)=4,DAY(C32)&gt;=15), MONTH(C32)=5, AND(MONTH(C32)=6,DAY(C32)&lt;=10) ),1,0)</f>
        <v>0</v>
      </c>
      <c r="P32" s="1" t="str">
        <f aca="false">IF(OR(MONTH(C32)=3,MONTH(C32)=4,MONTH(C32)=5,MONTH(C32)=6), "Summer", IF(OR(MONTH(C32)=7,MONTH(C32)=8,MONTH(C32)=9,MONTH(C32)=10), "Monsoon", "Winter"))</f>
        <v>Winter</v>
      </c>
      <c r="Q32" s="1" t="n">
        <f aca="false">WEEKDAY(C32,2)</f>
        <v>7</v>
      </c>
      <c r="R32" s="0" t="n">
        <f aca="false">ROUNDDOWN(((INT(C32)+MOD(D32,1))-(INT(I32)+MOD(J32,1))),0)</f>
        <v>0</v>
      </c>
      <c r="S32" s="10"/>
    </row>
    <row r="33" customFormat="false" ht="216.9" hidden="false" customHeight="false" outlineLevel="0" collapsed="false">
      <c r="A33" s="8" t="s">
        <v>74</v>
      </c>
      <c r="B33" s="22" t="s">
        <v>75</v>
      </c>
      <c r="C33" s="18" t="n">
        <v>45313.5</v>
      </c>
      <c r="D33" s="19" t="n">
        <v>45313.5</v>
      </c>
      <c r="E33" s="18" t="n">
        <v>45313.75</v>
      </c>
      <c r="F33" s="19" t="n">
        <v>45313.75</v>
      </c>
      <c r="G33" s="20" t="n">
        <v>2500</v>
      </c>
      <c r="H33" s="8" t="n">
        <v>4</v>
      </c>
      <c r="I33" s="10" t="n">
        <v>45313</v>
      </c>
      <c r="J33" s="11" t="n">
        <v>0.469837962962627</v>
      </c>
      <c r="K33" s="1" t="str">
        <f aca="false">IF(L33&gt;24,     IF(H33=2,"Couple Extended Day","Extended Day"), IF(L33&lt;=12,     IF(AND(MOD(D33,1)&gt;=TIME(6,0,0),MOD(D33,1)&lt;TIME(18,0,0)),         IF(H33=2,"Couple Half Day","12H Day"),         IF(H33=2,"Couple Half Night","12H Night")), IF(L33&lt;=24,     IF(AND(MOD(D33,1)&gt;=TIME(6,0,0),MOD(D33,1)&lt;TIME(18,0,0)),         IF(H33=2,"Couple Full Day","24H Day"),         IF(H33=2,"Couple Full Night","24H Night")), "Check Data")))</f>
        <v>12H Day</v>
      </c>
      <c r="L33" s="12" t="n">
        <f aca="false">((INT(E33)+MOD(F33,1))-(INT(C33)+MOD(D33,1)))*24</f>
        <v>6</v>
      </c>
      <c r="M33" s="1" t="n">
        <f aca="false">IFERROR(INDEX(Sheet3!$B$2:$B$500,MATCH(1,(INT(C33)+MOD(D33,1)&lt;INT(Sheet3!$A$2:$A$500)+TIME(18,0,0))*(INT(E33)+MOD(F33,1)&gt;=INT(Sheet3!$A$2:$A$500)),0)),0)</f>
        <v>0</v>
      </c>
      <c r="N33" s="1" t="n">
        <f aca="false">IF(OR( AND(Q33=6,D33&gt;=TIME(17,0,0),OR(K33="12H Night",K33="Couple Half Night",K33="24H Night",K33="Couple Full Night")), AND(Q33=7,D33&gt;=TIME(6,0,0),D33&lt;TIME(12,0,0),OR(K33="12H Day",K33="Couple Half Day",K33="24H Day",K33="Couple Full Day")) ),1,0)</f>
        <v>0</v>
      </c>
      <c r="O33" s="1" t="n">
        <f aca="false">IF(OR( AND(MONTH(C33)=12,DAY(C33)&gt;=26), AND(MONTH(C33)=4,DAY(C33)&gt;=15), MONTH(C33)=5, AND(MONTH(C33)=6,DAY(C33)&lt;=10) ),1,0)</f>
        <v>0</v>
      </c>
      <c r="P33" s="1" t="str">
        <f aca="false">IF(OR(MONTH(C33)=3,MONTH(C33)=4,MONTH(C33)=5,MONTH(C33)=6), "Summer", IF(OR(MONTH(C33)=7,MONTH(C33)=8,MONTH(C33)=9,MONTH(C33)=10), "Monsoon", "Winter"))</f>
        <v>Winter</v>
      </c>
      <c r="Q33" s="1" t="n">
        <f aca="false">WEEKDAY(C33,2)</f>
        <v>1</v>
      </c>
      <c r="R33" s="0" t="n">
        <f aca="false">ROUNDDOWN(((INT(C33)+MOD(D33,1))-(INT(I33)+MOD(J33,1))),0)</f>
        <v>0</v>
      </c>
      <c r="S33" s="10"/>
    </row>
    <row r="34" customFormat="false" ht="109.15" hidden="false" customHeight="false" outlineLevel="0" collapsed="false">
      <c r="A34" s="8" t="s">
        <v>46</v>
      </c>
      <c r="B34" s="22" t="s">
        <v>76</v>
      </c>
      <c r="C34" s="18" t="n">
        <v>45315.25</v>
      </c>
      <c r="D34" s="19" t="n">
        <v>45315.25</v>
      </c>
      <c r="E34" s="18" t="n">
        <v>45315.75</v>
      </c>
      <c r="F34" s="19" t="n">
        <v>45315.75</v>
      </c>
      <c r="G34" s="20" t="n">
        <v>2200</v>
      </c>
      <c r="H34" s="8" t="n">
        <v>10</v>
      </c>
      <c r="I34" s="10" t="n">
        <v>45313</v>
      </c>
      <c r="J34" s="11" t="n">
        <v>0.689814814817512</v>
      </c>
      <c r="K34" s="1" t="str">
        <f aca="false">IF(L34&gt;24,     IF(H34=2,"Couple Extended Day","Extended Day"), IF(L34&lt;=12,     IF(AND(MOD(D34,1)&gt;=TIME(6,0,0),MOD(D34,1)&lt;TIME(18,0,0)),         IF(H34=2,"Couple Half Day","12H Day"),         IF(H34=2,"Couple Half Night","12H Night")), IF(L34&lt;=24,     IF(AND(MOD(D34,1)&gt;=TIME(6,0,0),MOD(D34,1)&lt;TIME(18,0,0)),         IF(H34=2,"Couple Full Day","24H Day"),         IF(H34=2,"Couple Full Night","24H Night")), "Check Data")))</f>
        <v>12H Day</v>
      </c>
      <c r="L34" s="12" t="n">
        <f aca="false">((INT(E34)+MOD(F34,1))-(INT(C34)+MOD(D34,1)))*24</f>
        <v>12</v>
      </c>
      <c r="M34" s="1" t="n">
        <f aca="false">IFERROR(INDEX(Sheet3!$B$2:$B$500,MATCH(1,(INT(C34)+MOD(D34,1)&lt;INT(Sheet3!$A$2:$A$500)+TIME(18,0,0))*(INT(E34)+MOD(F34,1)&gt;=INT(Sheet3!$A$2:$A$500)),0)),0)</f>
        <v>0</v>
      </c>
      <c r="N34" s="1" t="n">
        <f aca="false">IF(OR( AND(Q34=6,D34&gt;=TIME(17,0,0),OR(K34="12H Night",K34="Couple Half Night",K34="24H Night",K34="Couple Full Night")), AND(Q34=7,D34&gt;=TIME(6,0,0),D34&lt;TIME(12,0,0),OR(K34="12H Day",K34="Couple Half Day",K34="24H Day",K34="Couple Full Day")) ),1,0)</f>
        <v>0</v>
      </c>
      <c r="O34" s="1" t="n">
        <f aca="false">IF(OR( AND(MONTH(C34)=12,DAY(C34)&gt;=26), AND(MONTH(C34)=4,DAY(C34)&gt;=15), MONTH(C34)=5, AND(MONTH(C34)=6,DAY(C34)&lt;=10) ),1,0)</f>
        <v>0</v>
      </c>
      <c r="P34" s="1" t="str">
        <f aca="false">IF(OR(MONTH(C34)=3,MONTH(C34)=4,MONTH(C34)=5,MONTH(C34)=6), "Summer", IF(OR(MONTH(C34)=7,MONTH(C34)=8,MONTH(C34)=9,MONTH(C34)=10), "Monsoon", "Winter"))</f>
        <v>Winter</v>
      </c>
      <c r="Q34" s="1" t="n">
        <f aca="false">WEEKDAY(C34,2)</f>
        <v>3</v>
      </c>
      <c r="R34" s="0" t="n">
        <f aca="false">ROUNDDOWN(((INT(C34)+MOD(D34,1))-(INT(I34)+MOD(J34,1))),0)</f>
        <v>1</v>
      </c>
      <c r="S34" s="10"/>
    </row>
    <row r="35" customFormat="false" ht="133.05" hidden="false" customHeight="false" outlineLevel="0" collapsed="false">
      <c r="A35" s="8" t="s">
        <v>77</v>
      </c>
      <c r="B35" s="22" t="s">
        <v>78</v>
      </c>
      <c r="C35" s="18" t="n">
        <v>45316.375</v>
      </c>
      <c r="D35" s="19" t="n">
        <v>45316.375</v>
      </c>
      <c r="E35" s="18" t="n">
        <v>45316.7083333333</v>
      </c>
      <c r="F35" s="19" t="n">
        <v>0</v>
      </c>
      <c r="G35" s="20" t="n">
        <v>1500</v>
      </c>
      <c r="H35" s="8" t="n">
        <v>4</v>
      </c>
      <c r="I35" s="10" t="n">
        <v>45316</v>
      </c>
      <c r="J35" s="11" t="n">
        <v>0.421909722223067</v>
      </c>
      <c r="K35" s="1" t="str">
        <f aca="false">IF(L35&gt;24,     IF(H35=2,"Couple Extended Day","Extended Day"), IF(L35&lt;=12,     IF(AND(MOD(D35,1)&gt;=TIME(6,0,0),MOD(D35,1)&lt;TIME(18,0,0)),         IF(H35=2,"Couple Half Day","12H Day"),         IF(H35=2,"Couple Half Night","12H Night")), IF(L35&lt;=24,     IF(AND(MOD(D35,1)&gt;=TIME(6,0,0),MOD(D35,1)&lt;TIME(18,0,0)),         IF(H35=2,"Couple Full Day","24H Day"),         IF(H35=2,"Couple Full Night","24H Night")), "Check Data")))</f>
        <v>12H Day</v>
      </c>
      <c r="L35" s="12" t="n">
        <f aca="false">((INT(E35)+MOD(F35,1))-(INT(C35)+MOD(D35,1)))*24</f>
        <v>-9</v>
      </c>
      <c r="M35" s="1" t="n">
        <f aca="false">IFERROR(INDEX(Sheet3!$B$2:$B$500,MATCH(1,(INT(C35)+MOD(D35,1)&lt;INT(Sheet3!$A$2:$A$500)+TIME(18,0,0))*(INT(E35)+MOD(F35,1)&gt;=INT(Sheet3!$A$2:$A$500)),0)),0)</f>
        <v>0</v>
      </c>
      <c r="N35" s="1" t="n">
        <f aca="false">IF(OR( AND(Q35=6,D35&gt;=TIME(17,0,0),OR(K35="12H Night",K35="Couple Half Night",K35="24H Night",K35="Couple Full Night")), AND(Q35=7,D35&gt;=TIME(6,0,0),D35&lt;TIME(12,0,0),OR(K35="12H Day",K35="Couple Half Day",K35="24H Day",K35="Couple Full Day")) ),1,0)</f>
        <v>0</v>
      </c>
      <c r="O35" s="1" t="n">
        <f aca="false">IF(OR( AND(MONTH(C35)=12,DAY(C35)&gt;=26), AND(MONTH(C35)=4,DAY(C35)&gt;=15), MONTH(C35)=5, AND(MONTH(C35)=6,DAY(C35)&lt;=10) ),1,0)</f>
        <v>0</v>
      </c>
      <c r="P35" s="1" t="str">
        <f aca="false">IF(OR(MONTH(C35)=3,MONTH(C35)=4,MONTH(C35)=5,MONTH(C35)=6), "Summer", IF(OR(MONTH(C35)=7,MONTH(C35)=8,MONTH(C35)=9,MONTH(C35)=10), "Monsoon", "Winter"))</f>
        <v>Winter</v>
      </c>
      <c r="Q35" s="1" t="n">
        <f aca="false">WEEKDAY(C35,2)</f>
        <v>4</v>
      </c>
      <c r="R35" s="0" t="n">
        <f aca="false">ROUNDDOWN(((INT(C35)+MOD(D35,1))-(INT(I35)+MOD(J35,1))),0)</f>
        <v>-0</v>
      </c>
      <c r="S35" s="10"/>
    </row>
    <row r="36" customFormat="false" ht="121.1" hidden="false" customHeight="false" outlineLevel="0" collapsed="false">
      <c r="A36" s="8" t="s">
        <v>79</v>
      </c>
      <c r="B36" s="22" t="s">
        <v>80</v>
      </c>
      <c r="C36" s="18" t="n">
        <v>45317.7916666667</v>
      </c>
      <c r="D36" s="19" t="n">
        <v>45317.7916666667</v>
      </c>
      <c r="E36" s="18" t="n">
        <v>45318.75</v>
      </c>
      <c r="F36" s="19" t="n">
        <v>45318.75</v>
      </c>
      <c r="G36" s="20" t="n">
        <v>3500</v>
      </c>
      <c r="H36" s="8" t="n">
        <v>10</v>
      </c>
      <c r="I36" s="10" t="n">
        <v>45304</v>
      </c>
      <c r="J36" s="11" t="n">
        <v>0.62516203703853</v>
      </c>
      <c r="K36" s="1" t="str">
        <f aca="false">IF(L36&gt;24,     IF(H36=2,"Couple Extended Day","Extended Day"), IF(L36&lt;=12,     IF(AND(MOD(D36,1)&gt;=TIME(6,0,0),MOD(D36,1)&lt;TIME(18,0,0)),         IF(H36=2,"Couple Half Day","12H Day"),         IF(H36=2,"Couple Half Night","12H Night")), IF(L36&lt;=24,     IF(AND(MOD(D36,1)&gt;=TIME(6,0,0),MOD(D36,1)&lt;TIME(18,0,0)),         IF(H36=2,"Couple Full Day","24H Day"),         IF(H36=2,"Couple Full Night","24H Night")), "Check Data")))</f>
        <v>24H Night</v>
      </c>
      <c r="L36" s="12" t="n">
        <f aca="false">((INT(E36)+MOD(F36,1))-(INT(C36)+MOD(D36,1)))*24</f>
        <v>22.9999999990105</v>
      </c>
      <c r="M36" s="1" t="n">
        <f aca="false">IFERROR(INDEX(Sheet3!$B$2:$B$500,MATCH(1,(INT(C36)+MOD(D36,1)&lt;INT(Sheet3!$A$2:$A$500)+TIME(18,0,0))*(INT(E36)+MOD(F36,1)&gt;=INT(Sheet3!$A$2:$A$500)),0)),0)</f>
        <v>0</v>
      </c>
      <c r="N36" s="1" t="n">
        <f aca="false">IF(OR( AND(Q36=6,D36&gt;=TIME(17,0,0),OR(K36="12H Night",K36="Couple Half Night",K36="24H Night",K36="Couple Full Night")), AND(Q36=7,D36&gt;=TIME(6,0,0),D36&lt;TIME(12,0,0),OR(K36="12H Day",K36="Couple Half Day",K36="24H Day",K36="Couple Full Day")) ),1,0)</f>
        <v>0</v>
      </c>
      <c r="O36" s="1" t="n">
        <f aca="false">IF(OR( AND(MONTH(C36)=12,DAY(C36)&gt;=26), AND(MONTH(C36)=4,DAY(C36)&gt;=15), MONTH(C36)=5, AND(MONTH(C36)=6,DAY(C36)&lt;=10) ),1,0)</f>
        <v>0</v>
      </c>
      <c r="P36" s="1" t="str">
        <f aca="false">IF(OR(MONTH(C36)=3,MONTH(C36)=4,MONTH(C36)=5,MONTH(C36)=6), "Summer", IF(OR(MONTH(C36)=7,MONTH(C36)=8,MONTH(C36)=9,MONTH(C36)=10), "Monsoon", "Winter"))</f>
        <v>Winter</v>
      </c>
      <c r="Q36" s="1" t="n">
        <f aca="false">WEEKDAY(C36,2)</f>
        <v>5</v>
      </c>
      <c r="R36" s="0" t="n">
        <f aca="false">ROUNDDOWN(((INT(C36)+MOD(D36,1))-(INT(I36)+MOD(J36,1))),0)</f>
        <v>13</v>
      </c>
      <c r="S36" s="10"/>
    </row>
    <row r="37" customFormat="false" ht="241.5" hidden="false" customHeight="false" outlineLevel="0" collapsed="false">
      <c r="A37" s="8" t="s">
        <v>81</v>
      </c>
      <c r="B37" s="22" t="s">
        <v>82</v>
      </c>
      <c r="C37" s="18" t="n">
        <v>45318.7916666667</v>
      </c>
      <c r="D37" s="19" t="n">
        <v>45318.7916666667</v>
      </c>
      <c r="E37" s="18" t="n">
        <v>45319.75</v>
      </c>
      <c r="F37" s="19" t="n">
        <v>45319.75</v>
      </c>
      <c r="G37" s="20" t="n">
        <v>6000</v>
      </c>
      <c r="H37" s="8" t="n">
        <v>17</v>
      </c>
      <c r="I37" s="10" t="n">
        <v>45299</v>
      </c>
      <c r="J37" s="11" t="n">
        <v>0.887604166666273</v>
      </c>
      <c r="K37" s="1" t="str">
        <f aca="false">IF(L37&gt;24,     IF(H37=2,"Couple Extended Day","Extended Day"), IF(L37&lt;=12,     IF(AND(MOD(D37,1)&gt;=TIME(6,0,0),MOD(D37,1)&lt;TIME(18,0,0)),         IF(H37=2,"Couple Half Day","12H Day"),         IF(H37=2,"Couple Half Night","12H Night")), IF(L37&lt;=24,     IF(AND(MOD(D37,1)&gt;=TIME(6,0,0),MOD(D37,1)&lt;TIME(18,0,0)),         IF(H37=2,"Couple Full Day","24H Day"),         IF(H37=2,"Couple Full Night","24H Night")), "Check Data")))</f>
        <v>24H Night</v>
      </c>
      <c r="L37" s="12" t="n">
        <f aca="false">((INT(E37)+MOD(F37,1))-(INT(C37)+MOD(D37,1)))*24</f>
        <v>22.9999999990105</v>
      </c>
      <c r="M37" s="1" t="n">
        <f aca="false">IFERROR(INDEX(Sheet3!$B$2:$B$500,MATCH(1,(INT(C37)+MOD(D37,1)&lt;INT(Sheet3!$A$2:$A$500)+TIME(18,0,0))*(INT(E37)+MOD(F37,1)&gt;=INT(Sheet3!$A$2:$A$500)),0)),0)</f>
        <v>0</v>
      </c>
      <c r="N37" s="1" t="n">
        <f aca="false">IF(OR( AND(Q37=6,D37&gt;=TIME(17,0,0),OR(K37="12H Night",K37="Couple Half Night",K37="24H Night",K37="Couple Full Night")), AND(Q37=7,D37&gt;=TIME(6,0,0),D37&lt;TIME(12,0,0),OR(K37="12H Day",K37="Couple Half Day",K37="24H Day",K37="Couple Full Day")) ),1,0)</f>
        <v>1</v>
      </c>
      <c r="O37" s="1" t="n">
        <f aca="false">IF(OR( AND(MONTH(C37)=12,DAY(C37)&gt;=26), AND(MONTH(C37)=4,DAY(C37)&gt;=15), MONTH(C37)=5, AND(MONTH(C37)=6,DAY(C37)&lt;=10) ),1,0)</f>
        <v>0</v>
      </c>
      <c r="P37" s="1" t="str">
        <f aca="false">IF(OR(MONTH(C37)=3,MONTH(C37)=4,MONTH(C37)=5,MONTH(C37)=6), "Summer", IF(OR(MONTH(C37)=7,MONTH(C37)=8,MONTH(C37)=9,MONTH(C37)=10), "Monsoon", "Winter"))</f>
        <v>Winter</v>
      </c>
      <c r="Q37" s="1" t="n">
        <f aca="false">WEEKDAY(C37,2)</f>
        <v>6</v>
      </c>
      <c r="R37" s="0" t="n">
        <f aca="false">ROUNDDOWN(((INT(C37)+MOD(D37,1))-(INT(I37)+MOD(J37,1))),0)</f>
        <v>18</v>
      </c>
      <c r="S37" s="10"/>
    </row>
    <row r="38" customFormat="false" ht="180.95" hidden="false" customHeight="false" outlineLevel="0" collapsed="false">
      <c r="A38" s="8" t="s">
        <v>83</v>
      </c>
      <c r="B38" s="22" t="s">
        <v>84</v>
      </c>
      <c r="C38" s="18" t="n">
        <v>45321.75</v>
      </c>
      <c r="D38" s="19" t="n">
        <v>45321.75</v>
      </c>
      <c r="E38" s="18" t="n">
        <v>45324.75</v>
      </c>
      <c r="F38" s="19" t="n">
        <v>45324.75</v>
      </c>
      <c r="G38" s="20" t="n">
        <v>8000</v>
      </c>
      <c r="H38" s="8" t="n">
        <v>4</v>
      </c>
      <c r="I38" s="10" t="n">
        <v>45321</v>
      </c>
      <c r="J38" s="11" t="n">
        <v>0.816944444442928</v>
      </c>
      <c r="K38" s="1" t="str">
        <f aca="false">IF(L38&gt;24,     IF(H38=2,"Couple Extended Day","Extended Day"), IF(L38&lt;=12,     IF(AND(MOD(D38,1)&gt;=TIME(6,0,0),MOD(D38,1)&lt;TIME(18,0,0)),         IF(H38=2,"Couple Half Day","12H Day"),         IF(H38=2,"Couple Half Night","12H Night")), IF(L38&lt;=24,     IF(AND(MOD(D38,1)&gt;=TIME(6,0,0),MOD(D38,1)&lt;TIME(18,0,0)),         IF(H38=2,"Couple Full Day","24H Day"),         IF(H38=2,"Couple Full Night","24H Night")), "Check Data")))</f>
        <v>Extended Day</v>
      </c>
      <c r="L38" s="12" t="n">
        <f aca="false">((INT(E38)+MOD(F38,1))-(INT(C38)+MOD(D38,1)))*24</f>
        <v>72</v>
      </c>
      <c r="M38" s="1" t="n">
        <f aca="false">IFERROR(INDEX(Sheet3!$B$2:$B$500,MATCH(1,(INT(C38)+MOD(D38,1)&lt;INT(Sheet3!$A$2:$A$500)+TIME(18,0,0))*(INT(E38)+MOD(F38,1)&gt;=INT(Sheet3!$A$2:$A$500)),0)),0)</f>
        <v>0</v>
      </c>
      <c r="N38" s="1" t="n">
        <f aca="false">IF(OR( AND(Q38=6,D38&gt;=TIME(17,0,0),OR(K38="12H Night",K38="Couple Half Night",K38="24H Night",K38="Couple Full Night")), AND(Q38=7,D38&gt;=TIME(6,0,0),D38&lt;TIME(12,0,0),OR(K38="12H Day",K38="Couple Half Day",K38="24H Day",K38="Couple Full Day")) ),1,0)</f>
        <v>0</v>
      </c>
      <c r="O38" s="1" t="n">
        <f aca="false">IF(OR( AND(MONTH(C38)=12,DAY(C38)&gt;=26), AND(MONTH(C38)=4,DAY(C38)&gt;=15), MONTH(C38)=5, AND(MONTH(C38)=6,DAY(C38)&lt;=10) ),1,0)</f>
        <v>0</v>
      </c>
      <c r="P38" s="1" t="str">
        <f aca="false">IF(OR(MONTH(C38)=3,MONTH(C38)=4,MONTH(C38)=5,MONTH(C38)=6), "Summer", IF(OR(MONTH(C38)=7,MONTH(C38)=8,MONTH(C38)=9,MONTH(C38)=10), "Monsoon", "Winter"))</f>
        <v>Winter</v>
      </c>
      <c r="Q38" s="1" t="n">
        <f aca="false">WEEKDAY(C38,2)</f>
        <v>2</v>
      </c>
      <c r="R38" s="0" t="n">
        <f aca="false">ROUNDDOWN(((INT(C38)+MOD(D38,1))-(INT(I38)+MOD(J38,1))),0)</f>
        <v>-0</v>
      </c>
      <c r="S38" s="10"/>
    </row>
    <row r="39" customFormat="false" ht="25.35" hidden="false" customHeight="false" outlineLevel="0" collapsed="false">
      <c r="A39" s="8" t="s">
        <v>85</v>
      </c>
      <c r="B39" s="22" t="s">
        <v>86</v>
      </c>
      <c r="C39" s="18" t="n">
        <v>45324.7916666667</v>
      </c>
      <c r="D39" s="19" t="n">
        <v>45324.7916666667</v>
      </c>
      <c r="E39" s="18" t="n">
        <v>45325.75</v>
      </c>
      <c r="F39" s="19" t="n">
        <v>45325.75</v>
      </c>
      <c r="G39" s="20" t="n">
        <v>0</v>
      </c>
      <c r="I39" s="10" t="n">
        <v>45322</v>
      </c>
      <c r="J39" s="11" t="n">
        <v>0.621481481481169</v>
      </c>
      <c r="K39" s="1" t="str">
        <f aca="false">IF(L39&gt;24,     IF(H39=2,"Couple Extended Day","Extended Day"), IF(L39&lt;=12,     IF(AND(MOD(D39,1)&gt;=TIME(6,0,0),MOD(D39,1)&lt;TIME(18,0,0)),         IF(H39=2,"Couple Half Day","12H Day"),         IF(H39=2,"Couple Half Night","12H Night")), IF(L39&lt;=24,     IF(AND(MOD(D39,1)&gt;=TIME(6,0,0),MOD(D39,1)&lt;TIME(18,0,0)),         IF(H39=2,"Couple Full Day","24H Day"),         IF(H39=2,"Couple Full Night","24H Night")), "Check Data")))</f>
        <v>24H Night</v>
      </c>
      <c r="L39" s="12" t="n">
        <f aca="false">((INT(E39)+MOD(F39,1))-(INT(C39)+MOD(D39,1)))*24</f>
        <v>22.9999999990105</v>
      </c>
      <c r="M39" s="1" t="n">
        <f aca="false">IFERROR(INDEX(Sheet3!$B$2:$B$500,MATCH(1,(INT(C39)+MOD(D39,1)&lt;INT(Sheet3!$A$2:$A$500)+TIME(18,0,0))*(INT(E39)+MOD(F39,1)&gt;=INT(Sheet3!$A$2:$A$500)),0)),0)</f>
        <v>0</v>
      </c>
      <c r="N39" s="1" t="n">
        <f aca="false">IF(OR( AND(Q39=6,D39&gt;=TIME(17,0,0),OR(K39="12H Night",K39="Couple Half Night",K39="24H Night",K39="Couple Full Night")), AND(Q39=7,D39&gt;=TIME(6,0,0),D39&lt;TIME(12,0,0),OR(K39="12H Day",K39="Couple Half Day",K39="24H Day",K39="Couple Full Day")) ),1,0)</f>
        <v>0</v>
      </c>
      <c r="O39" s="1" t="n">
        <f aca="false">IF(OR( AND(MONTH(C39)=12,DAY(C39)&gt;=26), AND(MONTH(C39)=4,DAY(C39)&gt;=15), MONTH(C39)=5, AND(MONTH(C39)=6,DAY(C39)&lt;=10) ),1,0)</f>
        <v>0</v>
      </c>
      <c r="P39" s="1" t="str">
        <f aca="false">IF(OR(MONTH(C39)=3,MONTH(C39)=4,MONTH(C39)=5,MONTH(C39)=6), "Summer", IF(OR(MONTH(C39)=7,MONTH(C39)=8,MONTH(C39)=9,MONTH(C39)=10), "Monsoon", "Winter"))</f>
        <v>Winter</v>
      </c>
      <c r="Q39" s="1" t="n">
        <f aca="false">WEEKDAY(C39,2)</f>
        <v>5</v>
      </c>
      <c r="R39" s="0" t="n">
        <f aca="false">ROUNDDOWN(((INT(C39)+MOD(D39,1))-(INT(I39)+MOD(J39,1))),0)</f>
        <v>2</v>
      </c>
      <c r="S39" s="10"/>
    </row>
    <row r="40" customFormat="false" ht="121.1" hidden="false" customHeight="false" outlineLevel="0" collapsed="false">
      <c r="A40" s="8" t="s">
        <v>87</v>
      </c>
      <c r="B40" s="22" t="s">
        <v>88</v>
      </c>
      <c r="C40" s="18" t="n">
        <v>45325.8333333333</v>
      </c>
      <c r="D40" s="19" t="n">
        <v>0</v>
      </c>
      <c r="E40" s="18" t="n">
        <v>45326.3333333333</v>
      </c>
      <c r="F40" s="19" t="n">
        <v>0</v>
      </c>
      <c r="G40" s="20" t="n">
        <v>3000</v>
      </c>
      <c r="H40" s="8" t="n">
        <v>10</v>
      </c>
      <c r="I40" s="10" t="n">
        <v>45325</v>
      </c>
      <c r="J40" s="11" t="n">
        <v>0.645196759258403</v>
      </c>
      <c r="K40" s="1" t="str">
        <f aca="false">IF(L40&gt;24,     IF(H40=2,"Couple Extended Day","Extended Day"), IF(L40&lt;=12,     IF(AND(MOD(D40,1)&gt;=TIME(6,0,0),MOD(D40,1)&lt;TIME(18,0,0)),         IF(H40=2,"Couple Half Day","12H Day"),         IF(H40=2,"Couple Half Night","12H Night")), IF(L40&lt;=24,     IF(AND(MOD(D40,1)&gt;=TIME(6,0,0),MOD(D40,1)&lt;TIME(18,0,0)),         IF(H40=2,"Couple Full Day","24H Day"),         IF(H40=2,"Couple Full Night","24H Night")), "Check Data")))</f>
        <v>24H Night</v>
      </c>
      <c r="L40" s="12" t="n">
        <f aca="false">((INT(E40)+MOD(F40,1))-(INT(C40)+MOD(D40,1)))*24</f>
        <v>24</v>
      </c>
      <c r="M40" s="1" t="n">
        <f aca="false">IFERROR(INDEX(Sheet3!$B$2:$B$500,MATCH(1,(INT(C40)+MOD(D40,1)&lt;INT(Sheet3!$A$2:$A$500)+TIME(18,0,0))*(INT(E40)+MOD(F40,1)&gt;=INT(Sheet3!$A$2:$A$500)),0)),0)</f>
        <v>0</v>
      </c>
      <c r="N40" s="1" t="n">
        <f aca="false">IF(OR( AND(Q40=6,D40&gt;=TIME(17,0,0),OR(K40="12H Night",K40="Couple Half Night",K40="24H Night",K40="Couple Full Night")), AND(Q40=7,D40&gt;=TIME(6,0,0),D40&lt;TIME(12,0,0),OR(K40="12H Day",K40="Couple Half Day",K40="24H Day",K40="Couple Full Day")) ),1,0)</f>
        <v>0</v>
      </c>
      <c r="O40" s="1" t="n">
        <f aca="false">IF(OR( AND(MONTH(C40)=12,DAY(C40)&gt;=26), AND(MONTH(C40)=4,DAY(C40)&gt;=15), MONTH(C40)=5, AND(MONTH(C40)=6,DAY(C40)&lt;=10) ),1,0)</f>
        <v>0</v>
      </c>
      <c r="P40" s="1" t="str">
        <f aca="false">IF(OR(MONTH(C40)=3,MONTH(C40)=4,MONTH(C40)=5,MONTH(C40)=6), "Summer", IF(OR(MONTH(C40)=7,MONTH(C40)=8,MONTH(C40)=9,MONTH(C40)=10), "Monsoon", "Winter"))</f>
        <v>Winter</v>
      </c>
      <c r="Q40" s="1" t="n">
        <f aca="false">WEEKDAY(C40,2)</f>
        <v>6</v>
      </c>
      <c r="R40" s="0" t="n">
        <f aca="false">ROUNDDOWN(((INT(C40)+MOD(D40,1))-(INT(I40)+MOD(J40,1))),0)</f>
        <v>-0</v>
      </c>
      <c r="S40" s="10"/>
      <c r="U40" s="0" t="s">
        <v>89</v>
      </c>
    </row>
    <row r="41" customFormat="false" ht="204.9" hidden="false" customHeight="false" outlineLevel="0" collapsed="false">
      <c r="A41" s="8" t="s">
        <v>90</v>
      </c>
      <c r="B41" s="22" t="s">
        <v>91</v>
      </c>
      <c r="C41" s="18" t="n">
        <v>45326.4166666667</v>
      </c>
      <c r="D41" s="19" t="n">
        <v>45326.4166666667</v>
      </c>
      <c r="E41" s="18" t="n">
        <v>45326.9166666667</v>
      </c>
      <c r="F41" s="19" t="n">
        <v>45326.9166666667</v>
      </c>
      <c r="G41" s="20" t="n">
        <v>3300</v>
      </c>
      <c r="H41" s="8" t="n">
        <v>5</v>
      </c>
      <c r="I41" s="10" t="n">
        <v>45325</v>
      </c>
      <c r="J41" s="11" t="n">
        <v>0.751666666663368</v>
      </c>
      <c r="K41" s="1" t="str">
        <f aca="false">IF(L41&gt;24,     IF(H41=2,"Couple Extended Day","Extended Day"), IF(L41&lt;=12,     IF(AND(MOD(D41,1)&gt;=TIME(6,0,0),MOD(D41,1)&lt;TIME(18,0,0)),         IF(H41=2,"Couple Half Day","12H Day"),         IF(H41=2,"Couple Half Night","12H Night")), IF(L41&lt;=24,     IF(AND(MOD(D41,1)&gt;=TIME(6,0,0),MOD(D41,1)&lt;TIME(18,0,0)),         IF(H41=2,"Couple Full Day","24H Day"),         IF(H41=2,"Couple Full Night","24H Night")), "Check Data")))</f>
        <v>12H Day</v>
      </c>
      <c r="L41" s="12" t="n">
        <f aca="false">((INT(E41)+MOD(F41,1))-(INT(C41)+MOD(D41,1)))*24</f>
        <v>12</v>
      </c>
      <c r="M41" s="1" t="n">
        <f aca="false">IFERROR(INDEX(Sheet3!$B$2:$B$500,MATCH(1,(INT(C41)+MOD(D41,1)&lt;INT(Sheet3!$A$2:$A$500)+TIME(18,0,0))*(INT(E41)+MOD(F41,1)&gt;=INT(Sheet3!$A$2:$A$500)),0)),0)</f>
        <v>0</v>
      </c>
      <c r="N41" s="1" t="n">
        <f aca="false">IF(OR( AND(Q41=6,D41&gt;=TIME(17,0,0),OR(K41="12H Night",K41="Couple Half Night",K41="24H Night",K41="Couple Full Night")), AND(Q41=7,D41&gt;=TIME(6,0,0),D41&lt;TIME(12,0,0),OR(K41="12H Day",K41="Couple Half Day",K41="24H Day",K41="Couple Full Day")) ),1,0)</f>
        <v>0</v>
      </c>
      <c r="O41" s="1" t="n">
        <f aca="false">IF(OR( AND(MONTH(C41)=12,DAY(C41)&gt;=26), AND(MONTH(C41)=4,DAY(C41)&gt;=15), MONTH(C41)=5, AND(MONTH(C41)=6,DAY(C41)&lt;=10) ),1,0)</f>
        <v>0</v>
      </c>
      <c r="P41" s="1" t="str">
        <f aca="false">IF(OR(MONTH(C41)=3,MONTH(C41)=4,MONTH(C41)=5,MONTH(C41)=6), "Summer", IF(OR(MONTH(C41)=7,MONTH(C41)=8,MONTH(C41)=9,MONTH(C41)=10), "Monsoon", "Winter"))</f>
        <v>Winter</v>
      </c>
      <c r="Q41" s="1" t="n">
        <f aca="false">WEEKDAY(C41,2)</f>
        <v>7</v>
      </c>
      <c r="R41" s="0" t="n">
        <f aca="false">ROUNDDOWN(((INT(C41)+MOD(D41,1))-(INT(I41)+MOD(J41,1))),0)</f>
        <v>0</v>
      </c>
      <c r="S41" s="10"/>
    </row>
    <row r="42" customFormat="false" ht="85.2" hidden="false" customHeight="false" outlineLevel="0" collapsed="false">
      <c r="A42" s="8" t="s">
        <v>92</v>
      </c>
      <c r="B42" s="22" t="s">
        <v>93</v>
      </c>
      <c r="C42" s="18" t="n">
        <v>45328.3333333333</v>
      </c>
      <c r="D42" s="19" t="n">
        <v>0</v>
      </c>
      <c r="E42" s="18" t="n">
        <v>45328.8333333333</v>
      </c>
      <c r="F42" s="19" t="n">
        <v>0</v>
      </c>
      <c r="G42" s="20" t="n">
        <v>2500</v>
      </c>
      <c r="H42" s="8" t="n">
        <v>8</v>
      </c>
      <c r="I42" s="10" t="n">
        <v>45327</v>
      </c>
      <c r="J42" s="11" t="n">
        <v>0.699652777781007</v>
      </c>
      <c r="K42" s="1" t="str">
        <f aca="false">IF(L42&gt;24,     IF(H42=2,"Couple Extended Day","Extended Day"), IF(L42&lt;=12,     IF(AND(MOD(D42,1)&gt;=TIME(6,0,0),MOD(D42,1)&lt;TIME(18,0,0)),         IF(H42=2,"Couple Half Day","12H Day"),         IF(H42=2,"Couple Half Night","12H Night")), IF(L42&lt;=24,     IF(AND(MOD(D42,1)&gt;=TIME(6,0,0),MOD(D42,1)&lt;TIME(18,0,0)),         IF(H42=2,"Couple Full Day","24H Day"),         IF(H42=2,"Couple Full Night","24H Night")), "Check Data")))</f>
        <v>12H Night</v>
      </c>
      <c r="L42" s="12" t="n">
        <f aca="false">((INT(E42)+MOD(F42,1))-(INT(C42)+MOD(D42,1)))*24</f>
        <v>0</v>
      </c>
      <c r="M42" s="1" t="n">
        <f aca="false">IFERROR(INDEX(Sheet3!$B$2:$B$500,MATCH(1,(INT(C42)+MOD(D42,1)&lt;INT(Sheet3!$A$2:$A$500)+TIME(18,0,0))*(INT(E42)+MOD(F42,1)&gt;=INT(Sheet3!$A$2:$A$500)),0)),0)</f>
        <v>0</v>
      </c>
      <c r="N42" s="1" t="n">
        <f aca="false">IF(OR( AND(Q42=6,D42&gt;=TIME(17,0,0),OR(K42="12H Night",K42="Couple Half Night",K42="24H Night",K42="Couple Full Night")), AND(Q42=7,D42&gt;=TIME(6,0,0),D42&lt;TIME(12,0,0),OR(K42="12H Day",K42="Couple Half Day",K42="24H Day",K42="Couple Full Day")) ),1,0)</f>
        <v>0</v>
      </c>
      <c r="O42" s="1" t="n">
        <f aca="false">IF(OR( AND(MONTH(C42)=12,DAY(C42)&gt;=26), AND(MONTH(C42)=4,DAY(C42)&gt;=15), MONTH(C42)=5, AND(MONTH(C42)=6,DAY(C42)&lt;=10) ),1,0)</f>
        <v>0</v>
      </c>
      <c r="P42" s="1" t="str">
        <f aca="false">IF(OR(MONTH(C42)=3,MONTH(C42)=4,MONTH(C42)=5,MONTH(C42)=6), "Summer", IF(OR(MONTH(C42)=7,MONTH(C42)=8,MONTH(C42)=9,MONTH(C42)=10), "Monsoon", "Winter"))</f>
        <v>Winter</v>
      </c>
      <c r="Q42" s="1" t="n">
        <f aca="false">WEEKDAY(C42,2)</f>
        <v>2</v>
      </c>
      <c r="R42" s="0" t="n">
        <f aca="false">ROUNDDOWN(((INT(C42)+MOD(D42,1))-(INT(I42)+MOD(J42,1))),0)</f>
        <v>0</v>
      </c>
      <c r="S42" s="10"/>
    </row>
    <row r="43" customFormat="false" ht="145.05" hidden="false" customHeight="false" outlineLevel="0" collapsed="false">
      <c r="A43" s="8" t="s">
        <v>94</v>
      </c>
      <c r="B43" s="22" t="s">
        <v>95</v>
      </c>
      <c r="C43" s="18" t="n">
        <v>45328.875</v>
      </c>
      <c r="D43" s="19" t="n">
        <v>45328.875</v>
      </c>
      <c r="E43" s="18" t="n">
        <v>45329.3541666667</v>
      </c>
      <c r="F43" s="19" t="n">
        <v>45329.3541666667</v>
      </c>
      <c r="G43" s="20" t="n">
        <v>2200</v>
      </c>
      <c r="H43" s="8" t="n">
        <v>8</v>
      </c>
      <c r="I43" s="10" t="n">
        <v>45328</v>
      </c>
      <c r="J43" s="11" t="n">
        <v>0.968680555553877</v>
      </c>
      <c r="K43" s="1" t="str">
        <f aca="false">IF(L43&gt;24,     IF(H43=2,"Couple Extended Day","Extended Day"), IF(L43&lt;=12,     IF(AND(MOD(D43,1)&gt;=TIME(6,0,0),MOD(D43,1)&lt;TIME(18,0,0)),         IF(H43=2,"Couple Half Day","12H Day"),         IF(H43=2,"Couple Half Night","12H Night")), IF(L43&lt;=24,     IF(AND(MOD(D43,1)&gt;=TIME(6,0,0),MOD(D43,1)&lt;TIME(18,0,0)),         IF(H43=2,"Couple Full Day","24H Day"),         IF(H43=2,"Couple Full Night","24H Night")), "Check Data")))</f>
        <v>12H Night</v>
      </c>
      <c r="L43" s="12" t="n">
        <f aca="false">((INT(E43)+MOD(F43,1))-(INT(C43)+MOD(D43,1)))*24</f>
        <v>11.5000000009895</v>
      </c>
      <c r="M43" s="1" t="n">
        <f aca="false">IFERROR(INDEX(Sheet3!$B$2:$B$500,MATCH(1,(INT(C43)+MOD(D43,1)&lt;INT(Sheet3!$A$2:$A$500)+TIME(18,0,0))*(INT(E43)+MOD(F43,1)&gt;=INT(Sheet3!$A$2:$A$500)),0)),0)</f>
        <v>0</v>
      </c>
      <c r="N43" s="1" t="n">
        <f aca="false">IF(OR( AND(Q43=6,D43&gt;=TIME(17,0,0),OR(K43="12H Night",K43="Couple Half Night",K43="24H Night",K43="Couple Full Night")), AND(Q43=7,D43&gt;=TIME(6,0,0),D43&lt;TIME(12,0,0),OR(K43="12H Day",K43="Couple Half Day",K43="24H Day",K43="Couple Full Day")) ),1,0)</f>
        <v>0</v>
      </c>
      <c r="O43" s="1" t="n">
        <f aca="false">IF(OR( AND(MONTH(C43)=12,DAY(C43)&gt;=26), AND(MONTH(C43)=4,DAY(C43)&gt;=15), MONTH(C43)=5, AND(MONTH(C43)=6,DAY(C43)&lt;=10) ),1,0)</f>
        <v>0</v>
      </c>
      <c r="P43" s="1" t="str">
        <f aca="false">IF(OR(MONTH(C43)=3,MONTH(C43)=4,MONTH(C43)=5,MONTH(C43)=6), "Summer", IF(OR(MONTH(C43)=7,MONTH(C43)=8,MONTH(C43)=9,MONTH(C43)=10), "Monsoon", "Winter"))</f>
        <v>Winter</v>
      </c>
      <c r="Q43" s="1" t="n">
        <f aca="false">WEEKDAY(C43,2)</f>
        <v>2</v>
      </c>
      <c r="R43" s="0" t="n">
        <f aca="false">ROUNDDOWN(((INT(C43)+MOD(D43,1))-(INT(I43)+MOD(J43,1))),0)</f>
        <v>-0</v>
      </c>
      <c r="S43" s="10"/>
    </row>
    <row r="44" customFormat="false" ht="192.95" hidden="false" customHeight="false" outlineLevel="0" collapsed="false">
      <c r="A44" s="8" t="s">
        <v>96</v>
      </c>
      <c r="B44" s="22" t="s">
        <v>97</v>
      </c>
      <c r="C44" s="18" t="n">
        <v>45329.5208333333</v>
      </c>
      <c r="D44" s="19" t="n">
        <v>45329.5208333333</v>
      </c>
      <c r="E44" s="18" t="n">
        <v>45329.6666666667</v>
      </c>
      <c r="F44" s="19" t="n">
        <v>45329.6666666667</v>
      </c>
      <c r="G44" s="20" t="n">
        <v>2000</v>
      </c>
      <c r="H44" s="8" t="n">
        <v>2</v>
      </c>
      <c r="I44" s="10" t="n">
        <v>45327</v>
      </c>
      <c r="J44" s="11" t="n">
        <v>0.523807870369641</v>
      </c>
      <c r="K44" s="1" t="str">
        <f aca="false">IF(L44&gt;24,     IF(H44=2,"Couple Extended Day","Extended Day"), IF(L44&lt;=12,     IF(AND(MOD(D44,1)&gt;=TIME(6,0,0),MOD(D44,1)&lt;TIME(18,0,0)),         IF(H44=2,"Couple Half Day","12H Day"),         IF(H44=2,"Couple Half Night","12H Night")), IF(L44&lt;=24,     IF(AND(MOD(D44,1)&gt;=TIME(6,0,0),MOD(D44,1)&lt;TIME(18,0,0)),         IF(H44=2,"Couple Full Day","24H Day"),         IF(H44=2,"Couple Full Night","24H Night")), "Check Data")))</f>
        <v>Couple Half Day</v>
      </c>
      <c r="L44" s="12" t="n">
        <f aca="false">((INT(E44)+MOD(F44,1))-(INT(C44)+MOD(D44,1)))*24</f>
        <v>3.50000000197906</v>
      </c>
      <c r="M44" s="1" t="n">
        <f aca="false">IFERROR(INDEX(Sheet3!$B$2:$B$500,MATCH(1,(INT(C44)+MOD(D44,1)&lt;INT(Sheet3!$A$2:$A$500)+TIME(18,0,0))*(INT(E44)+MOD(F44,1)&gt;=INT(Sheet3!$A$2:$A$500)),0)),0)</f>
        <v>0</v>
      </c>
      <c r="N44" s="1" t="n">
        <f aca="false">IF(OR( AND(Q44=6,D44&gt;=TIME(17,0,0),OR(K44="12H Night",K44="Couple Half Night",K44="24H Night",K44="Couple Full Night")), AND(Q44=7,D44&gt;=TIME(6,0,0),D44&lt;TIME(12,0,0),OR(K44="12H Day",K44="Couple Half Day",K44="24H Day",K44="Couple Full Day")) ),1,0)</f>
        <v>0</v>
      </c>
      <c r="O44" s="1" t="n">
        <f aca="false">IF(OR( AND(MONTH(C44)=12,DAY(C44)&gt;=26), AND(MONTH(C44)=4,DAY(C44)&gt;=15), MONTH(C44)=5, AND(MONTH(C44)=6,DAY(C44)&lt;=10) ),1,0)</f>
        <v>0</v>
      </c>
      <c r="P44" s="1" t="str">
        <f aca="false">IF(OR(MONTH(C44)=3,MONTH(C44)=4,MONTH(C44)=5,MONTH(C44)=6), "Summer", IF(OR(MONTH(C44)=7,MONTH(C44)=8,MONTH(C44)=9,MONTH(C44)=10), "Monsoon", "Winter"))</f>
        <v>Winter</v>
      </c>
      <c r="Q44" s="1" t="n">
        <f aca="false">WEEKDAY(C44,2)</f>
        <v>3</v>
      </c>
      <c r="R44" s="0" t="n">
        <f aca="false">ROUNDDOWN(((INT(C44)+MOD(D44,1))-(INT(I44)+MOD(J44,1))),0)</f>
        <v>1</v>
      </c>
      <c r="S44" s="10"/>
    </row>
    <row r="45" customFormat="false" ht="121.1" hidden="false" customHeight="false" outlineLevel="0" collapsed="false">
      <c r="A45" s="8" t="s">
        <v>98</v>
      </c>
      <c r="B45" s="22" t="s">
        <v>99</v>
      </c>
      <c r="C45" s="18" t="n">
        <v>45330.375</v>
      </c>
      <c r="D45" s="19" t="n">
        <v>45330.375</v>
      </c>
      <c r="E45" s="18" t="n">
        <v>45330.625</v>
      </c>
      <c r="F45" s="19" t="n">
        <v>45330.625</v>
      </c>
      <c r="G45" s="20" t="n">
        <v>2000</v>
      </c>
      <c r="H45" s="8" t="n">
        <v>4</v>
      </c>
      <c r="I45" s="10" t="n">
        <v>45329</v>
      </c>
      <c r="J45" s="11" t="n">
        <v>0.596064814817512</v>
      </c>
      <c r="K45" s="1" t="str">
        <f aca="false">IF(L45&gt;24,     IF(H45=2,"Couple Extended Day","Extended Day"), IF(L45&lt;=12,     IF(AND(MOD(D45,1)&gt;=TIME(6,0,0),MOD(D45,1)&lt;TIME(18,0,0)),         IF(H45=2,"Couple Half Day","12H Day"),         IF(H45=2,"Couple Half Night","12H Night")), IF(L45&lt;=24,     IF(AND(MOD(D45,1)&gt;=TIME(6,0,0),MOD(D45,1)&lt;TIME(18,0,0)),         IF(H45=2,"Couple Full Day","24H Day"),         IF(H45=2,"Couple Full Night","24H Night")), "Check Data")))</f>
        <v>12H Day</v>
      </c>
      <c r="L45" s="12" t="n">
        <f aca="false">((INT(E45)+MOD(F45,1))-(INT(C45)+MOD(D45,1)))*24</f>
        <v>6</v>
      </c>
      <c r="M45" s="1" t="n">
        <f aca="false">IFERROR(INDEX(Sheet3!$B$2:$B$500,MATCH(1,(INT(C45)+MOD(D45,1)&lt;INT(Sheet3!$A$2:$A$500)+TIME(18,0,0))*(INT(E45)+MOD(F45,1)&gt;=INT(Sheet3!$A$2:$A$500)),0)),0)</f>
        <v>0</v>
      </c>
      <c r="N45" s="1" t="n">
        <f aca="false">IF(OR( AND(Q45=6,D45&gt;=TIME(17,0,0),OR(K45="12H Night",K45="Couple Half Night",K45="24H Night",K45="Couple Full Night")), AND(Q45=7,D45&gt;=TIME(6,0,0),D45&lt;TIME(12,0,0),OR(K45="12H Day",K45="Couple Half Day",K45="24H Day",K45="Couple Full Day")) ),1,0)</f>
        <v>0</v>
      </c>
      <c r="O45" s="1" t="n">
        <f aca="false">IF(OR( AND(MONTH(C45)=12,DAY(C45)&gt;=26), AND(MONTH(C45)=4,DAY(C45)&gt;=15), MONTH(C45)=5, AND(MONTH(C45)=6,DAY(C45)&lt;=10) ),1,0)</f>
        <v>0</v>
      </c>
      <c r="P45" s="1" t="str">
        <f aca="false">IF(OR(MONTH(C45)=3,MONTH(C45)=4,MONTH(C45)=5,MONTH(C45)=6), "Summer", IF(OR(MONTH(C45)=7,MONTH(C45)=8,MONTH(C45)=9,MONTH(C45)=10), "Monsoon", "Winter"))</f>
        <v>Winter</v>
      </c>
      <c r="Q45" s="1" t="n">
        <f aca="false">WEEKDAY(C45,2)</f>
        <v>4</v>
      </c>
      <c r="R45" s="0" t="n">
        <f aca="false">ROUNDDOWN(((INT(C45)+MOD(D45,1))-(INT(I45)+MOD(J45,1))),0)</f>
        <v>0</v>
      </c>
      <c r="S45" s="10"/>
    </row>
    <row r="46" customFormat="false" ht="145.05" hidden="false" customHeight="false" outlineLevel="0" collapsed="false">
      <c r="A46" s="8" t="s">
        <v>100</v>
      </c>
      <c r="B46" s="22" t="s">
        <v>101</v>
      </c>
      <c r="C46" s="18" t="n">
        <v>45331.3333333333</v>
      </c>
      <c r="D46" s="19" t="n">
        <v>0</v>
      </c>
      <c r="E46" s="18" t="n">
        <v>45331.7083333333</v>
      </c>
      <c r="F46" s="19" t="n">
        <v>0</v>
      </c>
      <c r="G46" s="20" t="n">
        <v>2000</v>
      </c>
      <c r="H46" s="8" t="n">
        <v>4</v>
      </c>
      <c r="I46" s="10" t="n">
        <v>45330</v>
      </c>
      <c r="J46" s="11" t="n">
        <v>0.759178240739861</v>
      </c>
      <c r="K46" s="1" t="str">
        <f aca="false">IF(L46&gt;24,     IF(H46=2,"Couple Extended Day","Extended Day"), IF(L46&lt;=12,     IF(AND(MOD(D46,1)&gt;=TIME(6,0,0),MOD(D46,1)&lt;TIME(18,0,0)),         IF(H46=2,"Couple Half Day","12H Day"),         IF(H46=2,"Couple Half Night","12H Night")), IF(L46&lt;=24,     IF(AND(MOD(D46,1)&gt;=TIME(6,0,0),MOD(D46,1)&lt;TIME(18,0,0)),         IF(H46=2,"Couple Full Day","24H Day"),         IF(H46=2,"Couple Full Night","24H Night")), "Check Data")))</f>
        <v>12H Night</v>
      </c>
      <c r="L46" s="12" t="n">
        <f aca="false">((INT(E46)+MOD(F46,1))-(INT(C46)+MOD(D46,1)))*24</f>
        <v>0</v>
      </c>
      <c r="M46" s="1" t="n">
        <f aca="false">IFERROR(INDEX(Sheet3!$B$2:$B$500,MATCH(1,(INT(C46)+MOD(D46,1)&lt;INT(Sheet3!$A$2:$A$500)+TIME(18,0,0))*(INT(E46)+MOD(F46,1)&gt;=INT(Sheet3!$A$2:$A$500)),0)),0)</f>
        <v>0</v>
      </c>
      <c r="N46" s="1" t="n">
        <f aca="false">IF(OR( AND(Q46=6,D46&gt;=TIME(17,0,0),OR(K46="12H Night",K46="Couple Half Night",K46="24H Night",K46="Couple Full Night")), AND(Q46=7,D46&gt;=TIME(6,0,0),D46&lt;TIME(12,0,0),OR(K46="12H Day",K46="Couple Half Day",K46="24H Day",K46="Couple Full Day")) ),1,0)</f>
        <v>0</v>
      </c>
      <c r="O46" s="1" t="n">
        <f aca="false">IF(OR( AND(MONTH(C46)=12,DAY(C46)&gt;=26), AND(MONTH(C46)=4,DAY(C46)&gt;=15), MONTH(C46)=5, AND(MONTH(C46)=6,DAY(C46)&lt;=10) ),1,0)</f>
        <v>0</v>
      </c>
      <c r="P46" s="1" t="str">
        <f aca="false">IF(OR(MONTH(C46)=3,MONTH(C46)=4,MONTH(C46)=5,MONTH(C46)=6), "Summer", IF(OR(MONTH(C46)=7,MONTH(C46)=8,MONTH(C46)=9,MONTH(C46)=10), "Monsoon", "Winter"))</f>
        <v>Winter</v>
      </c>
      <c r="Q46" s="1" t="n">
        <f aca="false">WEEKDAY(C46,2)</f>
        <v>5</v>
      </c>
      <c r="R46" s="0" t="n">
        <f aca="false">ROUNDDOWN(((INT(C46)+MOD(D46,1))-(INT(I46)+MOD(J46,1))),0)</f>
        <v>0</v>
      </c>
      <c r="S46" s="10"/>
    </row>
    <row r="47" customFormat="false" ht="121.1" hidden="false" customHeight="false" outlineLevel="0" collapsed="false">
      <c r="A47" s="8" t="s">
        <v>102</v>
      </c>
      <c r="B47" s="22" t="s">
        <v>103</v>
      </c>
      <c r="C47" s="18" t="n">
        <v>45332.7916666667</v>
      </c>
      <c r="D47" s="19" t="n">
        <v>45332.7916666667</v>
      </c>
      <c r="E47" s="18" t="n">
        <v>45333.75</v>
      </c>
      <c r="F47" s="19" t="n">
        <v>45333.75</v>
      </c>
      <c r="G47" s="20" t="n">
        <v>4500</v>
      </c>
      <c r="H47" s="8" t="n">
        <v>12</v>
      </c>
      <c r="I47" s="10" t="n">
        <v>45331</v>
      </c>
      <c r="J47" s="11" t="n">
        <v>0.64665509259794</v>
      </c>
      <c r="K47" s="1" t="str">
        <f aca="false">IF(L47&gt;24,     IF(H47=2,"Couple Extended Day","Extended Day"), IF(L47&lt;=12,     IF(AND(MOD(D47,1)&gt;=TIME(6,0,0),MOD(D47,1)&lt;TIME(18,0,0)),         IF(H47=2,"Couple Half Day","12H Day"),         IF(H47=2,"Couple Half Night","12H Night")), IF(L47&lt;=24,     IF(AND(MOD(D47,1)&gt;=TIME(6,0,0),MOD(D47,1)&lt;TIME(18,0,0)),         IF(H47=2,"Couple Full Day","24H Day"),         IF(H47=2,"Couple Full Night","24H Night")), "Check Data")))</f>
        <v>24H Night</v>
      </c>
      <c r="L47" s="12" t="n">
        <f aca="false">((INT(E47)+MOD(F47,1))-(INT(C47)+MOD(D47,1)))*24</f>
        <v>22.9999999990105</v>
      </c>
      <c r="M47" s="1" t="n">
        <f aca="false">IFERROR(INDEX(Sheet3!$B$2:$B$500,MATCH(1,(INT(C47)+MOD(D47,1)&lt;INT(Sheet3!$A$2:$A$500)+TIME(18,0,0))*(INT(E47)+MOD(F47,1)&gt;=INT(Sheet3!$A$2:$A$500)),0)),0)</f>
        <v>0</v>
      </c>
      <c r="N47" s="1" t="n">
        <f aca="false">IF(OR( AND(Q47=6,D47&gt;=TIME(17,0,0),OR(K47="12H Night",K47="Couple Half Night",K47="24H Night",K47="Couple Full Night")), AND(Q47=7,D47&gt;=TIME(6,0,0),D47&lt;TIME(12,0,0),OR(K47="12H Day",K47="Couple Half Day",K47="24H Day",K47="Couple Full Day")) ),1,0)</f>
        <v>1</v>
      </c>
      <c r="O47" s="1" t="n">
        <f aca="false">IF(OR( AND(MONTH(C47)=12,DAY(C47)&gt;=26), AND(MONTH(C47)=4,DAY(C47)&gt;=15), MONTH(C47)=5, AND(MONTH(C47)=6,DAY(C47)&lt;=10) ),1,0)</f>
        <v>0</v>
      </c>
      <c r="P47" s="1" t="str">
        <f aca="false">IF(OR(MONTH(C47)=3,MONTH(C47)=4,MONTH(C47)=5,MONTH(C47)=6), "Summer", IF(OR(MONTH(C47)=7,MONTH(C47)=8,MONTH(C47)=9,MONTH(C47)=10), "Monsoon", "Winter"))</f>
        <v>Winter</v>
      </c>
      <c r="Q47" s="1" t="n">
        <f aca="false">WEEKDAY(C47,2)</f>
        <v>6</v>
      </c>
      <c r="R47" s="0" t="n">
        <f aca="false">ROUNDDOWN(((INT(C47)+MOD(D47,1))-(INT(I47)+MOD(J47,1))),0)</f>
        <v>1</v>
      </c>
      <c r="S47" s="10"/>
    </row>
    <row r="48" customFormat="false" ht="13.8" hidden="false" customHeight="false" outlineLevel="0" collapsed="false">
      <c r="A48" s="8" t="s">
        <v>104</v>
      </c>
      <c r="B48" s="8" t="s">
        <v>105</v>
      </c>
      <c r="C48" s="18" t="n">
        <v>45334.7916666667</v>
      </c>
      <c r="D48" s="19" t="n">
        <v>45334.7916666667</v>
      </c>
      <c r="E48" s="18" t="n">
        <v>45336.75</v>
      </c>
      <c r="F48" s="19" t="n">
        <v>45336.75</v>
      </c>
      <c r="G48" s="20" t="n">
        <v>7000</v>
      </c>
      <c r="I48" s="10" t="n">
        <v>45296</v>
      </c>
      <c r="J48" s="11" t="n">
        <v>0.636331018518831</v>
      </c>
      <c r="K48" s="1" t="str">
        <f aca="false">IF(L48&gt;24,     IF(H48=2,"Couple Extended Day","Extended Day"), IF(L48&lt;=12,     IF(AND(MOD(D48,1)&gt;=TIME(6,0,0),MOD(D48,1)&lt;TIME(18,0,0)),         IF(H48=2,"Couple Half Day","12H Day"),         IF(H48=2,"Couple Half Night","12H Night")), IF(L48&lt;=24,     IF(AND(MOD(D48,1)&gt;=TIME(6,0,0),MOD(D48,1)&lt;TIME(18,0,0)),         IF(H48=2,"Couple Full Day","24H Day"),         IF(H48=2,"Couple Full Night","24H Night")), "Check Data")))</f>
        <v>Extended Day</v>
      </c>
      <c r="L48" s="12" t="n">
        <f aca="false">((INT(E48)+MOD(F48,1))-(INT(C48)+MOD(D48,1)))*24</f>
        <v>46.9999999990105</v>
      </c>
      <c r="M48" s="1" t="n">
        <f aca="false">IFERROR(INDEX(Sheet3!$B$2:$B$500,MATCH(1,(INT(C48)+MOD(D48,1)&lt;INT(Sheet3!$A$2:$A$500)+TIME(18,0,0))*(INT(E48)+MOD(F48,1)&gt;=INT(Sheet3!$A$2:$A$500)),0)),0)</f>
        <v>0</v>
      </c>
      <c r="N48" s="1" t="n">
        <f aca="false">IF(OR( AND(Q48=6,D48&gt;=TIME(17,0,0),OR(K48="12H Night",K48="Couple Half Night",K48="24H Night",K48="Couple Full Night")), AND(Q48=7,D48&gt;=TIME(6,0,0),D48&lt;TIME(12,0,0),OR(K48="12H Day",K48="Couple Half Day",K48="24H Day",K48="Couple Full Day")) ),1,0)</f>
        <v>0</v>
      </c>
      <c r="O48" s="1" t="n">
        <f aca="false">IF(OR( AND(MONTH(C48)=12,DAY(C48)&gt;=26), AND(MONTH(C48)=4,DAY(C48)&gt;=15), MONTH(C48)=5, AND(MONTH(C48)=6,DAY(C48)&lt;=10) ),1,0)</f>
        <v>0</v>
      </c>
      <c r="P48" s="1" t="str">
        <f aca="false">IF(OR(MONTH(C48)=3,MONTH(C48)=4,MONTH(C48)=5,MONTH(C48)=6), "Summer", IF(OR(MONTH(C48)=7,MONTH(C48)=8,MONTH(C48)=9,MONTH(C48)=10), "Monsoon", "Winter"))</f>
        <v>Winter</v>
      </c>
      <c r="Q48" s="1" t="n">
        <f aca="false">WEEKDAY(C48,2)</f>
        <v>1</v>
      </c>
      <c r="R48" s="0" t="n">
        <f aca="false">ROUNDDOWN(((INT(C48)+MOD(D48,1))-(INT(I48)+MOD(J48,1))),0)</f>
        <v>38</v>
      </c>
      <c r="S48" s="10"/>
    </row>
    <row r="49" customFormat="false" ht="192.95" hidden="false" customHeight="false" outlineLevel="0" collapsed="false">
      <c r="A49" s="8" t="s">
        <v>106</v>
      </c>
      <c r="B49" s="22" t="s">
        <v>107</v>
      </c>
      <c r="C49" s="18" t="n">
        <v>45337.25</v>
      </c>
      <c r="D49" s="19" t="n">
        <v>45337.25</v>
      </c>
      <c r="E49" s="18" t="n">
        <v>45337.75</v>
      </c>
      <c r="F49" s="19" t="n">
        <v>45337.75</v>
      </c>
      <c r="G49" s="20" t="n">
        <v>2500</v>
      </c>
      <c r="H49" s="8" t="n">
        <v>4</v>
      </c>
      <c r="I49" s="10" t="n">
        <v>45326</v>
      </c>
      <c r="J49" s="11" t="n">
        <v>0.713761574079398</v>
      </c>
      <c r="K49" s="1" t="str">
        <f aca="false">IF(L49&gt;24,     IF(H49=2,"Couple Extended Day","Extended Day"), IF(L49&lt;=12,     IF(AND(MOD(D49,1)&gt;=TIME(6,0,0),MOD(D49,1)&lt;TIME(18,0,0)),         IF(H49=2,"Couple Half Day","12H Day"),         IF(H49=2,"Couple Half Night","12H Night")), IF(L49&lt;=24,     IF(AND(MOD(D49,1)&gt;=TIME(6,0,0),MOD(D49,1)&lt;TIME(18,0,0)),         IF(H49=2,"Couple Full Day","24H Day"),         IF(H49=2,"Couple Full Night","24H Night")), "Check Data")))</f>
        <v>12H Day</v>
      </c>
      <c r="L49" s="12" t="n">
        <f aca="false">((INT(E49)+MOD(F49,1))-(INT(C49)+MOD(D49,1)))*24</f>
        <v>12</v>
      </c>
      <c r="M49" s="1" t="n">
        <f aca="false">IFERROR(INDEX(Sheet3!$B$2:$B$500,MATCH(1,(INT(C49)+MOD(D49,1)&lt;INT(Sheet3!$A$2:$A$500)+TIME(18,0,0))*(INT(E49)+MOD(F49,1)&gt;=INT(Sheet3!$A$2:$A$500)),0)),0)</f>
        <v>0</v>
      </c>
      <c r="N49" s="1" t="n">
        <f aca="false">IF(OR( AND(Q49=6,D49&gt;=TIME(17,0,0),OR(K49="12H Night",K49="Couple Half Night",K49="24H Night",K49="Couple Full Night")), AND(Q49=7,D49&gt;=TIME(6,0,0),D49&lt;TIME(12,0,0),OR(K49="12H Day",K49="Couple Half Day",K49="24H Day",K49="Couple Full Day")) ),1,0)</f>
        <v>0</v>
      </c>
      <c r="O49" s="1" t="n">
        <f aca="false">IF(OR( AND(MONTH(C49)=12,DAY(C49)&gt;=26), AND(MONTH(C49)=4,DAY(C49)&gt;=15), MONTH(C49)=5, AND(MONTH(C49)=6,DAY(C49)&lt;=10) ),1,0)</f>
        <v>0</v>
      </c>
      <c r="P49" s="1" t="str">
        <f aca="false">IF(OR(MONTH(C49)=3,MONTH(C49)=4,MONTH(C49)=5,MONTH(C49)=6), "Summer", IF(OR(MONTH(C49)=7,MONTH(C49)=8,MONTH(C49)=9,MONTH(C49)=10), "Monsoon", "Winter"))</f>
        <v>Winter</v>
      </c>
      <c r="Q49" s="1" t="n">
        <f aca="false">WEEKDAY(C49,2)</f>
        <v>4</v>
      </c>
      <c r="R49" s="0" t="n">
        <f aca="false">ROUNDDOWN(((INT(C49)+MOD(D49,1))-(INT(I49)+MOD(J49,1))),0)</f>
        <v>10</v>
      </c>
      <c r="S49" s="10"/>
    </row>
    <row r="50" customFormat="false" ht="121.1" hidden="false" customHeight="false" outlineLevel="0" collapsed="false">
      <c r="A50" s="8" t="s">
        <v>108</v>
      </c>
      <c r="B50" s="22" t="s">
        <v>109</v>
      </c>
      <c r="C50" s="18" t="n">
        <v>45338.4166666667</v>
      </c>
      <c r="D50" s="19" t="n">
        <v>45338.4166666667</v>
      </c>
      <c r="E50" s="18" t="n">
        <v>45338.75</v>
      </c>
      <c r="F50" s="19" t="n">
        <v>45338.75</v>
      </c>
      <c r="G50" s="20" t="n">
        <v>2700</v>
      </c>
      <c r="H50" s="8" t="n">
        <v>2</v>
      </c>
      <c r="I50" s="10" t="n">
        <v>45336</v>
      </c>
      <c r="J50" s="11" t="n">
        <v>0.805312500000579</v>
      </c>
      <c r="K50" s="1" t="str">
        <f aca="false">IF(L50&gt;24,     IF(H50=2,"Couple Extended Day","Extended Day"), IF(L50&lt;=12,     IF(AND(MOD(D50,1)&gt;=TIME(6,0,0),MOD(D50,1)&lt;TIME(18,0,0)),         IF(H50=2,"Couple Half Day","12H Day"),         IF(H50=2,"Couple Half Night","12H Night")), IF(L50&lt;=24,     IF(AND(MOD(D50,1)&gt;=TIME(6,0,0),MOD(D50,1)&lt;TIME(18,0,0)),         IF(H50=2,"Couple Full Day","24H Day"),         IF(H50=2,"Couple Full Night","24H Night")), "Check Data")))</f>
        <v>Couple Half Day</v>
      </c>
      <c r="L50" s="12" t="n">
        <f aca="false">((INT(E50)+MOD(F50,1))-(INT(C50)+MOD(D50,1)))*24</f>
        <v>7.99999999901047</v>
      </c>
      <c r="M50" s="1" t="n">
        <f aca="false">IFERROR(INDEX(Sheet3!$B$2:$B$500,MATCH(1,(INT(C50)+MOD(D50,1)&lt;INT(Sheet3!$A$2:$A$500)+TIME(18,0,0))*(INT(E50)+MOD(F50,1)&gt;=INT(Sheet3!$A$2:$A$500)),0)),0)</f>
        <v>0</v>
      </c>
      <c r="N50" s="1" t="n">
        <f aca="false">IF(OR( AND(Q50=6,D50&gt;=TIME(17,0,0),OR(K50="12H Night",K50="Couple Half Night",K50="24H Night",K50="Couple Full Night")), AND(Q50=7,D50&gt;=TIME(6,0,0),D50&lt;TIME(12,0,0),OR(K50="12H Day",K50="Couple Half Day",K50="24H Day",K50="Couple Full Day")) ),1,0)</f>
        <v>0</v>
      </c>
      <c r="O50" s="1" t="n">
        <f aca="false">IF(OR( AND(MONTH(C50)=12,DAY(C50)&gt;=26), AND(MONTH(C50)=4,DAY(C50)&gt;=15), MONTH(C50)=5, AND(MONTH(C50)=6,DAY(C50)&lt;=10) ),1,0)</f>
        <v>0</v>
      </c>
      <c r="P50" s="1" t="str">
        <f aca="false">IF(OR(MONTH(C50)=3,MONTH(C50)=4,MONTH(C50)=5,MONTH(C50)=6), "Summer", IF(OR(MONTH(C50)=7,MONTH(C50)=8,MONTH(C50)=9,MONTH(C50)=10), "Monsoon", "Winter"))</f>
        <v>Winter</v>
      </c>
      <c r="Q50" s="1" t="n">
        <f aca="false">WEEKDAY(C50,2)</f>
        <v>5</v>
      </c>
      <c r="R50" s="0" t="n">
        <f aca="false">ROUNDDOWN(((INT(C50)+MOD(D50,1))-(INT(I50)+MOD(J50,1))),0)</f>
        <v>1</v>
      </c>
      <c r="S50" s="10"/>
    </row>
    <row r="51" customFormat="false" ht="133.05" hidden="false" customHeight="false" outlineLevel="0" collapsed="false">
      <c r="A51" s="8" t="s">
        <v>110</v>
      </c>
      <c r="B51" s="22" t="s">
        <v>111</v>
      </c>
      <c r="C51" s="18" t="n">
        <v>45339.7916666667</v>
      </c>
      <c r="D51" s="19" t="n">
        <v>45339.7916666667</v>
      </c>
      <c r="E51" s="18" t="n">
        <v>45340.75</v>
      </c>
      <c r="F51" s="19" t="n">
        <v>45340.75</v>
      </c>
      <c r="G51" s="20" t="n">
        <v>6000</v>
      </c>
      <c r="H51" s="8" t="n">
        <v>22</v>
      </c>
      <c r="I51" s="10" t="n">
        <v>45329</v>
      </c>
      <c r="J51" s="11" t="n">
        <v>0.880648148144248</v>
      </c>
      <c r="K51" s="1" t="str">
        <f aca="false">IF(L51&gt;24,     IF(H51=2,"Couple Extended Day","Extended Day"), IF(L51&lt;=12,     IF(AND(MOD(D51,1)&gt;=TIME(6,0,0),MOD(D51,1)&lt;TIME(18,0,0)),         IF(H51=2,"Couple Half Day","12H Day"),         IF(H51=2,"Couple Half Night","12H Night")), IF(L51&lt;=24,     IF(AND(MOD(D51,1)&gt;=TIME(6,0,0),MOD(D51,1)&lt;TIME(18,0,0)),         IF(H51=2,"Couple Full Day","24H Day"),         IF(H51=2,"Couple Full Night","24H Night")), "Check Data")))</f>
        <v>24H Night</v>
      </c>
      <c r="L51" s="12" t="n">
        <f aca="false">((INT(E51)+MOD(F51,1))-(INT(C51)+MOD(D51,1)))*24</f>
        <v>22.9999999990105</v>
      </c>
      <c r="M51" s="1" t="n">
        <f aca="false">IFERROR(INDEX(Sheet3!$B$2:$B$500,MATCH(1,(INT(C51)+MOD(D51,1)&lt;INT(Sheet3!$A$2:$A$500)+TIME(18,0,0))*(INT(E51)+MOD(F51,1)&gt;=INT(Sheet3!$A$2:$A$500)),0)),0)</f>
        <v>0</v>
      </c>
      <c r="N51" s="1" t="n">
        <f aca="false">IF(OR( AND(Q51=6,D51&gt;=TIME(17,0,0),OR(K51="12H Night",K51="Couple Half Night",K51="24H Night",K51="Couple Full Night")), AND(Q51=7,D51&gt;=TIME(6,0,0),D51&lt;TIME(12,0,0),OR(K51="12H Day",K51="Couple Half Day",K51="24H Day",K51="Couple Full Day")) ),1,0)</f>
        <v>1</v>
      </c>
      <c r="O51" s="1" t="n">
        <f aca="false">IF(OR( AND(MONTH(C51)=12,DAY(C51)&gt;=26), AND(MONTH(C51)=4,DAY(C51)&gt;=15), MONTH(C51)=5, AND(MONTH(C51)=6,DAY(C51)&lt;=10) ),1,0)</f>
        <v>0</v>
      </c>
      <c r="P51" s="1" t="str">
        <f aca="false">IF(OR(MONTH(C51)=3,MONTH(C51)=4,MONTH(C51)=5,MONTH(C51)=6), "Summer", IF(OR(MONTH(C51)=7,MONTH(C51)=8,MONTH(C51)=9,MONTH(C51)=10), "Monsoon", "Winter"))</f>
        <v>Winter</v>
      </c>
      <c r="Q51" s="1" t="n">
        <f aca="false">WEEKDAY(C51,2)</f>
        <v>6</v>
      </c>
      <c r="R51" s="0" t="n">
        <f aca="false">ROUNDDOWN(((INT(C51)+MOD(D51,1))-(INT(I51)+MOD(J51,1))),0)</f>
        <v>9</v>
      </c>
      <c r="S51" s="10"/>
    </row>
    <row r="52" customFormat="false" ht="157" hidden="false" customHeight="false" outlineLevel="0" collapsed="false">
      <c r="A52" s="8" t="s">
        <v>112</v>
      </c>
      <c r="B52" s="22" t="s">
        <v>113</v>
      </c>
      <c r="C52" s="18" t="n">
        <v>45342.4166666667</v>
      </c>
      <c r="D52" s="19" t="n">
        <v>45342.4166666667</v>
      </c>
      <c r="E52" s="18" t="n">
        <v>45342.75</v>
      </c>
      <c r="F52" s="19" t="n">
        <v>45342.75</v>
      </c>
      <c r="G52" s="20" t="n">
        <v>2000</v>
      </c>
      <c r="H52" s="8" t="n">
        <v>4</v>
      </c>
      <c r="I52" s="10" t="n">
        <v>45341</v>
      </c>
      <c r="J52" s="11" t="n">
        <v>0.699513888888762</v>
      </c>
      <c r="K52" s="1" t="str">
        <f aca="false">IF(L52&gt;24,     IF(H52=2,"Couple Extended Day","Extended Day"), IF(L52&lt;=12,     IF(AND(MOD(D52,1)&gt;=TIME(6,0,0),MOD(D52,1)&lt;TIME(18,0,0)),         IF(H52=2,"Couple Half Day","12H Day"),         IF(H52=2,"Couple Half Night","12H Night")), IF(L52&lt;=24,     IF(AND(MOD(D52,1)&gt;=TIME(6,0,0),MOD(D52,1)&lt;TIME(18,0,0)),         IF(H52=2,"Couple Full Day","24H Day"),         IF(H52=2,"Couple Full Night","24H Night")), "Check Data")))</f>
        <v>12H Day</v>
      </c>
      <c r="L52" s="12" t="n">
        <f aca="false">((INT(E52)+MOD(F52,1))-(INT(C52)+MOD(D52,1)))*24</f>
        <v>7.99999999901047</v>
      </c>
      <c r="M52" s="1" t="n">
        <f aca="false">IFERROR(INDEX(Sheet3!$B$2:$B$500,MATCH(1,(INT(C52)+MOD(D52,1)&lt;INT(Sheet3!$A$2:$A$500)+TIME(18,0,0))*(INT(E52)+MOD(F52,1)&gt;=INT(Sheet3!$A$2:$A$500)),0)),0)</f>
        <v>0</v>
      </c>
      <c r="N52" s="1" t="n">
        <f aca="false">IF(OR( AND(Q52=6,D52&gt;=TIME(17,0,0),OR(K52="12H Night",K52="Couple Half Night",K52="24H Night",K52="Couple Full Night")), AND(Q52=7,D52&gt;=TIME(6,0,0),D52&lt;TIME(12,0,0),OR(K52="12H Day",K52="Couple Half Day",K52="24H Day",K52="Couple Full Day")) ),1,0)</f>
        <v>0</v>
      </c>
      <c r="O52" s="1" t="n">
        <f aca="false">IF(OR( AND(MONTH(C52)=12,DAY(C52)&gt;=26), AND(MONTH(C52)=4,DAY(C52)&gt;=15), MONTH(C52)=5, AND(MONTH(C52)=6,DAY(C52)&lt;=10) ),1,0)</f>
        <v>0</v>
      </c>
      <c r="P52" s="1" t="str">
        <f aca="false">IF(OR(MONTH(C52)=3,MONTH(C52)=4,MONTH(C52)=5,MONTH(C52)=6), "Summer", IF(OR(MONTH(C52)=7,MONTH(C52)=8,MONTH(C52)=9,MONTH(C52)=10), "Monsoon", "Winter"))</f>
        <v>Winter</v>
      </c>
      <c r="Q52" s="1" t="n">
        <f aca="false">WEEKDAY(C52,2)</f>
        <v>2</v>
      </c>
      <c r="R52" s="0" t="n">
        <f aca="false">ROUNDDOWN(((INT(C52)+MOD(D52,1))-(INT(I52)+MOD(J52,1))),0)</f>
        <v>0</v>
      </c>
      <c r="S52" s="10"/>
    </row>
    <row r="53" customFormat="false" ht="109.15" hidden="false" customHeight="false" outlineLevel="0" collapsed="false">
      <c r="A53" s="8" t="s">
        <v>114</v>
      </c>
      <c r="B53" s="22" t="s">
        <v>115</v>
      </c>
      <c r="C53" s="18" t="n">
        <v>45343.25</v>
      </c>
      <c r="D53" s="19" t="n">
        <v>45343.25</v>
      </c>
      <c r="E53" s="18" t="n">
        <v>45343.75</v>
      </c>
      <c r="F53" s="19" t="n">
        <v>45343.75</v>
      </c>
      <c r="G53" s="20" t="n">
        <v>1700</v>
      </c>
      <c r="H53" s="8" t="n">
        <v>4</v>
      </c>
      <c r="I53" s="10" t="n">
        <v>45340</v>
      </c>
      <c r="J53" s="11" t="n">
        <v>0.641238425931076</v>
      </c>
      <c r="K53" s="1" t="str">
        <f aca="false">IF(L53&gt;24,     IF(H53=2,"Couple Extended Day","Extended Day"), IF(L53&lt;=12,     IF(AND(MOD(D53,1)&gt;=TIME(6,0,0),MOD(D53,1)&lt;TIME(18,0,0)),         IF(H53=2,"Couple Half Day","12H Day"),         IF(H53=2,"Couple Half Night","12H Night")), IF(L53&lt;=24,     IF(AND(MOD(D53,1)&gt;=TIME(6,0,0),MOD(D53,1)&lt;TIME(18,0,0)),         IF(H53=2,"Couple Full Day","24H Day"),         IF(H53=2,"Couple Full Night","24H Night")), "Check Data")))</f>
        <v>12H Day</v>
      </c>
      <c r="L53" s="12" t="n">
        <f aca="false">((INT(E53)+MOD(F53,1))-(INT(C53)+MOD(D53,1)))*24</f>
        <v>12</v>
      </c>
      <c r="M53" s="1" t="n">
        <f aca="false">IFERROR(INDEX(Sheet3!$B$2:$B$500,MATCH(1,(INT(C53)+MOD(D53,1)&lt;INT(Sheet3!$A$2:$A$500)+TIME(18,0,0))*(INT(E53)+MOD(F53,1)&gt;=INT(Sheet3!$A$2:$A$500)),0)),0)</f>
        <v>0</v>
      </c>
      <c r="N53" s="1" t="n">
        <f aca="false">IF(OR( AND(Q53=6,D53&gt;=TIME(17,0,0),OR(K53="12H Night",K53="Couple Half Night",K53="24H Night",K53="Couple Full Night")), AND(Q53=7,D53&gt;=TIME(6,0,0),D53&lt;TIME(12,0,0),OR(K53="12H Day",K53="Couple Half Day",K53="24H Day",K53="Couple Full Day")) ),1,0)</f>
        <v>0</v>
      </c>
      <c r="O53" s="1" t="n">
        <f aca="false">IF(OR( AND(MONTH(C53)=12,DAY(C53)&gt;=26), AND(MONTH(C53)=4,DAY(C53)&gt;=15), MONTH(C53)=5, AND(MONTH(C53)=6,DAY(C53)&lt;=10) ),1,0)</f>
        <v>0</v>
      </c>
      <c r="P53" s="1" t="str">
        <f aca="false">IF(OR(MONTH(C53)=3,MONTH(C53)=4,MONTH(C53)=5,MONTH(C53)=6), "Summer", IF(OR(MONTH(C53)=7,MONTH(C53)=8,MONTH(C53)=9,MONTH(C53)=10), "Monsoon", "Winter"))</f>
        <v>Winter</v>
      </c>
      <c r="Q53" s="1" t="n">
        <f aca="false">WEEKDAY(C53,2)</f>
        <v>3</v>
      </c>
      <c r="R53" s="0" t="n">
        <f aca="false">ROUNDDOWN(((INT(C53)+MOD(D53,1))-(INT(I53)+MOD(J53,1))),0)</f>
        <v>2</v>
      </c>
      <c r="S53" s="10"/>
    </row>
    <row r="54" customFormat="false" ht="133.05" hidden="false" customHeight="false" outlineLevel="0" collapsed="false">
      <c r="A54" s="8" t="s">
        <v>116</v>
      </c>
      <c r="B54" s="22" t="s">
        <v>117</v>
      </c>
      <c r="C54" s="18" t="n">
        <v>45343.7916666667</v>
      </c>
      <c r="D54" s="19" t="n">
        <v>45343.7916666667</v>
      </c>
      <c r="E54" s="18" t="n">
        <v>45344.7083333333</v>
      </c>
      <c r="F54" s="19" t="n">
        <v>0</v>
      </c>
      <c r="G54" s="20" t="n">
        <v>3000</v>
      </c>
      <c r="H54" s="8" t="n">
        <v>2</v>
      </c>
      <c r="I54" s="10" t="n">
        <v>45342</v>
      </c>
      <c r="J54" s="11" t="n">
        <v>0.70217592592235</v>
      </c>
      <c r="K54" s="1" t="str">
        <f aca="false">IF(L54&gt;24,     IF(H54=2,"Couple Extended Day","Extended Day"), IF(L54&lt;=12,     IF(AND(MOD(D54,1)&gt;=TIME(6,0,0),MOD(D54,1)&lt;TIME(18,0,0)),         IF(H54=2,"Couple Half Day","12H Day"),         IF(H54=2,"Couple Half Night","12H Night")), IF(L54&lt;=24,     IF(AND(MOD(D54,1)&gt;=TIME(6,0,0),MOD(D54,1)&lt;TIME(18,0,0)),         IF(H54=2,"Couple Full Day","24H Day"),         IF(H54=2,"Couple Full Night","24H Night")), "Check Data")))</f>
        <v>Couple Half Night</v>
      </c>
      <c r="L54" s="12" t="n">
        <f aca="false">((INT(E54)+MOD(F54,1))-(INT(C54)+MOD(D54,1)))*24</f>
        <v>4.99999999901047</v>
      </c>
      <c r="M54" s="1" t="n">
        <f aca="false">IFERROR(INDEX(Sheet3!$B$2:$B$500,MATCH(1,(INT(C54)+MOD(D54,1)&lt;INT(Sheet3!$A$2:$A$500)+TIME(18,0,0))*(INT(E54)+MOD(F54,1)&gt;=INT(Sheet3!$A$2:$A$500)),0)),0)</f>
        <v>0</v>
      </c>
      <c r="N54" s="1" t="n">
        <f aca="false">IF(OR( AND(Q54=6,D54&gt;=TIME(17,0,0),OR(K54="12H Night",K54="Couple Half Night",K54="24H Night",K54="Couple Full Night")), AND(Q54=7,D54&gt;=TIME(6,0,0),D54&lt;TIME(12,0,0),OR(K54="12H Day",K54="Couple Half Day",K54="24H Day",K54="Couple Full Day")) ),1,0)</f>
        <v>0</v>
      </c>
      <c r="O54" s="1" t="n">
        <f aca="false">IF(OR( AND(MONTH(C54)=12,DAY(C54)&gt;=26), AND(MONTH(C54)=4,DAY(C54)&gt;=15), MONTH(C54)=5, AND(MONTH(C54)=6,DAY(C54)&lt;=10) ),1,0)</f>
        <v>0</v>
      </c>
      <c r="P54" s="1" t="str">
        <f aca="false">IF(OR(MONTH(C54)=3,MONTH(C54)=4,MONTH(C54)=5,MONTH(C54)=6), "Summer", IF(OR(MONTH(C54)=7,MONTH(C54)=8,MONTH(C54)=9,MONTH(C54)=10), "Monsoon", "Winter"))</f>
        <v>Winter</v>
      </c>
      <c r="Q54" s="1" t="n">
        <f aca="false">WEEKDAY(C54,2)</f>
        <v>3</v>
      </c>
      <c r="R54" s="0" t="n">
        <f aca="false">ROUNDDOWN(((INT(C54)+MOD(D54,1))-(INT(I54)+MOD(J54,1))),0)</f>
        <v>1</v>
      </c>
      <c r="S54" s="10"/>
    </row>
    <row r="55" customFormat="false" ht="145.05" hidden="false" customHeight="false" outlineLevel="0" collapsed="false">
      <c r="A55" s="8" t="s">
        <v>118</v>
      </c>
      <c r="B55" s="22" t="s">
        <v>119</v>
      </c>
      <c r="C55" s="18" t="n">
        <v>45344.75</v>
      </c>
      <c r="D55" s="19" t="n">
        <v>45344.75</v>
      </c>
      <c r="E55" s="18" t="n">
        <v>45345.75</v>
      </c>
      <c r="F55" s="19" t="n">
        <v>45345.75</v>
      </c>
      <c r="G55" s="20" t="n">
        <v>4000</v>
      </c>
      <c r="H55" s="8" t="n">
        <v>15</v>
      </c>
      <c r="I55" s="10" t="n">
        <v>45339</v>
      </c>
      <c r="J55" s="11" t="n">
        <v>0.00840277777752315</v>
      </c>
      <c r="K55" s="1" t="str">
        <f aca="false">IF(L55&gt;24,     IF(H55=2,"Couple Extended Day","Extended Day"), IF(L55&lt;=12,     IF(AND(MOD(D55,1)&gt;=TIME(6,0,0),MOD(D55,1)&lt;TIME(18,0,0)),         IF(H55=2,"Couple Half Day","12H Day"),         IF(H55=2,"Couple Half Night","12H Night")), IF(L55&lt;=24,     IF(AND(MOD(D55,1)&gt;=TIME(6,0,0),MOD(D55,1)&lt;TIME(18,0,0)),         IF(H55=2,"Couple Full Day","24H Day"),         IF(H55=2,"Couple Full Night","24H Night")), "Check Data")))</f>
        <v>24H Night</v>
      </c>
      <c r="L55" s="12" t="n">
        <f aca="false">((INT(E55)+MOD(F55,1))-(INT(C55)+MOD(D55,1)))*24</f>
        <v>24</v>
      </c>
      <c r="M55" s="1" t="n">
        <f aca="false">IFERROR(INDEX(Sheet3!$B$2:$B$500,MATCH(1,(INT(C55)+MOD(D55,1)&lt;INT(Sheet3!$A$2:$A$500)+TIME(18,0,0))*(INT(E55)+MOD(F55,1)&gt;=INT(Sheet3!$A$2:$A$500)),0)),0)</f>
        <v>0</v>
      </c>
      <c r="N55" s="1" t="n">
        <f aca="false">IF(OR( AND(Q55=6,D55&gt;=TIME(17,0,0),OR(K55="12H Night",K55="Couple Half Night",K55="24H Night",K55="Couple Full Night")), AND(Q55=7,D55&gt;=TIME(6,0,0),D55&lt;TIME(12,0,0),OR(K55="12H Day",K55="Couple Half Day",K55="24H Day",K55="Couple Full Day")) ),1,0)</f>
        <v>0</v>
      </c>
      <c r="O55" s="1" t="n">
        <f aca="false">IF(OR( AND(MONTH(C55)=12,DAY(C55)&gt;=26), AND(MONTH(C55)=4,DAY(C55)&gt;=15), MONTH(C55)=5, AND(MONTH(C55)=6,DAY(C55)&lt;=10) ),1,0)</f>
        <v>0</v>
      </c>
      <c r="P55" s="1" t="str">
        <f aca="false">IF(OR(MONTH(C55)=3,MONTH(C55)=4,MONTH(C55)=5,MONTH(C55)=6), "Summer", IF(OR(MONTH(C55)=7,MONTH(C55)=8,MONTH(C55)=9,MONTH(C55)=10), "Monsoon", "Winter"))</f>
        <v>Winter</v>
      </c>
      <c r="Q55" s="1" t="n">
        <f aca="false">WEEKDAY(C55,2)</f>
        <v>4</v>
      </c>
      <c r="R55" s="0" t="n">
        <f aca="false">ROUNDDOWN(((INT(C55)+MOD(D55,1))-(INT(I55)+MOD(J55,1))),0)</f>
        <v>5</v>
      </c>
      <c r="S55" s="10"/>
    </row>
    <row r="56" customFormat="false" ht="133.05" hidden="false" customHeight="false" outlineLevel="0" collapsed="false">
      <c r="A56" s="8" t="s">
        <v>120</v>
      </c>
      <c r="B56" s="22" t="s">
        <v>121</v>
      </c>
      <c r="C56" s="18" t="n">
        <v>45346.75</v>
      </c>
      <c r="D56" s="19" t="n">
        <v>45346.75</v>
      </c>
      <c r="E56" s="18" t="n">
        <v>45347.75</v>
      </c>
      <c r="F56" s="19" t="n">
        <v>45347.75</v>
      </c>
      <c r="G56" s="20" t="n">
        <v>5000</v>
      </c>
      <c r="H56" s="8" t="n">
        <v>12</v>
      </c>
      <c r="I56" s="10" t="n">
        <v>45330</v>
      </c>
      <c r="J56" s="11" t="n">
        <v>0.581921296296053</v>
      </c>
      <c r="K56" s="1" t="str">
        <f aca="false">IF(L56&gt;24,     IF(H56=2,"Couple Extended Day","Extended Day"), IF(L56&lt;=12,     IF(AND(MOD(D56,1)&gt;=TIME(6,0,0),MOD(D56,1)&lt;TIME(18,0,0)),         IF(H56=2,"Couple Half Day","12H Day"),         IF(H56=2,"Couple Half Night","12H Night")), IF(L56&lt;=24,     IF(AND(MOD(D56,1)&gt;=TIME(6,0,0),MOD(D56,1)&lt;TIME(18,0,0)),         IF(H56=2,"Couple Full Day","24H Day"),         IF(H56=2,"Couple Full Night","24H Night")), "Check Data")))</f>
        <v>24H Night</v>
      </c>
      <c r="L56" s="12" t="n">
        <f aca="false">((INT(E56)+MOD(F56,1))-(INT(C56)+MOD(D56,1)))*24</f>
        <v>24</v>
      </c>
      <c r="M56" s="1" t="n">
        <f aca="false">IFERROR(INDEX(Sheet3!$B$2:$B$500,MATCH(1,(INT(C56)+MOD(D56,1)&lt;INT(Sheet3!$A$2:$A$500)+TIME(18,0,0))*(INT(E56)+MOD(F56,1)&gt;=INT(Sheet3!$A$2:$A$500)),0)),0)</f>
        <v>0</v>
      </c>
      <c r="N56" s="1" t="n">
        <f aca="false">IF(OR( AND(Q56=6,D56&gt;=TIME(17,0,0),OR(K56="12H Night",K56="Couple Half Night",K56="24H Night",K56="Couple Full Night")), AND(Q56=7,D56&gt;=TIME(6,0,0),D56&lt;TIME(12,0,0),OR(K56="12H Day",K56="Couple Half Day",K56="24H Day",K56="Couple Full Day")) ),1,0)</f>
        <v>1</v>
      </c>
      <c r="O56" s="1" t="n">
        <f aca="false">IF(OR( AND(MONTH(C56)=12,DAY(C56)&gt;=26), AND(MONTH(C56)=4,DAY(C56)&gt;=15), MONTH(C56)=5, AND(MONTH(C56)=6,DAY(C56)&lt;=10) ),1,0)</f>
        <v>0</v>
      </c>
      <c r="P56" s="1" t="str">
        <f aca="false">IF(OR(MONTH(C56)=3,MONTH(C56)=4,MONTH(C56)=5,MONTH(C56)=6), "Summer", IF(OR(MONTH(C56)=7,MONTH(C56)=8,MONTH(C56)=9,MONTH(C56)=10), "Monsoon", "Winter"))</f>
        <v>Winter</v>
      </c>
      <c r="Q56" s="1" t="n">
        <f aca="false">WEEKDAY(C56,2)</f>
        <v>6</v>
      </c>
      <c r="R56" s="0" t="n">
        <f aca="false">ROUNDDOWN(((INT(C56)+MOD(D56,1))-(INT(I56)+MOD(J56,1))),0)</f>
        <v>16</v>
      </c>
      <c r="S56" s="10"/>
    </row>
    <row r="57" customFormat="false" ht="109.15" hidden="false" customHeight="false" outlineLevel="0" collapsed="false">
      <c r="A57" s="8" t="s">
        <v>122</v>
      </c>
      <c r="B57" s="22" t="s">
        <v>123</v>
      </c>
      <c r="C57" s="18" t="n">
        <v>45348.25</v>
      </c>
      <c r="D57" s="19" t="n">
        <v>45348.25</v>
      </c>
      <c r="E57" s="18" t="n">
        <v>45348.75</v>
      </c>
      <c r="F57" s="19" t="n">
        <v>45348.75</v>
      </c>
      <c r="G57" s="20" t="n">
        <v>2000</v>
      </c>
      <c r="H57" s="8" t="n">
        <v>2</v>
      </c>
      <c r="I57" s="10" t="n">
        <v>45342</v>
      </c>
      <c r="J57" s="11" t="n">
        <v>0.459537037037083</v>
      </c>
      <c r="K57" s="1" t="str">
        <f aca="false">IF(L57&gt;24,     IF(H57=2,"Couple Extended Day","Extended Day"), IF(L57&lt;=12,     IF(AND(MOD(D57,1)&gt;=TIME(6,0,0),MOD(D57,1)&lt;TIME(18,0,0)),         IF(H57=2,"Couple Half Day","12H Day"),         IF(H57=2,"Couple Half Night","12H Night")), IF(L57&lt;=24,     IF(AND(MOD(D57,1)&gt;=TIME(6,0,0),MOD(D57,1)&lt;TIME(18,0,0)),         IF(H57=2,"Couple Full Day","24H Day"),         IF(H57=2,"Couple Full Night","24H Night")), "Check Data")))</f>
        <v>Couple Half Day</v>
      </c>
      <c r="L57" s="12" t="n">
        <f aca="false">((INT(E57)+MOD(F57,1))-(INT(C57)+MOD(D57,1)))*24</f>
        <v>12</v>
      </c>
      <c r="M57" s="1" t="n">
        <f aca="false">IFERROR(INDEX(Sheet3!$B$2:$B$500,MATCH(1,(INT(C57)+MOD(D57,1)&lt;INT(Sheet3!$A$2:$A$500)+TIME(18,0,0))*(INT(E57)+MOD(F57,1)&gt;=INT(Sheet3!$A$2:$A$500)),0)),0)</f>
        <v>0</v>
      </c>
      <c r="N57" s="1" t="n">
        <f aca="false">IF(OR( AND(Q57=6,D57&gt;=TIME(17,0,0),OR(K57="12H Night",K57="Couple Half Night",K57="24H Night",K57="Couple Full Night")), AND(Q57=7,D57&gt;=TIME(6,0,0),D57&lt;TIME(12,0,0),OR(K57="12H Day",K57="Couple Half Day",K57="24H Day",K57="Couple Full Day")) ),1,0)</f>
        <v>0</v>
      </c>
      <c r="O57" s="1" t="n">
        <f aca="false">IF(OR( AND(MONTH(C57)=12,DAY(C57)&gt;=26), AND(MONTH(C57)=4,DAY(C57)&gt;=15), MONTH(C57)=5, AND(MONTH(C57)=6,DAY(C57)&lt;=10) ),1,0)</f>
        <v>0</v>
      </c>
      <c r="P57" s="1" t="str">
        <f aca="false">IF(OR(MONTH(C57)=3,MONTH(C57)=4,MONTH(C57)=5,MONTH(C57)=6), "Summer", IF(OR(MONTH(C57)=7,MONTH(C57)=8,MONTH(C57)=9,MONTH(C57)=10), "Monsoon", "Winter"))</f>
        <v>Winter</v>
      </c>
      <c r="Q57" s="1" t="n">
        <f aca="false">WEEKDAY(C57,2)</f>
        <v>1</v>
      </c>
      <c r="R57" s="0" t="n">
        <f aca="false">ROUNDDOWN(((INT(C57)+MOD(D57,1))-(INT(I57)+MOD(J57,1))),0)</f>
        <v>5</v>
      </c>
      <c r="S57" s="10"/>
    </row>
    <row r="58" customFormat="false" ht="133.05" hidden="false" customHeight="false" outlineLevel="0" collapsed="false">
      <c r="A58" s="8" t="s">
        <v>124</v>
      </c>
      <c r="B58" s="22" t="s">
        <v>125</v>
      </c>
      <c r="C58" s="18" t="n">
        <v>45351.25</v>
      </c>
      <c r="D58" s="19" t="n">
        <v>45351.25</v>
      </c>
      <c r="E58" s="18" t="n">
        <v>45351.75</v>
      </c>
      <c r="F58" s="19" t="n">
        <v>45351.75</v>
      </c>
      <c r="G58" s="20" t="n">
        <v>1700</v>
      </c>
      <c r="H58" s="8" t="n">
        <v>2</v>
      </c>
      <c r="I58" s="10" t="n">
        <v>45349</v>
      </c>
      <c r="J58" s="11" t="n">
        <v>0.648657407407882</v>
      </c>
      <c r="K58" s="1" t="str">
        <f aca="false">IF(L58&gt;24,     IF(H58=2,"Couple Extended Day","Extended Day"), IF(L58&lt;=12,     IF(AND(MOD(D58,1)&gt;=TIME(6,0,0),MOD(D58,1)&lt;TIME(18,0,0)),         IF(H58=2,"Couple Half Day","12H Day"),         IF(H58=2,"Couple Half Night","12H Night")), IF(L58&lt;=24,     IF(AND(MOD(D58,1)&gt;=TIME(6,0,0),MOD(D58,1)&lt;TIME(18,0,0)),         IF(H58=2,"Couple Full Day","24H Day"),         IF(H58=2,"Couple Full Night","24H Night")), "Check Data")))</f>
        <v>Couple Half Day</v>
      </c>
      <c r="L58" s="12" t="n">
        <f aca="false">((INT(E58)+MOD(F58,1))-(INT(C58)+MOD(D58,1)))*24</f>
        <v>12</v>
      </c>
      <c r="M58" s="1" t="n">
        <f aca="false">IFERROR(INDEX(Sheet3!$B$2:$B$500,MATCH(1,(INT(C58)+MOD(D58,1)&lt;INT(Sheet3!$A$2:$A$500)+TIME(18,0,0))*(INT(E58)+MOD(F58,1)&gt;=INT(Sheet3!$A$2:$A$500)),0)),0)</f>
        <v>0</v>
      </c>
      <c r="N58" s="1" t="n">
        <f aca="false">IF(OR( AND(Q58=6,D58&gt;=TIME(17,0,0),OR(K58="12H Night",K58="Couple Half Night",K58="24H Night",K58="Couple Full Night")), AND(Q58=7,D58&gt;=TIME(6,0,0),D58&lt;TIME(12,0,0),OR(K58="12H Day",K58="Couple Half Day",K58="24H Day",K58="Couple Full Day")) ),1,0)</f>
        <v>0</v>
      </c>
      <c r="O58" s="1" t="n">
        <f aca="false">IF(OR( AND(MONTH(C58)=12,DAY(C58)&gt;=26), AND(MONTH(C58)=4,DAY(C58)&gt;=15), MONTH(C58)=5, AND(MONTH(C58)=6,DAY(C58)&lt;=10) ),1,0)</f>
        <v>0</v>
      </c>
      <c r="P58" s="1" t="str">
        <f aca="false">IF(OR(MONTH(C58)=3,MONTH(C58)=4,MONTH(C58)=5,MONTH(C58)=6), "Summer", IF(OR(MONTH(C58)=7,MONTH(C58)=8,MONTH(C58)=9,MONTH(C58)=10), "Monsoon", "Winter"))</f>
        <v>Winter</v>
      </c>
      <c r="Q58" s="1" t="n">
        <f aca="false">WEEKDAY(C58,2)</f>
        <v>4</v>
      </c>
      <c r="R58" s="0" t="n">
        <f aca="false">ROUNDDOWN(((INT(C58)+MOD(D58,1))-(INT(I58)+MOD(J58,1))),0)</f>
        <v>1</v>
      </c>
      <c r="S58" s="10"/>
    </row>
    <row r="59" customFormat="false" ht="133.05" hidden="false" customHeight="false" outlineLevel="0" collapsed="false">
      <c r="A59" s="8" t="s">
        <v>126</v>
      </c>
      <c r="B59" s="22" t="s">
        <v>127</v>
      </c>
      <c r="C59" s="18" t="n">
        <v>45351.9166666667</v>
      </c>
      <c r="D59" s="19" t="n">
        <v>45351.9166666667</v>
      </c>
      <c r="E59" s="18" t="n">
        <v>45352.4166666667</v>
      </c>
      <c r="F59" s="19" t="n">
        <v>45352.4166666667</v>
      </c>
      <c r="G59" s="20" t="n">
        <v>2000</v>
      </c>
      <c r="H59" s="8" t="n">
        <v>6</v>
      </c>
      <c r="I59" s="10" t="n">
        <v>45344</v>
      </c>
      <c r="J59" s="11" t="n">
        <v>0.593495370369051</v>
      </c>
      <c r="K59" s="1" t="str">
        <f aca="false">IF(L59&gt;24,     IF(H59=2,"Couple Extended Day","Extended Day"), IF(L59&lt;=12,     IF(AND(MOD(D59,1)&gt;=TIME(6,0,0),MOD(D59,1)&lt;TIME(18,0,0)),         IF(H59=2,"Couple Half Day","12H Day"),         IF(H59=2,"Couple Half Night","12H Night")), IF(L59&lt;=24,     IF(AND(MOD(D59,1)&gt;=TIME(6,0,0),MOD(D59,1)&lt;TIME(18,0,0)),         IF(H59=2,"Couple Full Day","24H Day"),         IF(H59=2,"Couple Full Night","24H Night")), "Check Data")))</f>
        <v>12H Night</v>
      </c>
      <c r="L59" s="12" t="n">
        <f aca="false">((INT(E59)+MOD(F59,1))-(INT(C59)+MOD(D59,1)))*24</f>
        <v>12</v>
      </c>
      <c r="M59" s="1" t="n">
        <f aca="false">IFERROR(INDEX(Sheet3!$B$2:$B$500,MATCH(1,(INT(C59)+MOD(D59,1)&lt;INT(Sheet3!$A$2:$A$500)+TIME(18,0,0))*(INT(E59)+MOD(F59,1)&gt;=INT(Sheet3!$A$2:$A$500)),0)),0)</f>
        <v>0</v>
      </c>
      <c r="N59" s="1" t="n">
        <f aca="false">IF(OR( AND(Q59=6,D59&gt;=TIME(17,0,0),OR(K59="12H Night",K59="Couple Half Night",K59="24H Night",K59="Couple Full Night")), AND(Q59=7,D59&gt;=TIME(6,0,0),D59&lt;TIME(12,0,0),OR(K59="12H Day",K59="Couple Half Day",K59="24H Day",K59="Couple Full Day")) ),1,0)</f>
        <v>0</v>
      </c>
      <c r="O59" s="1" t="n">
        <f aca="false">IF(OR( AND(MONTH(C59)=12,DAY(C59)&gt;=26), AND(MONTH(C59)=4,DAY(C59)&gt;=15), MONTH(C59)=5, AND(MONTH(C59)=6,DAY(C59)&lt;=10) ),1,0)</f>
        <v>0</v>
      </c>
      <c r="P59" s="1" t="str">
        <f aca="false">IF(OR(MONTH(C59)=3,MONTH(C59)=4,MONTH(C59)=5,MONTH(C59)=6), "Summer", IF(OR(MONTH(C59)=7,MONTH(C59)=8,MONTH(C59)=9,MONTH(C59)=10), "Monsoon", "Winter"))</f>
        <v>Winter</v>
      </c>
      <c r="Q59" s="1" t="n">
        <f aca="false">WEEKDAY(C59,2)</f>
        <v>4</v>
      </c>
      <c r="R59" s="0" t="n">
        <f aca="false">ROUNDDOWN(((INT(C59)+MOD(D59,1))-(INT(I59)+MOD(J59,1))),0)</f>
        <v>7</v>
      </c>
      <c r="S59" s="10"/>
    </row>
    <row r="60" customFormat="false" ht="133.05" hidden="false" customHeight="false" outlineLevel="0" collapsed="false">
      <c r="A60" s="8" t="s">
        <v>128</v>
      </c>
      <c r="B60" s="22" t="s">
        <v>129</v>
      </c>
      <c r="C60" s="18" t="n">
        <v>45352.2916666667</v>
      </c>
      <c r="D60" s="19" t="n">
        <v>45352.2916666667</v>
      </c>
      <c r="E60" s="18" t="n">
        <v>45353.25</v>
      </c>
      <c r="F60" s="19" t="n">
        <v>45353.25</v>
      </c>
      <c r="G60" s="20" t="n">
        <v>3200</v>
      </c>
      <c r="H60" s="8" t="n">
        <v>12</v>
      </c>
      <c r="I60" s="10" t="n">
        <v>45349</v>
      </c>
      <c r="J60" s="11" t="n">
        <v>0.76096064814919</v>
      </c>
      <c r="K60" s="1" t="str">
        <f aca="false">IF(L60&gt;24,     IF(H60=2,"Couple Extended Day","Extended Day"), IF(L60&lt;=12,     IF(AND(MOD(D60,1)&gt;=TIME(6,0,0),MOD(D60,1)&lt;TIME(18,0,0)),         IF(H60=2,"Couple Half Day","12H Day"),         IF(H60=2,"Couple Half Night","12H Night")), IF(L60&lt;=24,     IF(AND(MOD(D60,1)&gt;=TIME(6,0,0),MOD(D60,1)&lt;TIME(18,0,0)),         IF(H60=2,"Couple Full Day","24H Day"),         IF(H60=2,"Couple Full Night","24H Night")), "Check Data")))</f>
        <v>24H Day</v>
      </c>
      <c r="L60" s="12" t="n">
        <f aca="false">((INT(E60)+MOD(F60,1))-(INT(C60)+MOD(D60,1)))*24</f>
        <v>22.9999999990105</v>
      </c>
      <c r="M60" s="1" t="n">
        <f aca="false">IFERROR(INDEX(Sheet3!$B$2:$B$500,MATCH(1,(INT(C60)+MOD(D60,1)&lt;INT(Sheet3!$A$2:$A$500)+TIME(18,0,0))*(INT(E60)+MOD(F60,1)&gt;=INT(Sheet3!$A$2:$A$500)),0)),0)</f>
        <v>0</v>
      </c>
      <c r="N60" s="1" t="n">
        <f aca="false">IF(OR( AND(Q60=6,D60&gt;=TIME(17,0,0),OR(K60="12H Night",K60="Couple Half Night",K60="24H Night",K60="Couple Full Night")), AND(Q60=7,D60&gt;=TIME(6,0,0),D60&lt;TIME(12,0,0),OR(K60="12H Day",K60="Couple Half Day",K60="24H Day",K60="Couple Full Day")) ),1,0)</f>
        <v>0</v>
      </c>
      <c r="O60" s="1" t="n">
        <f aca="false">IF(OR( AND(MONTH(C60)=12,DAY(C60)&gt;=26), AND(MONTH(C60)=4,DAY(C60)&gt;=15), MONTH(C60)=5, AND(MONTH(C60)=6,DAY(C60)&lt;=10) ),1,0)</f>
        <v>0</v>
      </c>
      <c r="P60" s="1" t="str">
        <f aca="false">IF(OR(MONTH(C60)=3,MONTH(C60)=4,MONTH(C60)=5,MONTH(C60)=6), "Summer", IF(OR(MONTH(C60)=7,MONTH(C60)=8,MONTH(C60)=9,MONTH(C60)=10), "Monsoon", "Winter"))</f>
        <v>Summer</v>
      </c>
      <c r="Q60" s="1" t="n">
        <f aca="false">WEEKDAY(C60,2)</f>
        <v>5</v>
      </c>
      <c r="R60" s="0" t="n">
        <f aca="false">ROUNDDOWN(((INT(C60)+MOD(D60,1))-(INT(I60)+MOD(J60,1))),0)</f>
        <v>2</v>
      </c>
      <c r="S60" s="10"/>
    </row>
    <row r="61" customFormat="false" ht="133.05" hidden="false" customHeight="false" outlineLevel="0" collapsed="false">
      <c r="A61" s="8" t="s">
        <v>130</v>
      </c>
      <c r="B61" s="22" t="s">
        <v>131</v>
      </c>
      <c r="C61" s="18" t="n">
        <v>45353.2916666667</v>
      </c>
      <c r="D61" s="19" t="n">
        <v>45353.2916666667</v>
      </c>
      <c r="E61" s="18" t="n">
        <v>45353.7916666667</v>
      </c>
      <c r="F61" s="19" t="n">
        <v>45353.7916666667</v>
      </c>
      <c r="G61" s="20" t="n">
        <v>3500</v>
      </c>
      <c r="H61" s="8" t="n">
        <v>10</v>
      </c>
      <c r="I61" s="10" t="n">
        <v>45348</v>
      </c>
      <c r="J61" s="11" t="n">
        <v>0.585868055553877</v>
      </c>
      <c r="K61" s="1" t="str">
        <f aca="false">IF(L61&gt;24,     IF(H61=2,"Couple Extended Day","Extended Day"), IF(L61&lt;=12,     IF(AND(MOD(D61,1)&gt;=TIME(6,0,0),MOD(D61,1)&lt;TIME(18,0,0)),         IF(H61=2,"Couple Half Day","12H Day"),         IF(H61=2,"Couple Half Night","12H Night")), IF(L61&lt;=24,     IF(AND(MOD(D61,1)&gt;=TIME(6,0,0),MOD(D61,1)&lt;TIME(18,0,0)),         IF(H61=2,"Couple Full Day","24H Day"),         IF(H61=2,"Couple Full Night","24H Night")), "Check Data")))</f>
        <v>12H Day</v>
      </c>
      <c r="L61" s="12" t="n">
        <f aca="false">((INT(E61)+MOD(F61,1))-(INT(C61)+MOD(D61,1)))*24</f>
        <v>12</v>
      </c>
      <c r="M61" s="1" t="n">
        <f aca="false">IFERROR(INDEX(Sheet3!$B$2:$B$500,MATCH(1,(INT(C61)+MOD(D61,1)&lt;INT(Sheet3!$A$2:$A$500)+TIME(18,0,0))*(INT(E61)+MOD(F61,1)&gt;=INT(Sheet3!$A$2:$A$500)),0)),0)</f>
        <v>0</v>
      </c>
      <c r="N61" s="1" t="n">
        <f aca="false">IF(OR( AND(Q61=6,D61&gt;=TIME(17,0,0),OR(K61="12H Night",K61="Couple Half Night",K61="24H Night",K61="Couple Full Night")), AND(Q61=7,D61&gt;=TIME(6,0,0),D61&lt;TIME(12,0,0),OR(K61="12H Day",K61="Couple Half Day",K61="24H Day",K61="Couple Full Day")) ),1,0)</f>
        <v>0</v>
      </c>
      <c r="O61" s="1" t="n">
        <f aca="false">IF(OR( AND(MONTH(C61)=12,DAY(C61)&gt;=26), AND(MONTH(C61)=4,DAY(C61)&gt;=15), MONTH(C61)=5, AND(MONTH(C61)=6,DAY(C61)&lt;=10) ),1,0)</f>
        <v>0</v>
      </c>
      <c r="P61" s="1" t="str">
        <f aca="false">IF(OR(MONTH(C61)=3,MONTH(C61)=4,MONTH(C61)=5,MONTH(C61)=6), "Summer", IF(OR(MONTH(C61)=7,MONTH(C61)=8,MONTH(C61)=9,MONTH(C61)=10), "Monsoon", "Winter"))</f>
        <v>Summer</v>
      </c>
      <c r="Q61" s="1" t="n">
        <f aca="false">WEEKDAY(C61,2)</f>
        <v>6</v>
      </c>
      <c r="R61" s="0" t="n">
        <f aca="false">ROUNDDOWN(((INT(C61)+MOD(D61,1))-(INT(I61)+MOD(J61,1))),0)</f>
        <v>4</v>
      </c>
      <c r="S61" s="10"/>
    </row>
    <row r="62" customFormat="false" ht="133.05" hidden="false" customHeight="false" outlineLevel="0" collapsed="false">
      <c r="A62" s="8" t="s">
        <v>132</v>
      </c>
      <c r="B62" s="22" t="s">
        <v>133</v>
      </c>
      <c r="C62" s="18" t="n">
        <v>45353.7916666667</v>
      </c>
      <c r="D62" s="19" t="n">
        <v>45353.7916666667</v>
      </c>
      <c r="E62" s="18" t="n">
        <v>45354.7708333333</v>
      </c>
      <c r="F62" s="19" t="n">
        <v>45354.7708333333</v>
      </c>
      <c r="G62" s="20" t="n">
        <v>5500</v>
      </c>
      <c r="H62" s="8" t="n">
        <v>5</v>
      </c>
      <c r="I62" s="10" t="n">
        <v>45351</v>
      </c>
      <c r="J62" s="11" t="n">
        <v>0.549467592587465</v>
      </c>
      <c r="K62" s="1" t="str">
        <f aca="false">IF(L62&gt;24,     IF(H62=2,"Couple Extended Day","Extended Day"), IF(L62&lt;=12,     IF(AND(MOD(D62,1)&gt;=TIME(6,0,0),MOD(D62,1)&lt;TIME(18,0,0)),         IF(H62=2,"Couple Half Day","12H Day"),         IF(H62=2,"Couple Half Night","12H Night")), IF(L62&lt;=24,     IF(AND(MOD(D62,1)&gt;=TIME(6,0,0),MOD(D62,1)&lt;TIME(18,0,0)),         IF(H62=2,"Couple Full Day","24H Day"),         IF(H62=2,"Couple Full Night","24H Night")), "Check Data")))</f>
        <v>24H Night</v>
      </c>
      <c r="L62" s="12" t="n">
        <f aca="false">((INT(E62)+MOD(F62,1))-(INT(C62)+MOD(D62,1)))*24</f>
        <v>23.4999999980209</v>
      </c>
      <c r="M62" s="1" t="n">
        <f aca="false">IFERROR(INDEX(Sheet3!$B$2:$B$500,MATCH(1,(INT(C62)+MOD(D62,1)&lt;INT(Sheet3!$A$2:$A$500)+TIME(18,0,0))*(INT(E62)+MOD(F62,1)&gt;=INT(Sheet3!$A$2:$A$500)),0)),0)</f>
        <v>0</v>
      </c>
      <c r="N62" s="1" t="n">
        <f aca="false">IF(OR( AND(Q62=6,D62&gt;=TIME(17,0,0),OR(K62="12H Night",K62="Couple Half Night",K62="24H Night",K62="Couple Full Night")), AND(Q62=7,D62&gt;=TIME(6,0,0),D62&lt;TIME(12,0,0),OR(K62="12H Day",K62="Couple Half Day",K62="24H Day",K62="Couple Full Day")) ),1,0)</f>
        <v>1</v>
      </c>
      <c r="O62" s="1" t="n">
        <f aca="false">IF(OR( AND(MONTH(C62)=12,DAY(C62)&gt;=26), AND(MONTH(C62)=4,DAY(C62)&gt;=15), MONTH(C62)=5, AND(MONTH(C62)=6,DAY(C62)&lt;=10) ),1,0)</f>
        <v>0</v>
      </c>
      <c r="P62" s="1" t="str">
        <f aca="false">IF(OR(MONTH(C62)=3,MONTH(C62)=4,MONTH(C62)=5,MONTH(C62)=6), "Summer", IF(OR(MONTH(C62)=7,MONTH(C62)=8,MONTH(C62)=9,MONTH(C62)=10), "Monsoon", "Winter"))</f>
        <v>Summer</v>
      </c>
      <c r="Q62" s="1" t="n">
        <f aca="false">WEEKDAY(C62,2)</f>
        <v>6</v>
      </c>
      <c r="R62" s="0" t="n">
        <f aca="false">ROUNDDOWN(((INT(C62)+MOD(D62,1))-(INT(I62)+MOD(J62,1))),0)</f>
        <v>2</v>
      </c>
      <c r="S62" s="10"/>
    </row>
    <row r="63" customFormat="false" ht="133.05" hidden="false" customHeight="false" outlineLevel="0" collapsed="false">
      <c r="A63" s="8" t="s">
        <v>134</v>
      </c>
      <c r="B63" s="22" t="s">
        <v>135</v>
      </c>
      <c r="C63" s="18" t="n">
        <v>45354.8333333333</v>
      </c>
      <c r="D63" s="19" t="n">
        <v>0</v>
      </c>
      <c r="E63" s="18" t="n">
        <v>45355.8125</v>
      </c>
      <c r="F63" s="19" t="n">
        <v>45355.8125</v>
      </c>
      <c r="G63" s="20" t="n">
        <v>4500</v>
      </c>
      <c r="H63" s="8" t="n">
        <v>4</v>
      </c>
      <c r="I63" s="10" t="n">
        <v>45347</v>
      </c>
      <c r="J63" s="11" t="n">
        <v>0.742314814815475</v>
      </c>
      <c r="K63" s="1" t="str">
        <f aca="false">IF(L63&gt;24,     IF(H63=2,"Couple Extended Day","Extended Day"), IF(L63&lt;=12,     IF(AND(MOD(D63,1)&gt;=TIME(6,0,0),MOD(D63,1)&lt;TIME(18,0,0)),         IF(H63=2,"Couple Half Day","12H Day"),         IF(H63=2,"Couple Half Night","12H Night")), IF(L63&lt;=24,     IF(AND(MOD(D63,1)&gt;=TIME(6,0,0),MOD(D63,1)&lt;TIME(18,0,0)),         IF(H63=2,"Couple Full Day","24H Day"),         IF(H63=2,"Couple Full Night","24H Night")), "Check Data")))</f>
        <v>Extended Day</v>
      </c>
      <c r="L63" s="12" t="n">
        <f aca="false">((INT(E63)+MOD(F63,1))-(INT(C63)+MOD(D63,1)))*24</f>
        <v>43.5</v>
      </c>
      <c r="M63" s="1" t="n">
        <f aca="false">IFERROR(INDEX(Sheet3!$B$2:$B$500,MATCH(1,(INT(C63)+MOD(D63,1)&lt;INT(Sheet3!$A$2:$A$500)+TIME(18,0,0))*(INT(E63)+MOD(F63,1)&gt;=INT(Sheet3!$A$2:$A$500)),0)),0)</f>
        <v>0</v>
      </c>
      <c r="N63" s="1" t="n">
        <f aca="false">IF(OR( AND(Q63=6,D63&gt;=TIME(17,0,0),OR(K63="12H Night",K63="Couple Half Night",K63="24H Night",K63="Couple Full Night")), AND(Q63=7,D63&gt;=TIME(6,0,0),D63&lt;TIME(12,0,0),OR(K63="12H Day",K63="Couple Half Day",K63="24H Day",K63="Couple Full Day")) ),1,0)</f>
        <v>0</v>
      </c>
      <c r="O63" s="1" t="n">
        <f aca="false">IF(OR( AND(MONTH(C63)=12,DAY(C63)&gt;=26), AND(MONTH(C63)=4,DAY(C63)&gt;=15), MONTH(C63)=5, AND(MONTH(C63)=6,DAY(C63)&lt;=10) ),1,0)</f>
        <v>0</v>
      </c>
      <c r="P63" s="1" t="str">
        <f aca="false">IF(OR(MONTH(C63)=3,MONTH(C63)=4,MONTH(C63)=5,MONTH(C63)=6), "Summer", IF(OR(MONTH(C63)=7,MONTH(C63)=8,MONTH(C63)=9,MONTH(C63)=10), "Monsoon", "Winter"))</f>
        <v>Summer</v>
      </c>
      <c r="Q63" s="1" t="n">
        <f aca="false">WEEKDAY(C63,2)</f>
        <v>7</v>
      </c>
      <c r="R63" s="0" t="n">
        <f aca="false">ROUNDDOWN(((INT(C63)+MOD(D63,1))-(INT(I63)+MOD(J63,1))),0)</f>
        <v>6</v>
      </c>
      <c r="S63" s="10"/>
    </row>
    <row r="64" customFormat="false" ht="145.05" hidden="false" customHeight="false" outlineLevel="0" collapsed="false">
      <c r="A64" s="8" t="s">
        <v>136</v>
      </c>
      <c r="B64" s="22" t="s">
        <v>137</v>
      </c>
      <c r="C64" s="18" t="n">
        <v>45356.25</v>
      </c>
      <c r="D64" s="19" t="n">
        <v>45356.25</v>
      </c>
      <c r="E64" s="18" t="n">
        <v>45356.75</v>
      </c>
      <c r="F64" s="19" t="n">
        <v>45356.75</v>
      </c>
      <c r="G64" s="20" t="n">
        <v>3000</v>
      </c>
      <c r="H64" s="8" t="n">
        <v>2</v>
      </c>
      <c r="I64" s="10" t="n">
        <v>45354</v>
      </c>
      <c r="J64" s="11" t="n">
        <v>0.439155092593866</v>
      </c>
      <c r="K64" s="1" t="str">
        <f aca="false">IF(L64&gt;24,     IF(H64=2,"Couple Extended Day","Extended Day"), IF(L64&lt;=12,     IF(AND(MOD(D64,1)&gt;=TIME(6,0,0),MOD(D64,1)&lt;TIME(18,0,0)),         IF(H64=2,"Couple Half Day","12H Day"),         IF(H64=2,"Couple Half Night","12H Night")), IF(L64&lt;=24,     IF(AND(MOD(D64,1)&gt;=TIME(6,0,0),MOD(D64,1)&lt;TIME(18,0,0)),         IF(H64=2,"Couple Full Day","24H Day"),         IF(H64=2,"Couple Full Night","24H Night")), "Check Data")))</f>
        <v>Couple Half Day</v>
      </c>
      <c r="L64" s="12" t="n">
        <f aca="false">((INT(E64)+MOD(F64,1))-(INT(C64)+MOD(D64,1)))*24</f>
        <v>12</v>
      </c>
      <c r="M64" s="1" t="n">
        <f aca="false">IFERROR(INDEX(Sheet3!$B$2:$B$500,MATCH(1,(INT(C64)+MOD(D64,1)&lt;INT(Sheet3!$A$2:$A$500)+TIME(18,0,0))*(INT(E64)+MOD(F64,1)&gt;=INT(Sheet3!$A$2:$A$500)),0)),0)</f>
        <v>0</v>
      </c>
      <c r="N64" s="1" t="n">
        <f aca="false">IF(OR( AND(Q64=6,D64&gt;=TIME(17,0,0),OR(K64="12H Night",K64="Couple Half Night",K64="24H Night",K64="Couple Full Night")), AND(Q64=7,D64&gt;=TIME(6,0,0),D64&lt;TIME(12,0,0),OR(K64="12H Day",K64="Couple Half Day",K64="24H Day",K64="Couple Full Day")) ),1,0)</f>
        <v>0</v>
      </c>
      <c r="O64" s="1" t="n">
        <f aca="false">IF(OR( AND(MONTH(C64)=12,DAY(C64)&gt;=26), AND(MONTH(C64)=4,DAY(C64)&gt;=15), MONTH(C64)=5, AND(MONTH(C64)=6,DAY(C64)&lt;=10) ),1,0)</f>
        <v>0</v>
      </c>
      <c r="P64" s="1" t="str">
        <f aca="false">IF(OR(MONTH(C64)=3,MONTH(C64)=4,MONTH(C64)=5,MONTH(C64)=6), "Summer", IF(OR(MONTH(C64)=7,MONTH(C64)=8,MONTH(C64)=9,MONTH(C64)=10), "Monsoon", "Winter"))</f>
        <v>Summer</v>
      </c>
      <c r="Q64" s="1" t="n">
        <f aca="false">WEEKDAY(C64,2)</f>
        <v>2</v>
      </c>
      <c r="R64" s="0" t="n">
        <f aca="false">ROUNDDOWN(((INT(C64)+MOD(D64,1))-(INT(I64)+MOD(J64,1))),0)</f>
        <v>1</v>
      </c>
      <c r="S64" s="10"/>
    </row>
    <row r="65" customFormat="false" ht="133.05" hidden="false" customHeight="false" outlineLevel="0" collapsed="false">
      <c r="A65" s="8" t="s">
        <v>138</v>
      </c>
      <c r="B65" s="22" t="s">
        <v>139</v>
      </c>
      <c r="C65" s="18" t="n">
        <v>45360.7708333333</v>
      </c>
      <c r="D65" s="19" t="n">
        <v>45360.7708333333</v>
      </c>
      <c r="E65" s="18" t="n">
        <v>45361.75</v>
      </c>
      <c r="F65" s="19" t="n">
        <v>45361.75</v>
      </c>
      <c r="G65" s="20" t="n">
        <v>5500</v>
      </c>
      <c r="H65" s="8" t="n">
        <v>8</v>
      </c>
      <c r="I65" s="10" t="n">
        <v>45352</v>
      </c>
      <c r="J65" s="11" t="n">
        <v>0.531574074077072</v>
      </c>
      <c r="K65" s="1" t="str">
        <f aca="false">IF(L65&gt;24,     IF(H65=2,"Couple Extended Day","Extended Day"), IF(L65&lt;=12,     IF(AND(MOD(D65,1)&gt;=TIME(6,0,0),MOD(D65,1)&lt;TIME(18,0,0)),         IF(H65=2,"Couple Half Day","12H Day"),         IF(H65=2,"Couple Half Night","12H Night")), IF(L65&lt;=24,     IF(AND(MOD(D65,1)&gt;=TIME(6,0,0),MOD(D65,1)&lt;TIME(18,0,0)),         IF(H65=2,"Couple Full Day","24H Day"),         IF(H65=2,"Couple Full Night","24H Night")), "Check Data")))</f>
        <v>24H Night</v>
      </c>
      <c r="L65" s="12" t="n">
        <f aca="false">((INT(E65)+MOD(F65,1))-(INT(C65)+MOD(D65,1)))*24</f>
        <v>23.5000000009895</v>
      </c>
      <c r="M65" s="1" t="n">
        <f aca="false">IFERROR(INDEX(Sheet3!$B$2:$B$500,MATCH(1,(INT(C65)+MOD(D65,1)&lt;INT(Sheet3!$A$2:$A$500)+TIME(18,0,0))*(INT(E65)+MOD(F65,1)&gt;=INT(Sheet3!$A$2:$A$500)),0)),0)</f>
        <v>0</v>
      </c>
      <c r="N65" s="1" t="n">
        <f aca="false">IF(OR( AND(Q65=6,D65&gt;=TIME(17,0,0),OR(K65="12H Night",K65="Couple Half Night",K65="24H Night",K65="Couple Full Night")), AND(Q65=7,D65&gt;=TIME(6,0,0),D65&lt;TIME(12,0,0),OR(K65="12H Day",K65="Couple Half Day",K65="24H Day",K65="Couple Full Day")) ),1,0)</f>
        <v>1</v>
      </c>
      <c r="O65" s="1" t="n">
        <f aca="false">IF(OR( AND(MONTH(C65)=12,DAY(C65)&gt;=26), AND(MONTH(C65)=4,DAY(C65)&gt;=15), MONTH(C65)=5, AND(MONTH(C65)=6,DAY(C65)&lt;=10) ),1,0)</f>
        <v>0</v>
      </c>
      <c r="P65" s="1" t="str">
        <f aca="false">IF(OR(MONTH(C65)=3,MONTH(C65)=4,MONTH(C65)=5,MONTH(C65)=6), "Summer", IF(OR(MONTH(C65)=7,MONTH(C65)=8,MONTH(C65)=9,MONTH(C65)=10), "Monsoon", "Winter"))</f>
        <v>Summer</v>
      </c>
      <c r="Q65" s="1" t="n">
        <f aca="false">WEEKDAY(C65,2)</f>
        <v>6</v>
      </c>
      <c r="R65" s="0" t="n">
        <f aca="false">ROUNDDOWN(((INT(C65)+MOD(D65,1))-(INT(I65)+MOD(J65,1))),0)</f>
        <v>8</v>
      </c>
      <c r="S65" s="10"/>
    </row>
    <row r="66" customFormat="false" ht="145.05" hidden="false" customHeight="false" outlineLevel="0" collapsed="false">
      <c r="A66" s="8" t="s">
        <v>140</v>
      </c>
      <c r="B66" s="22" t="s">
        <v>141</v>
      </c>
      <c r="C66" s="18" t="n">
        <v>45365.25</v>
      </c>
      <c r="D66" s="19" t="n">
        <v>45365.25</v>
      </c>
      <c r="E66" s="18" t="n">
        <v>45365.75</v>
      </c>
      <c r="F66" s="19" t="n">
        <v>45365.75</v>
      </c>
      <c r="G66" s="20" t="n">
        <v>3000</v>
      </c>
      <c r="H66" s="8" t="n">
        <v>4</v>
      </c>
      <c r="I66" s="10" t="n">
        <v>45363</v>
      </c>
      <c r="J66" s="11" t="n">
        <v>0.68729166666162</v>
      </c>
      <c r="K66" s="1" t="str">
        <f aca="false">IF(L66&gt;24,     IF(H66=2,"Couple Extended Day","Extended Day"), IF(L66&lt;=12,     IF(AND(MOD(D66,1)&gt;=TIME(6,0,0),MOD(D66,1)&lt;TIME(18,0,0)),         IF(H66=2,"Couple Half Day","12H Day"),         IF(H66=2,"Couple Half Night","12H Night")), IF(L66&lt;=24,     IF(AND(MOD(D66,1)&gt;=TIME(6,0,0),MOD(D66,1)&lt;TIME(18,0,0)),         IF(H66=2,"Couple Full Day","24H Day"),         IF(H66=2,"Couple Full Night","24H Night")), "Check Data")))</f>
        <v>12H Day</v>
      </c>
      <c r="L66" s="12" t="n">
        <f aca="false">((INT(E66)+MOD(F66,1))-(INT(C66)+MOD(D66,1)))*24</f>
        <v>12</v>
      </c>
      <c r="M66" s="1" t="n">
        <f aca="false">IFERROR(INDEX(Sheet3!$B$2:$B$500,MATCH(1,(INT(C66)+MOD(D66,1)&lt;INT(Sheet3!$A$2:$A$500)+TIME(18,0,0))*(INT(E66)+MOD(F66,1)&gt;=INT(Sheet3!$A$2:$A$500)),0)),0)</f>
        <v>0</v>
      </c>
      <c r="N66" s="1" t="n">
        <f aca="false">IF(OR( AND(Q66=6,D66&gt;=TIME(17,0,0),OR(K66="12H Night",K66="Couple Half Night",K66="24H Night",K66="Couple Full Night")), AND(Q66=7,D66&gt;=TIME(6,0,0),D66&lt;TIME(12,0,0),OR(K66="12H Day",K66="Couple Half Day",K66="24H Day",K66="Couple Full Day")) ),1,0)</f>
        <v>0</v>
      </c>
      <c r="O66" s="1" t="n">
        <f aca="false">IF(OR( AND(MONTH(C66)=12,DAY(C66)&gt;=26), AND(MONTH(C66)=4,DAY(C66)&gt;=15), MONTH(C66)=5, AND(MONTH(C66)=6,DAY(C66)&lt;=10) ),1,0)</f>
        <v>0</v>
      </c>
      <c r="P66" s="1" t="str">
        <f aca="false">IF(OR(MONTH(C66)=3,MONTH(C66)=4,MONTH(C66)=5,MONTH(C66)=6), "Summer", IF(OR(MONTH(C66)=7,MONTH(C66)=8,MONTH(C66)=9,MONTH(C66)=10), "Monsoon", "Winter"))</f>
        <v>Summer</v>
      </c>
      <c r="Q66" s="1" t="n">
        <f aca="false">WEEKDAY(C66,2)</f>
        <v>4</v>
      </c>
      <c r="R66" s="0" t="n">
        <f aca="false">ROUNDDOWN(((INT(C66)+MOD(D66,1))-(INT(I66)+MOD(J66,1))),0)</f>
        <v>1</v>
      </c>
      <c r="S66" s="10"/>
    </row>
    <row r="67" customFormat="false" ht="145.05" hidden="false" customHeight="false" outlineLevel="0" collapsed="false">
      <c r="A67" s="8" t="s">
        <v>142</v>
      </c>
      <c r="B67" s="22" t="s">
        <v>143</v>
      </c>
      <c r="C67" s="18" t="n">
        <v>45366.4166666667</v>
      </c>
      <c r="D67" s="19" t="n">
        <v>45366.4166666667</v>
      </c>
      <c r="E67" s="18" t="n">
        <v>45366.7083333333</v>
      </c>
      <c r="F67" s="19" t="n">
        <v>0</v>
      </c>
      <c r="G67" s="20" t="n">
        <v>3000</v>
      </c>
      <c r="H67" s="8" t="n">
        <v>4</v>
      </c>
      <c r="I67" s="10" t="n">
        <v>45364</v>
      </c>
      <c r="J67" s="11" t="n">
        <v>0.627974537041157</v>
      </c>
      <c r="K67" s="1" t="str">
        <f aca="false">IF(L67&gt;24,     IF(H67=2,"Couple Extended Day","Extended Day"), IF(L67&lt;=12,     IF(AND(MOD(D67,1)&gt;=TIME(6,0,0),MOD(D67,1)&lt;TIME(18,0,0)),         IF(H67=2,"Couple Half Day","12H Day"),         IF(H67=2,"Couple Half Night","12H Night")), IF(L67&lt;=24,     IF(AND(MOD(D67,1)&gt;=TIME(6,0,0),MOD(D67,1)&lt;TIME(18,0,0)),         IF(H67=2,"Couple Full Day","24H Day"),         IF(H67=2,"Couple Full Night","24H Night")), "Check Data")))</f>
        <v>12H Day</v>
      </c>
      <c r="L67" s="12" t="n">
        <f aca="false">((INT(E67)+MOD(F67,1))-(INT(C67)+MOD(D67,1)))*24</f>
        <v>-10.0000000009895</v>
      </c>
      <c r="M67" s="1" t="n">
        <f aca="false">IFERROR(INDEX(Sheet3!$B$2:$B$500,MATCH(1,(INT(C67)+MOD(D67,1)&lt;INT(Sheet3!$A$2:$A$500)+TIME(18,0,0))*(INT(E67)+MOD(F67,1)&gt;=INT(Sheet3!$A$2:$A$500)),0)),0)</f>
        <v>0</v>
      </c>
      <c r="N67" s="1" t="n">
        <f aca="false">IF(OR( AND(Q67=6,D67&gt;=TIME(17,0,0),OR(K67="12H Night",K67="Couple Half Night",K67="24H Night",K67="Couple Full Night")), AND(Q67=7,D67&gt;=TIME(6,0,0),D67&lt;TIME(12,0,0),OR(K67="12H Day",K67="Couple Half Day",K67="24H Day",K67="Couple Full Day")) ),1,0)</f>
        <v>0</v>
      </c>
      <c r="O67" s="1" t="n">
        <f aca="false">IF(OR( AND(MONTH(C67)=12,DAY(C67)&gt;=26), AND(MONTH(C67)=4,DAY(C67)&gt;=15), MONTH(C67)=5, AND(MONTH(C67)=6,DAY(C67)&lt;=10) ),1,0)</f>
        <v>0</v>
      </c>
      <c r="P67" s="1" t="str">
        <f aca="false">IF(OR(MONTH(C67)=3,MONTH(C67)=4,MONTH(C67)=5,MONTH(C67)=6), "Summer", IF(OR(MONTH(C67)=7,MONTH(C67)=8,MONTH(C67)=9,MONTH(C67)=10), "Monsoon", "Winter"))</f>
        <v>Summer</v>
      </c>
      <c r="Q67" s="1" t="n">
        <f aca="false">WEEKDAY(C67,2)</f>
        <v>5</v>
      </c>
      <c r="R67" s="0" t="n">
        <f aca="false">ROUNDDOWN(((INT(C67)+MOD(D67,1))-(INT(I67)+MOD(J67,1))),0)</f>
        <v>1</v>
      </c>
      <c r="S67" s="10"/>
    </row>
    <row r="68" customFormat="false" ht="145.05" hidden="false" customHeight="false" outlineLevel="0" collapsed="false">
      <c r="A68" s="8" t="s">
        <v>144</v>
      </c>
      <c r="B68" s="22" t="s">
        <v>145</v>
      </c>
      <c r="C68" s="18" t="n">
        <v>45366.75</v>
      </c>
      <c r="D68" s="19" t="n">
        <v>45366.75</v>
      </c>
      <c r="E68" s="18" t="n">
        <v>45367.75</v>
      </c>
      <c r="F68" s="19" t="n">
        <v>45367.75</v>
      </c>
      <c r="G68" s="20" t="n">
        <v>4500</v>
      </c>
      <c r="H68" s="8" t="n">
        <v>10</v>
      </c>
      <c r="I68" s="10" t="n">
        <v>45361</v>
      </c>
      <c r="J68" s="11" t="n">
        <v>0.80280092592875</v>
      </c>
      <c r="K68" s="1" t="str">
        <f aca="false">IF(L68&gt;24,     IF(H68=2,"Couple Extended Day","Extended Day"), IF(L68&lt;=12,     IF(AND(MOD(D68,1)&gt;=TIME(6,0,0),MOD(D68,1)&lt;TIME(18,0,0)),         IF(H68=2,"Couple Half Day","12H Day"),         IF(H68=2,"Couple Half Night","12H Night")), IF(L68&lt;=24,     IF(AND(MOD(D68,1)&gt;=TIME(6,0,0),MOD(D68,1)&lt;TIME(18,0,0)),         IF(H68=2,"Couple Full Day","24H Day"),         IF(H68=2,"Couple Full Night","24H Night")), "Check Data")))</f>
        <v>24H Night</v>
      </c>
      <c r="L68" s="12" t="n">
        <f aca="false">((INT(E68)+MOD(F68,1))-(INT(C68)+MOD(D68,1)))*24</f>
        <v>24</v>
      </c>
      <c r="M68" s="1" t="n">
        <f aca="false">IFERROR(INDEX(Sheet3!$B$2:$B$500,MATCH(1,(INT(C68)+MOD(D68,1)&lt;INT(Sheet3!$A$2:$A$500)+TIME(18,0,0))*(INT(E68)+MOD(F68,1)&gt;=INT(Sheet3!$A$2:$A$500)),0)),0)</f>
        <v>0</v>
      </c>
      <c r="N68" s="1" t="n">
        <f aca="false">IF(OR( AND(Q68=6,D68&gt;=TIME(17,0,0),OR(K68="12H Night",K68="Couple Half Night",K68="24H Night",K68="Couple Full Night")), AND(Q68=7,D68&gt;=TIME(6,0,0),D68&lt;TIME(12,0,0),OR(K68="12H Day",K68="Couple Half Day",K68="24H Day",K68="Couple Full Day")) ),1,0)</f>
        <v>0</v>
      </c>
      <c r="O68" s="1" t="n">
        <f aca="false">IF(OR( AND(MONTH(C68)=12,DAY(C68)&gt;=26), AND(MONTH(C68)=4,DAY(C68)&gt;=15), MONTH(C68)=5, AND(MONTH(C68)=6,DAY(C68)&lt;=10) ),1,0)</f>
        <v>0</v>
      </c>
      <c r="P68" s="1" t="str">
        <f aca="false">IF(OR(MONTH(C68)=3,MONTH(C68)=4,MONTH(C68)=5,MONTH(C68)=6), "Summer", IF(OR(MONTH(C68)=7,MONTH(C68)=8,MONTH(C68)=9,MONTH(C68)=10), "Monsoon", "Winter"))</f>
        <v>Summer</v>
      </c>
      <c r="Q68" s="1" t="n">
        <f aca="false">WEEKDAY(C68,2)</f>
        <v>5</v>
      </c>
      <c r="R68" s="0" t="n">
        <f aca="false">ROUNDDOWN(((INT(C68)+MOD(D68,1))-(INT(I68)+MOD(J68,1))),0)</f>
        <v>4</v>
      </c>
      <c r="S68" s="10"/>
    </row>
    <row r="69" customFormat="false" ht="145.05" hidden="false" customHeight="false" outlineLevel="0" collapsed="false">
      <c r="A69" s="8" t="s">
        <v>146</v>
      </c>
      <c r="B69" s="22" t="s">
        <v>147</v>
      </c>
      <c r="C69" s="18" t="n">
        <v>45367.75</v>
      </c>
      <c r="D69" s="19" t="n">
        <v>45367.75</v>
      </c>
      <c r="E69" s="18" t="n">
        <v>45368.7395833333</v>
      </c>
      <c r="F69" s="19" t="n">
        <v>45368.7395833333</v>
      </c>
      <c r="G69" s="20" t="n">
        <v>6000</v>
      </c>
      <c r="H69" s="8" t="n">
        <v>10</v>
      </c>
      <c r="I69" s="10" t="n">
        <v>45360</v>
      </c>
      <c r="J69" s="11" t="n">
        <v>0.889490740737535</v>
      </c>
      <c r="K69" s="1" t="str">
        <f aca="false">IF(L69&gt;24,     IF(H69=2,"Couple Extended Day","Extended Day"), IF(L69&lt;=12,     IF(AND(MOD(D69,1)&gt;=TIME(6,0,0),MOD(D69,1)&lt;TIME(18,0,0)),         IF(H69=2,"Couple Half Day","12H Day"),         IF(H69=2,"Couple Half Night","12H Night")), IF(L69&lt;=24,     IF(AND(MOD(D69,1)&gt;=TIME(6,0,0),MOD(D69,1)&lt;TIME(18,0,0)),         IF(H69=2,"Couple Full Day","24H Day"),         IF(H69=2,"Couple Full Night","24H Night")), "Check Data")))</f>
        <v>24H Night</v>
      </c>
      <c r="L69" s="12" t="n">
        <f aca="false">((INT(E69)+MOD(F69,1))-(INT(C69)+MOD(D69,1)))*24</f>
        <v>23.7499999990105</v>
      </c>
      <c r="M69" s="1" t="n">
        <f aca="false">IFERROR(INDEX(Sheet3!$B$2:$B$500,MATCH(1,(INT(C69)+MOD(D69,1)&lt;INT(Sheet3!$A$2:$A$500)+TIME(18,0,0))*(INT(E69)+MOD(F69,1)&gt;=INT(Sheet3!$A$2:$A$500)),0)),0)</f>
        <v>0</v>
      </c>
      <c r="N69" s="1" t="n">
        <f aca="false">IF(OR( AND(Q69=6,D69&gt;=TIME(17,0,0),OR(K69="12H Night",K69="Couple Half Night",K69="24H Night",K69="Couple Full Night")), AND(Q69=7,D69&gt;=TIME(6,0,0),D69&lt;TIME(12,0,0),OR(K69="12H Day",K69="Couple Half Day",K69="24H Day",K69="Couple Full Day")) ),1,0)</f>
        <v>1</v>
      </c>
      <c r="O69" s="1" t="n">
        <f aca="false">IF(OR( AND(MONTH(C69)=12,DAY(C69)&gt;=26), AND(MONTH(C69)=4,DAY(C69)&gt;=15), MONTH(C69)=5, AND(MONTH(C69)=6,DAY(C69)&lt;=10) ),1,0)</f>
        <v>0</v>
      </c>
      <c r="P69" s="1" t="str">
        <f aca="false">IF(OR(MONTH(C69)=3,MONTH(C69)=4,MONTH(C69)=5,MONTH(C69)=6), "Summer", IF(OR(MONTH(C69)=7,MONTH(C69)=8,MONTH(C69)=9,MONTH(C69)=10), "Monsoon", "Winter"))</f>
        <v>Summer</v>
      </c>
      <c r="Q69" s="1" t="n">
        <f aca="false">WEEKDAY(C69,2)</f>
        <v>6</v>
      </c>
      <c r="R69" s="0" t="n">
        <f aca="false">ROUNDDOWN(((INT(C69)+MOD(D69,1))-(INT(I69)+MOD(J69,1))),0)</f>
        <v>6</v>
      </c>
      <c r="S69" s="10"/>
    </row>
    <row r="70" customFormat="false" ht="121.1" hidden="false" customHeight="false" outlineLevel="0" collapsed="false">
      <c r="A70" s="8" t="s">
        <v>148</v>
      </c>
      <c r="B70" s="22" t="s">
        <v>149</v>
      </c>
      <c r="C70" s="18" t="n">
        <v>45368.9583333333</v>
      </c>
      <c r="D70" s="19" t="n">
        <v>0</v>
      </c>
      <c r="E70" s="18" t="n">
        <v>45369.9993055556</v>
      </c>
      <c r="F70" s="19" t="n">
        <v>45369.9993055556</v>
      </c>
      <c r="G70" s="20" t="n">
        <v>4000</v>
      </c>
      <c r="H70" s="8" t="n">
        <v>8</v>
      </c>
      <c r="I70" s="10" t="n">
        <v>45368</v>
      </c>
      <c r="J70" s="11" t="n">
        <v>0.889560185183657</v>
      </c>
      <c r="K70" s="1" t="str">
        <f aca="false">IF(L70&gt;24,     IF(H70=2,"Couple Extended Day","Extended Day"), IF(L70&lt;=12,     IF(AND(MOD(D70,1)&gt;=TIME(6,0,0),MOD(D70,1)&lt;TIME(18,0,0)),         IF(H70=2,"Couple Half Day","12H Day"),         IF(H70=2,"Couple Half Night","12H Night")), IF(L70&lt;=24,     IF(AND(MOD(D70,1)&gt;=TIME(6,0,0),MOD(D70,1)&lt;TIME(18,0,0)),         IF(H70=2,"Couple Full Day","24H Day"),         IF(H70=2,"Couple Full Night","24H Night")), "Check Data")))</f>
        <v>Extended Day</v>
      </c>
      <c r="L70" s="12" t="n">
        <f aca="false">((INT(E70)+MOD(F70,1))-(INT(C70)+MOD(D70,1)))*24</f>
        <v>47.9833333343267</v>
      </c>
      <c r="M70" s="1" t="n">
        <f aca="false">IFERROR(INDEX(Sheet3!$B$2:$B$500,MATCH(1,(INT(C70)+MOD(D70,1)&lt;INT(Sheet3!$A$2:$A$500)+TIME(18,0,0))*(INT(E70)+MOD(F70,1)&gt;=INT(Sheet3!$A$2:$A$500)),0)),0)</f>
        <v>0</v>
      </c>
      <c r="N70" s="1" t="n">
        <f aca="false">IF(OR( AND(Q70=6,D70&gt;=TIME(17,0,0),OR(K70="12H Night",K70="Couple Half Night",K70="24H Night",K70="Couple Full Night")), AND(Q70=7,D70&gt;=TIME(6,0,0),D70&lt;TIME(12,0,0),OR(K70="12H Day",K70="Couple Half Day",K70="24H Day",K70="Couple Full Day")) ),1,0)</f>
        <v>0</v>
      </c>
      <c r="O70" s="1" t="n">
        <f aca="false">IF(OR( AND(MONTH(C70)=12,DAY(C70)&gt;=26), AND(MONTH(C70)=4,DAY(C70)&gt;=15), MONTH(C70)=5, AND(MONTH(C70)=6,DAY(C70)&lt;=10) ),1,0)</f>
        <v>0</v>
      </c>
      <c r="P70" s="1" t="str">
        <f aca="false">IF(OR(MONTH(C70)=3,MONTH(C70)=4,MONTH(C70)=5,MONTH(C70)=6), "Summer", IF(OR(MONTH(C70)=7,MONTH(C70)=8,MONTH(C70)=9,MONTH(C70)=10), "Monsoon", "Winter"))</f>
        <v>Summer</v>
      </c>
      <c r="Q70" s="1" t="n">
        <f aca="false">WEEKDAY(C70,2)</f>
        <v>7</v>
      </c>
      <c r="R70" s="0" t="n">
        <f aca="false">ROUNDDOWN(((INT(C70)+MOD(D70,1))-(INT(I70)+MOD(J70,1))),0)</f>
        <v>-0</v>
      </c>
      <c r="S70" s="10"/>
    </row>
    <row r="71" customFormat="false" ht="169" hidden="false" customHeight="false" outlineLevel="0" collapsed="false">
      <c r="A71" s="8" t="s">
        <v>150</v>
      </c>
      <c r="B71" s="22" t="s">
        <v>151</v>
      </c>
      <c r="C71" s="18" t="n">
        <v>45370.375</v>
      </c>
      <c r="D71" s="19" t="n">
        <v>45370.375</v>
      </c>
      <c r="E71" s="18" t="n">
        <v>45370.75</v>
      </c>
      <c r="F71" s="19" t="n">
        <v>45370.75</v>
      </c>
      <c r="G71" s="20" t="n">
        <v>2250</v>
      </c>
      <c r="H71" s="8" t="n">
        <v>3</v>
      </c>
      <c r="I71" s="10" t="n">
        <v>45369</v>
      </c>
      <c r="J71" s="11" t="n">
        <v>0.549699074079398</v>
      </c>
      <c r="K71" s="1" t="str">
        <f aca="false">IF(L71&gt;24,     IF(H71=2,"Couple Extended Day","Extended Day"), IF(L71&lt;=12,     IF(AND(MOD(D71,1)&gt;=TIME(6,0,0),MOD(D71,1)&lt;TIME(18,0,0)),         IF(H71=2,"Couple Half Day","12H Day"),         IF(H71=2,"Couple Half Night","12H Night")), IF(L71&lt;=24,     IF(AND(MOD(D71,1)&gt;=TIME(6,0,0),MOD(D71,1)&lt;TIME(18,0,0)),         IF(H71=2,"Couple Full Day","24H Day"),         IF(H71=2,"Couple Full Night","24H Night")), "Check Data")))</f>
        <v>12H Day</v>
      </c>
      <c r="L71" s="12" t="n">
        <f aca="false">((INT(E71)+MOD(F71,1))-(INT(C71)+MOD(D71,1)))*24</f>
        <v>9</v>
      </c>
      <c r="M71" s="1" t="n">
        <f aca="false">IFERROR(INDEX(Sheet3!$B$2:$B$500,MATCH(1,(INT(C71)+MOD(D71,1)&lt;INT(Sheet3!$A$2:$A$500)+TIME(18,0,0))*(INT(E71)+MOD(F71,1)&gt;=INT(Sheet3!$A$2:$A$500)),0)),0)</f>
        <v>0</v>
      </c>
      <c r="N71" s="1" t="n">
        <f aca="false">IF(OR( AND(Q71=6,D71&gt;=TIME(17,0,0),OR(K71="12H Night",K71="Couple Half Night",K71="24H Night",K71="Couple Full Night")), AND(Q71=7,D71&gt;=TIME(6,0,0),D71&lt;TIME(12,0,0),OR(K71="12H Day",K71="Couple Half Day",K71="24H Day",K71="Couple Full Day")) ),1,0)</f>
        <v>0</v>
      </c>
      <c r="O71" s="1" t="n">
        <f aca="false">IF(OR( AND(MONTH(C71)=12,DAY(C71)&gt;=26), AND(MONTH(C71)=4,DAY(C71)&gt;=15), MONTH(C71)=5, AND(MONTH(C71)=6,DAY(C71)&lt;=10) ),1,0)</f>
        <v>0</v>
      </c>
      <c r="P71" s="1" t="str">
        <f aca="false">IF(OR(MONTH(C71)=3,MONTH(C71)=4,MONTH(C71)=5,MONTH(C71)=6), "Summer", IF(OR(MONTH(C71)=7,MONTH(C71)=8,MONTH(C71)=9,MONTH(C71)=10), "Monsoon", "Winter"))</f>
        <v>Summer</v>
      </c>
      <c r="Q71" s="1" t="n">
        <f aca="false">WEEKDAY(C71,2)</f>
        <v>2</v>
      </c>
      <c r="R71" s="0" t="n">
        <f aca="false">ROUNDDOWN(((INT(C71)+MOD(D71,1))-(INT(I71)+MOD(J71,1))),0)</f>
        <v>0</v>
      </c>
      <c r="S71" s="10"/>
    </row>
    <row r="72" customFormat="false" ht="121.1" hidden="false" customHeight="false" outlineLevel="0" collapsed="false">
      <c r="A72" s="8" t="s">
        <v>152</v>
      </c>
      <c r="B72" s="22" t="s">
        <v>153</v>
      </c>
      <c r="C72" s="18" t="n">
        <v>45371.75</v>
      </c>
      <c r="D72" s="19" t="n">
        <v>45371.75</v>
      </c>
      <c r="E72" s="18" t="n">
        <v>45372.75</v>
      </c>
      <c r="F72" s="19" t="n">
        <v>45372.75</v>
      </c>
      <c r="G72" s="20" t="n">
        <v>4000</v>
      </c>
      <c r="H72" s="8" t="n">
        <v>8</v>
      </c>
      <c r="I72" s="10" t="n">
        <v>45371</v>
      </c>
      <c r="J72" s="11" t="n">
        <v>0.53591435185081</v>
      </c>
      <c r="K72" s="1" t="str">
        <f aca="false">IF(L72&gt;24,     IF(H72=2,"Couple Extended Day","Extended Day"), IF(L72&lt;=12,     IF(AND(MOD(D72,1)&gt;=TIME(6,0,0),MOD(D72,1)&lt;TIME(18,0,0)),         IF(H72=2,"Couple Half Day","12H Day"),         IF(H72=2,"Couple Half Night","12H Night")), IF(L72&lt;=24,     IF(AND(MOD(D72,1)&gt;=TIME(6,0,0),MOD(D72,1)&lt;TIME(18,0,0)),         IF(H72=2,"Couple Full Day","24H Day"),         IF(H72=2,"Couple Full Night","24H Night")), "Check Data")))</f>
        <v>24H Night</v>
      </c>
      <c r="L72" s="12" t="n">
        <f aca="false">((INT(E72)+MOD(F72,1))-(INT(C72)+MOD(D72,1)))*24</f>
        <v>24</v>
      </c>
      <c r="M72" s="1" t="n">
        <f aca="false">IFERROR(INDEX(Sheet3!$B$2:$B$500,MATCH(1,(INT(C72)+MOD(D72,1)&lt;INT(Sheet3!$A$2:$A$500)+TIME(18,0,0))*(INT(E72)+MOD(F72,1)&gt;=INT(Sheet3!$A$2:$A$500)),0)),0)</f>
        <v>0</v>
      </c>
      <c r="N72" s="1" t="n">
        <f aca="false">IF(OR( AND(Q72=6,D72&gt;=TIME(17,0,0),OR(K72="12H Night",K72="Couple Half Night",K72="24H Night",K72="Couple Full Night")), AND(Q72=7,D72&gt;=TIME(6,0,0),D72&lt;TIME(12,0,0),OR(K72="12H Day",K72="Couple Half Day",K72="24H Day",K72="Couple Full Day")) ),1,0)</f>
        <v>0</v>
      </c>
      <c r="O72" s="1" t="n">
        <f aca="false">IF(OR( AND(MONTH(C72)=12,DAY(C72)&gt;=26), AND(MONTH(C72)=4,DAY(C72)&gt;=15), MONTH(C72)=5, AND(MONTH(C72)=6,DAY(C72)&lt;=10) ),1,0)</f>
        <v>0</v>
      </c>
      <c r="P72" s="1" t="str">
        <f aca="false">IF(OR(MONTH(C72)=3,MONTH(C72)=4,MONTH(C72)=5,MONTH(C72)=6), "Summer", IF(OR(MONTH(C72)=7,MONTH(C72)=8,MONTH(C72)=9,MONTH(C72)=10), "Monsoon", "Winter"))</f>
        <v>Summer</v>
      </c>
      <c r="Q72" s="1" t="n">
        <f aca="false">WEEKDAY(C72,2)</f>
        <v>3</v>
      </c>
      <c r="R72" s="0" t="n">
        <f aca="false">ROUNDDOWN(((INT(C72)+MOD(D72,1))-(INT(I72)+MOD(J72,1))),0)</f>
        <v>0</v>
      </c>
      <c r="S72" s="10"/>
    </row>
    <row r="73" customFormat="false" ht="85.2" hidden="false" customHeight="false" outlineLevel="0" collapsed="false">
      <c r="A73" s="8" t="s">
        <v>154</v>
      </c>
      <c r="B73" s="22" t="s">
        <v>155</v>
      </c>
      <c r="C73" s="18" t="n">
        <v>45373.4375</v>
      </c>
      <c r="D73" s="19" t="n">
        <v>45373.4375</v>
      </c>
      <c r="E73" s="18" t="n">
        <v>45374.4375</v>
      </c>
      <c r="F73" s="19" t="n">
        <v>45374.4375</v>
      </c>
      <c r="G73" s="20" t="n">
        <v>6000</v>
      </c>
      <c r="H73" s="8" t="n">
        <v>10</v>
      </c>
      <c r="I73" s="10" t="n">
        <v>45338</v>
      </c>
      <c r="J73" s="11" t="n">
        <v>0.952766203699861</v>
      </c>
      <c r="K73" s="1" t="str">
        <f aca="false">IF(L73&gt;24,     IF(H73=2,"Couple Extended Day","Extended Day"), IF(L73&lt;=12,     IF(AND(MOD(D73,1)&gt;=TIME(6,0,0),MOD(D73,1)&lt;TIME(18,0,0)),         IF(H73=2,"Couple Half Day","12H Day"),         IF(H73=2,"Couple Half Night","12H Night")), IF(L73&lt;=24,     IF(AND(MOD(D73,1)&gt;=TIME(6,0,0),MOD(D73,1)&lt;TIME(18,0,0)),         IF(H73=2,"Couple Full Day","24H Day"),         IF(H73=2,"Couple Full Night","24H Night")), "Check Data")))</f>
        <v>24H Day</v>
      </c>
      <c r="L73" s="12" t="n">
        <f aca="false">((INT(E73)+MOD(F73,1))-(INT(C73)+MOD(D73,1)))*24</f>
        <v>24</v>
      </c>
      <c r="M73" s="1" t="n">
        <f aca="false">IFERROR(INDEX(Sheet3!$B$2:$B$500,MATCH(1,(INT(C73)+MOD(D73,1)&lt;INT(Sheet3!$A$2:$A$500)+TIME(18,0,0))*(INT(E73)+MOD(F73,1)&gt;=INT(Sheet3!$A$2:$A$500)),0)),0)</f>
        <v>0</v>
      </c>
      <c r="N73" s="1" t="n">
        <f aca="false">IF(OR( AND(Q73=6,D73&gt;=TIME(17,0,0),OR(K73="12H Night",K73="Couple Half Night",K73="24H Night",K73="Couple Full Night")), AND(Q73=7,D73&gt;=TIME(6,0,0),D73&lt;TIME(12,0,0),OR(K73="12H Day",K73="Couple Half Day",K73="24H Day",K73="Couple Full Day")) ),1,0)</f>
        <v>0</v>
      </c>
      <c r="O73" s="1" t="n">
        <f aca="false">IF(OR( AND(MONTH(C73)=12,DAY(C73)&gt;=26), AND(MONTH(C73)=4,DAY(C73)&gt;=15), MONTH(C73)=5, AND(MONTH(C73)=6,DAY(C73)&lt;=10) ),1,0)</f>
        <v>0</v>
      </c>
      <c r="P73" s="1" t="str">
        <f aca="false">IF(OR(MONTH(C73)=3,MONTH(C73)=4,MONTH(C73)=5,MONTH(C73)=6), "Summer", IF(OR(MONTH(C73)=7,MONTH(C73)=8,MONTH(C73)=9,MONTH(C73)=10), "Monsoon", "Winter"))</f>
        <v>Summer</v>
      </c>
      <c r="Q73" s="1" t="n">
        <f aca="false">WEEKDAY(C73,2)</f>
        <v>5</v>
      </c>
      <c r="R73" s="0" t="n">
        <f aca="false">ROUNDDOWN(((INT(C73)+MOD(D73,1))-(INT(I73)+MOD(J73,1))),0)</f>
        <v>34</v>
      </c>
      <c r="S73" s="10"/>
    </row>
    <row r="74" customFormat="false" ht="121.1" hidden="false" customHeight="false" outlineLevel="0" collapsed="false">
      <c r="A74" s="8" t="s">
        <v>156</v>
      </c>
      <c r="B74" s="22" t="s">
        <v>157</v>
      </c>
      <c r="C74" s="18" t="n">
        <v>45374.4583333333</v>
      </c>
      <c r="D74" s="19" t="n">
        <v>0</v>
      </c>
      <c r="E74" s="18" t="n">
        <v>45374.7083333333</v>
      </c>
      <c r="F74" s="19" t="n">
        <v>0</v>
      </c>
      <c r="G74" s="20" t="n">
        <v>2200</v>
      </c>
      <c r="H74" s="8" t="n">
        <v>4</v>
      </c>
      <c r="I74" s="10" t="n">
        <v>45370</v>
      </c>
      <c r="J74" s="11" t="n">
        <v>0.554826388892257</v>
      </c>
      <c r="K74" s="1" t="str">
        <f aca="false">IF(L74&gt;24,     IF(H74=2,"Couple Extended Day","Extended Day"), IF(L74&lt;=12,     IF(AND(MOD(D74,1)&gt;=TIME(6,0,0),MOD(D74,1)&lt;TIME(18,0,0)),         IF(H74=2,"Couple Half Day","12H Day"),         IF(H74=2,"Couple Half Night","12H Night")), IF(L74&lt;=24,     IF(AND(MOD(D74,1)&gt;=TIME(6,0,0),MOD(D74,1)&lt;TIME(18,0,0)),         IF(H74=2,"Couple Full Day","24H Day"),         IF(H74=2,"Couple Full Night","24H Night")), "Check Data")))</f>
        <v>12H Night</v>
      </c>
      <c r="L74" s="12" t="n">
        <f aca="false">((INT(E74)+MOD(F74,1))-(INT(C74)+MOD(D74,1)))*24</f>
        <v>0</v>
      </c>
      <c r="M74" s="1" t="n">
        <f aca="false">IFERROR(INDEX(Sheet3!$B$2:$B$500,MATCH(1,(INT(C74)+MOD(D74,1)&lt;INT(Sheet3!$A$2:$A$500)+TIME(18,0,0))*(INT(E74)+MOD(F74,1)&gt;=INT(Sheet3!$A$2:$A$500)),0)),0)</f>
        <v>0</v>
      </c>
      <c r="N74" s="1" t="n">
        <f aca="false">IF(OR( AND(Q74=6,D74&gt;=TIME(17,0,0),OR(K74="12H Night",K74="Couple Half Night",K74="24H Night",K74="Couple Full Night")), AND(Q74=7,D74&gt;=TIME(6,0,0),D74&lt;TIME(12,0,0),OR(K74="12H Day",K74="Couple Half Day",K74="24H Day",K74="Couple Full Day")) ),1,0)</f>
        <v>0</v>
      </c>
      <c r="O74" s="1" t="n">
        <f aca="false">IF(OR( AND(MONTH(C74)=12,DAY(C74)&gt;=26), AND(MONTH(C74)=4,DAY(C74)&gt;=15), MONTH(C74)=5, AND(MONTH(C74)=6,DAY(C74)&lt;=10) ),1,0)</f>
        <v>0</v>
      </c>
      <c r="P74" s="1" t="str">
        <f aca="false">IF(OR(MONTH(C74)=3,MONTH(C74)=4,MONTH(C74)=5,MONTH(C74)=6), "Summer", IF(OR(MONTH(C74)=7,MONTH(C74)=8,MONTH(C74)=9,MONTH(C74)=10), "Monsoon", "Winter"))</f>
        <v>Summer</v>
      </c>
      <c r="Q74" s="1" t="n">
        <f aca="false">WEEKDAY(C74,2)</f>
        <v>6</v>
      </c>
      <c r="R74" s="0" t="n">
        <f aca="false">ROUNDDOWN(((INT(C74)+MOD(D74,1))-(INT(I74)+MOD(J74,1))),0)</f>
        <v>3</v>
      </c>
      <c r="S74" s="10"/>
    </row>
    <row r="75" customFormat="false" ht="157" hidden="false" customHeight="false" outlineLevel="0" collapsed="false">
      <c r="A75" s="8" t="s">
        <v>158</v>
      </c>
      <c r="B75" s="22" t="s">
        <v>159</v>
      </c>
      <c r="C75" s="18" t="n">
        <v>45374.75</v>
      </c>
      <c r="D75" s="19" t="n">
        <v>45374.75</v>
      </c>
      <c r="E75" s="18" t="n">
        <v>45375.75</v>
      </c>
      <c r="F75" s="19" t="n">
        <v>45375.75</v>
      </c>
      <c r="G75" s="20" t="n">
        <v>9000</v>
      </c>
      <c r="H75" s="8" t="n">
        <v>13</v>
      </c>
      <c r="I75" s="10" t="n">
        <v>45366</v>
      </c>
      <c r="J75" s="11" t="n">
        <v>0.441342592588623</v>
      </c>
      <c r="K75" s="1" t="str">
        <f aca="false">IF(L75&gt;24,     IF(H75=2,"Couple Extended Day","Extended Day"), IF(L75&lt;=12,     IF(AND(MOD(D75,1)&gt;=TIME(6,0,0),MOD(D75,1)&lt;TIME(18,0,0)),         IF(H75=2,"Couple Half Day","12H Day"),         IF(H75=2,"Couple Half Night","12H Night")), IF(L75&lt;=24,     IF(AND(MOD(D75,1)&gt;=TIME(6,0,0),MOD(D75,1)&lt;TIME(18,0,0)),         IF(H75=2,"Couple Full Day","24H Day"),         IF(H75=2,"Couple Full Night","24H Night")), "Check Data")))</f>
        <v>24H Night</v>
      </c>
      <c r="L75" s="12" t="n">
        <f aca="false">((INT(E75)+MOD(F75,1))-(INT(C75)+MOD(D75,1)))*24</f>
        <v>24</v>
      </c>
      <c r="M75" s="1" t="n">
        <f aca="false">IFERROR(INDEX(Sheet3!$B$2:$B$500,MATCH(1,(INT(C75)+MOD(D75,1)&lt;INT(Sheet3!$A$2:$A$500)+TIME(18,0,0))*(INT(E75)+MOD(F75,1)&gt;=INT(Sheet3!$A$2:$A$500)),0)),0)</f>
        <v>0</v>
      </c>
      <c r="N75" s="1" t="n">
        <f aca="false">IF(OR( AND(Q75=6,D75&gt;=TIME(17,0,0),OR(K75="12H Night",K75="Couple Half Night",K75="24H Night",K75="Couple Full Night")), AND(Q75=7,D75&gt;=TIME(6,0,0),D75&lt;TIME(12,0,0),OR(K75="12H Day",K75="Couple Half Day",K75="24H Day",K75="Couple Full Day")) ),1,0)</f>
        <v>1</v>
      </c>
      <c r="O75" s="1" t="n">
        <f aca="false">IF(OR( AND(MONTH(C75)=12,DAY(C75)&gt;=26), AND(MONTH(C75)=4,DAY(C75)&gt;=15), MONTH(C75)=5, AND(MONTH(C75)=6,DAY(C75)&lt;=10) ),1,0)</f>
        <v>0</v>
      </c>
      <c r="P75" s="1" t="str">
        <f aca="false">IF(OR(MONTH(C75)=3,MONTH(C75)=4,MONTH(C75)=5,MONTH(C75)=6), "Summer", IF(OR(MONTH(C75)=7,MONTH(C75)=8,MONTH(C75)=9,MONTH(C75)=10), "Monsoon", "Winter"))</f>
        <v>Summer</v>
      </c>
      <c r="Q75" s="1" t="n">
        <f aca="false">WEEKDAY(C75,2)</f>
        <v>6</v>
      </c>
      <c r="R75" s="0" t="n">
        <f aca="false">ROUNDDOWN(((INT(C75)+MOD(D75,1))-(INT(I75)+MOD(J75,1))),0)</f>
        <v>8</v>
      </c>
      <c r="S75" s="10"/>
    </row>
    <row r="76" customFormat="false" ht="157" hidden="false" customHeight="false" outlineLevel="0" collapsed="false">
      <c r="A76" s="8" t="s">
        <v>160</v>
      </c>
      <c r="B76" s="22" t="s">
        <v>161</v>
      </c>
      <c r="C76" s="18" t="n">
        <v>45375.75</v>
      </c>
      <c r="D76" s="19" t="n">
        <v>45375.75</v>
      </c>
      <c r="E76" s="18" t="n">
        <v>45376.75</v>
      </c>
      <c r="F76" s="19" t="n">
        <v>45376.75</v>
      </c>
      <c r="G76" s="20" t="n">
        <v>18000</v>
      </c>
      <c r="H76" s="8" t="n">
        <v>15</v>
      </c>
      <c r="I76" s="10" t="n">
        <v>45368</v>
      </c>
      <c r="J76" s="11" t="n">
        <v>0.711273148146574</v>
      </c>
      <c r="K76" s="1" t="str">
        <f aca="false">IF(L76&gt;24,     IF(H76=2,"Couple Extended Day","Extended Day"), IF(L76&lt;=12,     IF(AND(MOD(D76,1)&gt;=TIME(6,0,0),MOD(D76,1)&lt;TIME(18,0,0)),         IF(H76=2,"Couple Half Day","12H Day"),         IF(H76=2,"Couple Half Night","12H Night")), IF(L76&lt;=24,     IF(AND(MOD(D76,1)&gt;=TIME(6,0,0),MOD(D76,1)&lt;TIME(18,0,0)),         IF(H76=2,"Couple Full Day","24H Day"),         IF(H76=2,"Couple Full Night","24H Night")), "Check Data")))</f>
        <v>24H Night</v>
      </c>
      <c r="L76" s="12" t="n">
        <f aca="false">((INT(E76)+MOD(F76,1))-(INT(C76)+MOD(D76,1)))*24</f>
        <v>24</v>
      </c>
      <c r="M76" s="1" t="str">
        <f aca="false">IFERROR(INDEX(Sheet3!$B$2:$B$500,MATCH(1,(INT(C76)+MOD(D76,1)&lt;INT(Sheet3!$A$2:$A$500)+TIME(18,0,0))*(INT(E76)+MOD(F76,1)&gt;=INT(Sheet3!$A$2:$A$500)),0)),0)</f>
        <v>Holi</v>
      </c>
      <c r="N76" s="1" t="n">
        <f aca="false">IF(OR( AND(Q76=6,D76&gt;=TIME(17,0,0),OR(K76="12H Night",K76="Couple Half Night",K76="24H Night",K76="Couple Full Night")), AND(Q76=7,D76&gt;=TIME(6,0,0),D76&lt;TIME(12,0,0),OR(K76="12H Day",K76="Couple Half Day",K76="24H Day",K76="Couple Full Day")) ),1,0)</f>
        <v>0</v>
      </c>
      <c r="O76" s="1" t="n">
        <f aca="false">IF(OR( AND(MONTH(C76)=12,DAY(C76)&gt;=26), AND(MONTH(C76)=4,DAY(C76)&gt;=15), MONTH(C76)=5, AND(MONTH(C76)=6,DAY(C76)&lt;=10) ),1,0)</f>
        <v>0</v>
      </c>
      <c r="P76" s="1" t="str">
        <f aca="false">IF(OR(MONTH(C76)=3,MONTH(C76)=4,MONTH(C76)=5,MONTH(C76)=6), "Summer", IF(OR(MONTH(C76)=7,MONTH(C76)=8,MONTH(C76)=9,MONTH(C76)=10), "Monsoon", "Winter"))</f>
        <v>Summer</v>
      </c>
      <c r="Q76" s="1" t="n">
        <f aca="false">WEEKDAY(C76,2)</f>
        <v>7</v>
      </c>
      <c r="R76" s="0" t="n">
        <f aca="false">ROUNDDOWN(((INT(C76)+MOD(D76,1))-(INT(I76)+MOD(J76,1))),0)</f>
        <v>7</v>
      </c>
      <c r="S76" s="10"/>
    </row>
    <row r="77" customFormat="false" ht="133.05" hidden="false" customHeight="false" outlineLevel="0" collapsed="false">
      <c r="A77" s="8" t="s">
        <v>162</v>
      </c>
      <c r="B77" s="22" t="s">
        <v>163</v>
      </c>
      <c r="C77" s="18" t="n">
        <v>45377.75</v>
      </c>
      <c r="D77" s="19" t="n">
        <v>45377.75</v>
      </c>
      <c r="E77" s="18" t="n">
        <v>45378.75</v>
      </c>
      <c r="F77" s="19" t="n">
        <v>45378.75</v>
      </c>
      <c r="G77" s="20" t="n">
        <v>3500</v>
      </c>
      <c r="I77" s="10" t="n">
        <v>45372</v>
      </c>
      <c r="J77" s="11" t="n">
        <v>0.917546296295764</v>
      </c>
      <c r="K77" s="1" t="str">
        <f aca="false">IF(L77&gt;24,     IF(H77=2,"Couple Extended Day","Extended Day"), IF(L77&lt;=12,     IF(AND(MOD(D77,1)&gt;=TIME(6,0,0),MOD(D77,1)&lt;TIME(18,0,0)),         IF(H77=2,"Couple Half Day","12H Day"),         IF(H77=2,"Couple Half Night","12H Night")), IF(L77&lt;=24,     IF(AND(MOD(D77,1)&gt;=TIME(6,0,0),MOD(D77,1)&lt;TIME(18,0,0)),         IF(H77=2,"Couple Full Day","24H Day"),         IF(H77=2,"Couple Full Night","24H Night")), "Check Data")))</f>
        <v>24H Night</v>
      </c>
      <c r="L77" s="12" t="n">
        <f aca="false">((INT(E77)+MOD(F77,1))-(INT(C77)+MOD(D77,1)))*24</f>
        <v>24</v>
      </c>
      <c r="M77" s="1" t="n">
        <f aca="false">IFERROR(INDEX(Sheet3!$B$2:$B$500,MATCH(1,(INT(C77)+MOD(D77,1)&lt;INT(Sheet3!$A$2:$A$500)+TIME(18,0,0))*(INT(E77)+MOD(F77,1)&gt;=INT(Sheet3!$A$2:$A$500)),0)),0)</f>
        <v>0</v>
      </c>
      <c r="N77" s="1" t="n">
        <f aca="false">IF(OR( AND(Q77=6,D77&gt;=TIME(17,0,0),OR(K77="12H Night",K77="Couple Half Night",K77="24H Night",K77="Couple Full Night")), AND(Q77=7,D77&gt;=TIME(6,0,0),D77&lt;TIME(12,0,0),OR(K77="12H Day",K77="Couple Half Day",K77="24H Day",K77="Couple Full Day")) ),1,0)</f>
        <v>0</v>
      </c>
      <c r="O77" s="1" t="n">
        <f aca="false">IF(OR( AND(MONTH(C77)=12,DAY(C77)&gt;=26), AND(MONTH(C77)=4,DAY(C77)&gt;=15), MONTH(C77)=5, AND(MONTH(C77)=6,DAY(C77)&lt;=10) ),1,0)</f>
        <v>0</v>
      </c>
      <c r="P77" s="1" t="str">
        <f aca="false">IF(OR(MONTH(C77)=3,MONTH(C77)=4,MONTH(C77)=5,MONTH(C77)=6), "Summer", IF(OR(MONTH(C77)=7,MONTH(C77)=8,MONTH(C77)=9,MONTH(C77)=10), "Monsoon", "Winter"))</f>
        <v>Summer</v>
      </c>
      <c r="Q77" s="1" t="n">
        <f aca="false">WEEKDAY(C77,2)</f>
        <v>2</v>
      </c>
      <c r="R77" s="0" t="n">
        <f aca="false">ROUNDDOWN(((INT(C77)+MOD(D77,1))-(INT(I77)+MOD(J77,1))),0)</f>
        <v>4</v>
      </c>
      <c r="S77" s="10"/>
    </row>
    <row r="78" customFormat="false" ht="157" hidden="false" customHeight="false" outlineLevel="0" collapsed="false">
      <c r="A78" s="8" t="s">
        <v>164</v>
      </c>
      <c r="B78" s="22" t="s">
        <v>165</v>
      </c>
      <c r="C78" s="18" t="n">
        <v>45378.75</v>
      </c>
      <c r="D78" s="19" t="n">
        <v>45378.75</v>
      </c>
      <c r="E78" s="18" t="n">
        <v>45379.75</v>
      </c>
      <c r="F78" s="19" t="n">
        <v>45379.75</v>
      </c>
      <c r="G78" s="20" t="n">
        <v>4000</v>
      </c>
      <c r="H78" s="8" t="n">
        <v>8</v>
      </c>
      <c r="I78" s="10" t="n">
        <v>45377</v>
      </c>
      <c r="J78" s="11" t="n">
        <v>0.956099537041157</v>
      </c>
      <c r="K78" s="1" t="str">
        <f aca="false">IF(L78&gt;24,     IF(H78=2,"Couple Extended Day","Extended Day"), IF(L78&lt;=12,     IF(AND(MOD(D78,1)&gt;=TIME(6,0,0),MOD(D78,1)&lt;TIME(18,0,0)),         IF(H78=2,"Couple Half Day","12H Day"),         IF(H78=2,"Couple Half Night","12H Night")), IF(L78&lt;=24,     IF(AND(MOD(D78,1)&gt;=TIME(6,0,0),MOD(D78,1)&lt;TIME(18,0,0)),         IF(H78=2,"Couple Full Day","24H Day"),         IF(H78=2,"Couple Full Night","24H Night")), "Check Data")))</f>
        <v>24H Night</v>
      </c>
      <c r="L78" s="12" t="n">
        <f aca="false">((INT(E78)+MOD(F78,1))-(INT(C78)+MOD(D78,1)))*24</f>
        <v>24</v>
      </c>
      <c r="M78" s="1" t="n">
        <f aca="false">IFERROR(INDEX(Sheet3!$B$2:$B$500,MATCH(1,(INT(C78)+MOD(D78,1)&lt;INT(Sheet3!$A$2:$A$500)+TIME(18,0,0))*(INT(E78)+MOD(F78,1)&gt;=INT(Sheet3!$A$2:$A$500)),0)),0)</f>
        <v>0</v>
      </c>
      <c r="N78" s="1" t="n">
        <f aca="false">IF(OR( AND(Q78=6,D78&gt;=TIME(17,0,0),OR(K78="12H Night",K78="Couple Half Night",K78="24H Night",K78="Couple Full Night")), AND(Q78=7,D78&gt;=TIME(6,0,0),D78&lt;TIME(12,0,0),OR(K78="12H Day",K78="Couple Half Day",K78="24H Day",K78="Couple Full Day")) ),1,0)</f>
        <v>0</v>
      </c>
      <c r="O78" s="1" t="n">
        <f aca="false">IF(OR( AND(MONTH(C78)=12,DAY(C78)&gt;=26), AND(MONTH(C78)=4,DAY(C78)&gt;=15), MONTH(C78)=5, AND(MONTH(C78)=6,DAY(C78)&lt;=10) ),1,0)</f>
        <v>0</v>
      </c>
      <c r="P78" s="1" t="str">
        <f aca="false">IF(OR(MONTH(C78)=3,MONTH(C78)=4,MONTH(C78)=5,MONTH(C78)=6), "Summer", IF(OR(MONTH(C78)=7,MONTH(C78)=8,MONTH(C78)=9,MONTH(C78)=10), "Monsoon", "Winter"))</f>
        <v>Summer</v>
      </c>
      <c r="Q78" s="1" t="n">
        <f aca="false">WEEKDAY(C78,2)</f>
        <v>3</v>
      </c>
      <c r="R78" s="0" t="n">
        <f aca="false">ROUNDDOWN(((INT(C78)+MOD(D78,1))-(INT(I78)+MOD(J78,1))),0)</f>
        <v>0</v>
      </c>
      <c r="S78" s="10"/>
    </row>
    <row r="79" customFormat="false" ht="145.05" hidden="false" customHeight="false" outlineLevel="0" collapsed="false">
      <c r="A79" s="8" t="s">
        <v>166</v>
      </c>
      <c r="B79" s="22" t="s">
        <v>167</v>
      </c>
      <c r="C79" s="18" t="n">
        <v>45379.75</v>
      </c>
      <c r="D79" s="19" t="n">
        <v>45379.75</v>
      </c>
      <c r="E79" s="18" t="n">
        <v>45380.75</v>
      </c>
      <c r="F79" s="19" t="n">
        <v>45380.75</v>
      </c>
      <c r="G79" s="20" t="n">
        <v>3500</v>
      </c>
      <c r="H79" s="8" t="n">
        <v>7</v>
      </c>
      <c r="I79" s="10" t="n">
        <v>45376</v>
      </c>
      <c r="J79" s="11" t="n">
        <v>0.940914351856921</v>
      </c>
      <c r="K79" s="1" t="str">
        <f aca="false">IF(L79&gt;24,     IF(H79=2,"Couple Extended Day","Extended Day"), IF(L79&lt;=12,     IF(AND(MOD(D79,1)&gt;=TIME(6,0,0),MOD(D79,1)&lt;TIME(18,0,0)),         IF(H79=2,"Couple Half Day","12H Day"),         IF(H79=2,"Couple Half Night","12H Night")), IF(L79&lt;=24,     IF(AND(MOD(D79,1)&gt;=TIME(6,0,0),MOD(D79,1)&lt;TIME(18,0,0)),         IF(H79=2,"Couple Full Day","24H Day"),         IF(H79=2,"Couple Full Night","24H Night")), "Check Data")))</f>
        <v>24H Night</v>
      </c>
      <c r="L79" s="12" t="n">
        <f aca="false">((INT(E79)+MOD(F79,1))-(INT(C79)+MOD(D79,1)))*24</f>
        <v>24</v>
      </c>
      <c r="M79" s="1" t="str">
        <f aca="false">IFERROR(INDEX(Sheet3!$B$2:$B$500,MATCH(1,(INT(C79)+MOD(D79,1)&lt;INT(Sheet3!$A$2:$A$500)+TIME(18,0,0))*(INT(E79)+MOD(F79,1)&gt;=INT(Sheet3!$A$2:$A$500)),0)),0)</f>
        <v>Good Friday</v>
      </c>
      <c r="N79" s="1" t="n">
        <f aca="false">IF(OR( AND(Q79=6,D79&gt;=TIME(17,0,0),OR(K79="12H Night",K79="Couple Half Night",K79="24H Night",K79="Couple Full Night")), AND(Q79=7,D79&gt;=TIME(6,0,0),D79&lt;TIME(12,0,0),OR(K79="12H Day",K79="Couple Half Day",K79="24H Day",K79="Couple Full Day")) ),1,0)</f>
        <v>0</v>
      </c>
      <c r="O79" s="1" t="n">
        <f aca="false">IF(OR( AND(MONTH(C79)=12,DAY(C79)&gt;=26), AND(MONTH(C79)=4,DAY(C79)&gt;=15), MONTH(C79)=5, AND(MONTH(C79)=6,DAY(C79)&lt;=10) ),1,0)</f>
        <v>0</v>
      </c>
      <c r="P79" s="1" t="str">
        <f aca="false">IF(OR(MONTH(C79)=3,MONTH(C79)=4,MONTH(C79)=5,MONTH(C79)=6), "Summer", IF(OR(MONTH(C79)=7,MONTH(C79)=8,MONTH(C79)=9,MONTH(C79)=10), "Monsoon", "Winter"))</f>
        <v>Summer</v>
      </c>
      <c r="Q79" s="1" t="n">
        <f aca="false">WEEKDAY(C79,2)</f>
        <v>4</v>
      </c>
      <c r="R79" s="0" t="n">
        <f aca="false">ROUNDDOWN(((INT(C79)+MOD(D79,1))-(INT(I79)+MOD(J79,1))),0)</f>
        <v>2</v>
      </c>
      <c r="S79" s="10"/>
    </row>
    <row r="80" customFormat="false" ht="145.05" hidden="false" customHeight="false" outlineLevel="0" collapsed="false">
      <c r="A80" s="8" t="s">
        <v>168</v>
      </c>
      <c r="B80" s="22" t="s">
        <v>169</v>
      </c>
      <c r="C80" s="18" t="n">
        <v>45380.75</v>
      </c>
      <c r="D80" s="19" t="n">
        <v>45380.75</v>
      </c>
      <c r="E80" s="18" t="n">
        <v>45381.75</v>
      </c>
      <c r="F80" s="19" t="n">
        <v>45381.75</v>
      </c>
      <c r="G80" s="20" t="n">
        <v>3800</v>
      </c>
      <c r="H80" s="8" t="n">
        <v>9</v>
      </c>
      <c r="I80" s="10" t="n">
        <v>45373</v>
      </c>
      <c r="J80" s="11" t="n">
        <v>0.764479166668021</v>
      </c>
      <c r="K80" s="1" t="str">
        <f aca="false">IF(L80&gt;24,     IF(H80=2,"Couple Extended Day","Extended Day"), IF(L80&lt;=12,     IF(AND(MOD(D80,1)&gt;=TIME(6,0,0),MOD(D80,1)&lt;TIME(18,0,0)),         IF(H80=2,"Couple Half Day","12H Day"),         IF(H80=2,"Couple Half Night","12H Night")), IF(L80&lt;=24,     IF(AND(MOD(D80,1)&gt;=TIME(6,0,0),MOD(D80,1)&lt;TIME(18,0,0)),         IF(H80=2,"Couple Full Day","24H Day"),         IF(H80=2,"Couple Full Night","24H Night")), "Check Data")))</f>
        <v>24H Night</v>
      </c>
      <c r="L80" s="12" t="n">
        <f aca="false">((INT(E80)+MOD(F80,1))-(INT(C80)+MOD(D80,1)))*24</f>
        <v>24</v>
      </c>
      <c r="M80" s="1" t="n">
        <f aca="false">IFERROR(INDEX(Sheet3!$B$2:$B$500,MATCH(1,(INT(C80)+MOD(D80,1)&lt;INT(Sheet3!$A$2:$A$500)+TIME(18,0,0))*(INT(E80)+MOD(F80,1)&gt;=INT(Sheet3!$A$2:$A$500)),0)),0)</f>
        <v>0</v>
      </c>
      <c r="N80" s="1" t="n">
        <f aca="false">IF(OR( AND(Q80=6,D80&gt;=TIME(17,0,0),OR(K80="12H Night",K80="Couple Half Night",K80="24H Night",K80="Couple Full Night")), AND(Q80=7,D80&gt;=TIME(6,0,0),D80&lt;TIME(12,0,0),OR(K80="12H Day",K80="Couple Half Day",K80="24H Day",K80="Couple Full Day")) ),1,0)</f>
        <v>0</v>
      </c>
      <c r="O80" s="1" t="n">
        <f aca="false">IF(OR( AND(MONTH(C80)=12,DAY(C80)&gt;=26), AND(MONTH(C80)=4,DAY(C80)&gt;=15), MONTH(C80)=5, AND(MONTH(C80)=6,DAY(C80)&lt;=10) ),1,0)</f>
        <v>0</v>
      </c>
      <c r="P80" s="1" t="str">
        <f aca="false">IF(OR(MONTH(C80)=3,MONTH(C80)=4,MONTH(C80)=5,MONTH(C80)=6), "Summer", IF(OR(MONTH(C80)=7,MONTH(C80)=8,MONTH(C80)=9,MONTH(C80)=10), "Monsoon", "Winter"))</f>
        <v>Summer</v>
      </c>
      <c r="Q80" s="1" t="n">
        <f aca="false">WEEKDAY(C80,2)</f>
        <v>5</v>
      </c>
      <c r="R80" s="0" t="n">
        <f aca="false">ROUNDDOWN(((INT(C80)+MOD(D80,1))-(INT(I80)+MOD(J80,1))),0)</f>
        <v>6</v>
      </c>
      <c r="S80" s="10"/>
    </row>
    <row r="81" customFormat="false" ht="216.9" hidden="false" customHeight="false" outlineLevel="0" collapsed="false">
      <c r="A81" s="8" t="s">
        <v>170</v>
      </c>
      <c r="B81" s="22" t="s">
        <v>171</v>
      </c>
      <c r="C81" s="18" t="n">
        <v>45381.75</v>
      </c>
      <c r="D81" s="19" t="n">
        <v>45381.75</v>
      </c>
      <c r="E81" s="18" t="n">
        <v>45382.75</v>
      </c>
      <c r="F81" s="19" t="n">
        <v>45382.75</v>
      </c>
      <c r="G81" s="20" t="n">
        <v>7000</v>
      </c>
      <c r="H81" s="8" t="n">
        <v>10</v>
      </c>
      <c r="I81" s="10" t="n">
        <v>45361</v>
      </c>
      <c r="J81" s="11" t="n">
        <v>0.943645833336632</v>
      </c>
      <c r="K81" s="1" t="str">
        <f aca="false">IF(L81&gt;24,     IF(H81=2,"Couple Extended Day","Extended Day"), IF(L81&lt;=12,     IF(AND(MOD(D81,1)&gt;=TIME(6,0,0),MOD(D81,1)&lt;TIME(18,0,0)),         IF(H81=2,"Couple Half Day","12H Day"),         IF(H81=2,"Couple Half Night","12H Night")), IF(L81&lt;=24,     IF(AND(MOD(D81,1)&gt;=TIME(6,0,0),MOD(D81,1)&lt;TIME(18,0,0)),         IF(H81=2,"Couple Full Day","24H Day"),         IF(H81=2,"Couple Full Night","24H Night")), "Check Data")))</f>
        <v>24H Night</v>
      </c>
      <c r="L81" s="12" t="n">
        <f aca="false">((INT(E81)+MOD(F81,1))-(INT(C81)+MOD(D81,1)))*24</f>
        <v>24</v>
      </c>
      <c r="M81" s="1" t="n">
        <f aca="false">IFERROR(INDEX(Sheet3!$B$2:$B$500,MATCH(1,(INT(C81)+MOD(D81,1)&lt;INT(Sheet3!$A$2:$A$500)+TIME(18,0,0))*(INT(E81)+MOD(F81,1)&gt;=INT(Sheet3!$A$2:$A$500)),0)),0)</f>
        <v>0</v>
      </c>
      <c r="N81" s="1" t="n">
        <f aca="false">IF(OR( AND(Q81=6,D81&gt;=TIME(17,0,0),OR(K81="12H Night",K81="Couple Half Night",K81="24H Night",K81="Couple Full Night")), AND(Q81=7,D81&gt;=TIME(6,0,0),D81&lt;TIME(12,0,0),OR(K81="12H Day",K81="Couple Half Day",K81="24H Day",K81="Couple Full Day")) ),1,0)</f>
        <v>1</v>
      </c>
      <c r="O81" s="1" t="n">
        <f aca="false">IF(OR( AND(MONTH(C81)=12,DAY(C81)&gt;=26), AND(MONTH(C81)=4,DAY(C81)&gt;=15), MONTH(C81)=5, AND(MONTH(C81)=6,DAY(C81)&lt;=10) ),1,0)</f>
        <v>0</v>
      </c>
      <c r="P81" s="1" t="str">
        <f aca="false">IF(OR(MONTH(C81)=3,MONTH(C81)=4,MONTH(C81)=5,MONTH(C81)=6), "Summer", IF(OR(MONTH(C81)=7,MONTH(C81)=8,MONTH(C81)=9,MONTH(C81)=10), "Monsoon", "Winter"))</f>
        <v>Summer</v>
      </c>
      <c r="Q81" s="1" t="n">
        <f aca="false">WEEKDAY(C81,2)</f>
        <v>6</v>
      </c>
      <c r="R81" s="0" t="n">
        <f aca="false">ROUNDDOWN(((INT(C81)+MOD(D81,1))-(INT(I81)+MOD(J81,1))),0)</f>
        <v>19</v>
      </c>
      <c r="S81" s="10"/>
    </row>
    <row r="82" customFormat="false" ht="145.05" hidden="false" customHeight="false" outlineLevel="0" collapsed="false">
      <c r="A82" s="8" t="s">
        <v>172</v>
      </c>
      <c r="B82" s="22" t="s">
        <v>173</v>
      </c>
      <c r="C82" s="18" t="n">
        <v>45382.75</v>
      </c>
      <c r="D82" s="19" t="n">
        <v>45382.75</v>
      </c>
      <c r="E82" s="18" t="n">
        <v>45383.75</v>
      </c>
      <c r="F82" s="19" t="n">
        <v>45383.75</v>
      </c>
      <c r="G82" s="20" t="n">
        <v>4500</v>
      </c>
      <c r="I82" s="10" t="n">
        <v>45379</v>
      </c>
      <c r="J82" s="11" t="n">
        <v>0.857812499998542</v>
      </c>
      <c r="K82" s="1" t="str">
        <f aca="false">IF(L82&gt;24,     IF(H82=2,"Couple Extended Day","Extended Day"), IF(L82&lt;=12,     IF(AND(MOD(D82,1)&gt;=TIME(6,0,0),MOD(D82,1)&lt;TIME(18,0,0)),         IF(H82=2,"Couple Half Day","12H Day"),         IF(H82=2,"Couple Half Night","12H Night")), IF(L82&lt;=24,     IF(AND(MOD(D82,1)&gt;=TIME(6,0,0),MOD(D82,1)&lt;TIME(18,0,0)),         IF(H82=2,"Couple Full Day","24H Day"),         IF(H82=2,"Couple Full Night","24H Night")), "Check Data")))</f>
        <v>24H Night</v>
      </c>
      <c r="L82" s="12" t="n">
        <f aca="false">((INT(E82)+MOD(F82,1))-(INT(C82)+MOD(D82,1)))*24</f>
        <v>24</v>
      </c>
      <c r="M82" s="1" t="n">
        <f aca="false">IFERROR(INDEX(Sheet3!$B$2:$B$500,MATCH(1,(INT(C82)+MOD(D82,1)&lt;INT(Sheet3!$A$2:$A$500)+TIME(18,0,0))*(INT(E82)+MOD(F82,1)&gt;=INT(Sheet3!$A$2:$A$500)),0)),0)</f>
        <v>0</v>
      </c>
      <c r="N82" s="1" t="n">
        <f aca="false">IF(OR( AND(Q82=6,D82&gt;=TIME(17,0,0),OR(K82="12H Night",K82="Couple Half Night",K82="24H Night",K82="Couple Full Night")), AND(Q82=7,D82&gt;=TIME(6,0,0),D82&lt;TIME(12,0,0),OR(K82="12H Day",K82="Couple Half Day",K82="24H Day",K82="Couple Full Day")) ),1,0)</f>
        <v>0</v>
      </c>
      <c r="O82" s="1" t="n">
        <f aca="false">IF(OR( AND(MONTH(C82)=12,DAY(C82)&gt;=26), AND(MONTH(C82)=4,DAY(C82)&gt;=15), MONTH(C82)=5, AND(MONTH(C82)=6,DAY(C82)&lt;=10) ),1,0)</f>
        <v>0</v>
      </c>
      <c r="P82" s="1" t="str">
        <f aca="false">IF(OR(MONTH(C82)=3,MONTH(C82)=4,MONTH(C82)=5,MONTH(C82)=6), "Summer", IF(OR(MONTH(C82)=7,MONTH(C82)=8,MONTH(C82)=9,MONTH(C82)=10), "Monsoon", "Winter"))</f>
        <v>Summer</v>
      </c>
      <c r="Q82" s="1" t="n">
        <f aca="false">WEEKDAY(C82,2)</f>
        <v>7</v>
      </c>
      <c r="R82" s="0" t="n">
        <f aca="false">ROUNDDOWN(((INT(C82)+MOD(D82,1))-(INT(I82)+MOD(J82,1))),0)</f>
        <v>2</v>
      </c>
      <c r="S82" s="10"/>
    </row>
    <row r="83" customFormat="false" ht="145.05" hidden="false" customHeight="false" outlineLevel="0" collapsed="false">
      <c r="A83" s="8" t="s">
        <v>174</v>
      </c>
      <c r="B83" s="22" t="s">
        <v>175</v>
      </c>
      <c r="C83" s="18" t="n">
        <v>45384.5</v>
      </c>
      <c r="D83" s="19" t="n">
        <v>45384.5</v>
      </c>
      <c r="E83" s="18" t="n">
        <v>45384.7083333333</v>
      </c>
      <c r="F83" s="19" t="n">
        <v>0</v>
      </c>
      <c r="G83" s="20" t="n">
        <v>3000</v>
      </c>
      <c r="H83" s="8" t="n">
        <v>3</v>
      </c>
      <c r="I83" s="10" t="n">
        <v>45383</v>
      </c>
      <c r="J83" s="11" t="n">
        <v>0.71408564814919</v>
      </c>
      <c r="K83" s="1" t="str">
        <f aca="false">IF(L83&gt;24,     IF(H83=2,"Couple Extended Day","Extended Day"), IF(L83&lt;=12,     IF(AND(MOD(D83,1)&gt;=TIME(6,0,0),MOD(D83,1)&lt;TIME(18,0,0)),         IF(H83=2,"Couple Half Day","12H Day"),         IF(H83=2,"Couple Half Night","12H Night")), IF(L83&lt;=24,     IF(AND(MOD(D83,1)&gt;=TIME(6,0,0),MOD(D83,1)&lt;TIME(18,0,0)),         IF(H83=2,"Couple Full Day","24H Day"),         IF(H83=2,"Couple Full Night","24H Night")), "Check Data")))</f>
        <v>12H Day</v>
      </c>
      <c r="L83" s="12" t="n">
        <f aca="false">((INT(E83)+MOD(F83,1))-(INT(C83)+MOD(D83,1)))*24</f>
        <v>-12</v>
      </c>
      <c r="M83" s="1" t="n">
        <f aca="false">IFERROR(INDEX(Sheet3!$B$2:$B$500,MATCH(1,(INT(C83)+MOD(D83,1)&lt;INT(Sheet3!$A$2:$A$500)+TIME(18,0,0))*(INT(E83)+MOD(F83,1)&gt;=INT(Sheet3!$A$2:$A$500)),0)),0)</f>
        <v>0</v>
      </c>
      <c r="N83" s="1" t="n">
        <f aca="false">IF(OR( AND(Q83=6,D83&gt;=TIME(17,0,0),OR(K83="12H Night",K83="Couple Half Night",K83="24H Night",K83="Couple Full Night")), AND(Q83=7,D83&gt;=TIME(6,0,0),D83&lt;TIME(12,0,0),OR(K83="12H Day",K83="Couple Half Day",K83="24H Day",K83="Couple Full Day")) ),1,0)</f>
        <v>0</v>
      </c>
      <c r="O83" s="1" t="n">
        <f aca="false">IF(OR( AND(MONTH(C83)=12,DAY(C83)&gt;=26), AND(MONTH(C83)=4,DAY(C83)&gt;=15), MONTH(C83)=5, AND(MONTH(C83)=6,DAY(C83)&lt;=10) ),1,0)</f>
        <v>0</v>
      </c>
      <c r="P83" s="1" t="str">
        <f aca="false">IF(OR(MONTH(C83)=3,MONTH(C83)=4,MONTH(C83)=5,MONTH(C83)=6), "Summer", IF(OR(MONTH(C83)=7,MONTH(C83)=8,MONTH(C83)=9,MONTH(C83)=10), "Monsoon", "Winter"))</f>
        <v>Summer</v>
      </c>
      <c r="Q83" s="1" t="n">
        <f aca="false">WEEKDAY(C83,2)</f>
        <v>2</v>
      </c>
      <c r="R83" s="0" t="n">
        <f aca="false">ROUNDDOWN(((INT(C83)+MOD(D83,1))-(INT(I83)+MOD(J83,1))),0)</f>
        <v>0</v>
      </c>
      <c r="S83" s="10"/>
    </row>
    <row r="84" customFormat="false" ht="133.05" hidden="false" customHeight="false" outlineLevel="0" collapsed="false">
      <c r="A84" s="8" t="s">
        <v>176</v>
      </c>
      <c r="B84" s="22" t="s">
        <v>177</v>
      </c>
      <c r="C84" s="18" t="n">
        <v>45384.75</v>
      </c>
      <c r="D84" s="19" t="n">
        <v>45384.75</v>
      </c>
      <c r="E84" s="18" t="n">
        <v>45385.75</v>
      </c>
      <c r="F84" s="19" t="n">
        <v>45385.75</v>
      </c>
      <c r="G84" s="20" t="n">
        <v>4000</v>
      </c>
      <c r="H84" s="8" t="n">
        <v>2</v>
      </c>
      <c r="I84" s="10" t="n">
        <v>45383</v>
      </c>
      <c r="J84" s="11" t="n">
        <v>0.421504629630359</v>
      </c>
      <c r="K84" s="1" t="str">
        <f aca="false">IF(L84&gt;24,     IF(H84=2,"Couple Extended Day","Extended Day"), IF(L84&lt;=12,     IF(AND(MOD(D84,1)&gt;=TIME(6,0,0),MOD(D84,1)&lt;TIME(18,0,0)),         IF(H84=2,"Couple Half Day","12H Day"),         IF(H84=2,"Couple Half Night","12H Night")), IF(L84&lt;=24,     IF(AND(MOD(D84,1)&gt;=TIME(6,0,0),MOD(D84,1)&lt;TIME(18,0,0)),         IF(H84=2,"Couple Full Day","24H Day"),         IF(H84=2,"Couple Full Night","24H Night")), "Check Data")))</f>
        <v>Couple Full Night</v>
      </c>
      <c r="L84" s="12" t="n">
        <f aca="false">((INT(E84)+MOD(F84,1))-(INT(C84)+MOD(D84,1)))*24</f>
        <v>24</v>
      </c>
      <c r="M84" s="1" t="n">
        <f aca="false">IFERROR(INDEX(Sheet3!$B$2:$B$500,MATCH(1,(INT(C84)+MOD(D84,1)&lt;INT(Sheet3!$A$2:$A$500)+TIME(18,0,0))*(INT(E84)+MOD(F84,1)&gt;=INT(Sheet3!$A$2:$A$500)),0)),0)</f>
        <v>0</v>
      </c>
      <c r="N84" s="1" t="n">
        <f aca="false">IF(OR( AND(Q84=6,D84&gt;=TIME(17,0,0),OR(K84="12H Night",K84="Couple Half Night",K84="24H Night",K84="Couple Full Night")), AND(Q84=7,D84&gt;=TIME(6,0,0),D84&lt;TIME(12,0,0),OR(K84="12H Day",K84="Couple Half Day",K84="24H Day",K84="Couple Full Day")) ),1,0)</f>
        <v>0</v>
      </c>
      <c r="O84" s="1" t="n">
        <f aca="false">IF(OR( AND(MONTH(C84)=12,DAY(C84)&gt;=26), AND(MONTH(C84)=4,DAY(C84)&gt;=15), MONTH(C84)=5, AND(MONTH(C84)=6,DAY(C84)&lt;=10) ),1,0)</f>
        <v>0</v>
      </c>
      <c r="P84" s="1" t="str">
        <f aca="false">IF(OR(MONTH(C84)=3,MONTH(C84)=4,MONTH(C84)=5,MONTH(C84)=6), "Summer", IF(OR(MONTH(C84)=7,MONTH(C84)=8,MONTH(C84)=9,MONTH(C84)=10), "Monsoon", "Winter"))</f>
        <v>Summer</v>
      </c>
      <c r="Q84" s="1" t="n">
        <f aca="false">WEEKDAY(C84,2)</f>
        <v>2</v>
      </c>
      <c r="R84" s="0" t="n">
        <f aca="false">ROUNDDOWN(((INT(C84)+MOD(D84,1))-(INT(I84)+MOD(J84,1))),0)</f>
        <v>1</v>
      </c>
      <c r="S84" s="10"/>
    </row>
    <row r="85" customFormat="false" ht="133.05" hidden="false" customHeight="false" outlineLevel="0" collapsed="false">
      <c r="A85" s="8" t="s">
        <v>178</v>
      </c>
      <c r="B85" s="22" t="s">
        <v>179</v>
      </c>
      <c r="C85" s="18" t="n">
        <v>45386.25</v>
      </c>
      <c r="D85" s="19" t="n">
        <v>45386.25</v>
      </c>
      <c r="E85" s="18" t="n">
        <v>45386.75</v>
      </c>
      <c r="F85" s="19" t="n">
        <v>45386.75</v>
      </c>
      <c r="G85" s="20" t="n">
        <v>4000</v>
      </c>
      <c r="H85" s="8" t="n">
        <v>10</v>
      </c>
      <c r="I85" s="10" t="n">
        <v>45373</v>
      </c>
      <c r="J85" s="11" t="n">
        <v>0.724166666666863</v>
      </c>
      <c r="K85" s="1" t="str">
        <f aca="false">IF(L85&gt;24,     IF(H85=2,"Couple Extended Day","Extended Day"), IF(L85&lt;=12,     IF(AND(MOD(D85,1)&gt;=TIME(6,0,0),MOD(D85,1)&lt;TIME(18,0,0)),         IF(H85=2,"Couple Half Day","12H Day"),         IF(H85=2,"Couple Half Night","12H Night")), IF(L85&lt;=24,     IF(AND(MOD(D85,1)&gt;=TIME(6,0,0),MOD(D85,1)&lt;TIME(18,0,0)),         IF(H85=2,"Couple Full Day","24H Day"),         IF(H85=2,"Couple Full Night","24H Night")), "Check Data")))</f>
        <v>12H Day</v>
      </c>
      <c r="L85" s="12" t="n">
        <f aca="false">((INT(E85)+MOD(F85,1))-(INT(C85)+MOD(D85,1)))*24</f>
        <v>12</v>
      </c>
      <c r="M85" s="1" t="n">
        <f aca="false">IFERROR(INDEX(Sheet3!$B$2:$B$500,MATCH(1,(INT(C85)+MOD(D85,1)&lt;INT(Sheet3!$A$2:$A$500)+TIME(18,0,0))*(INT(E85)+MOD(F85,1)&gt;=INT(Sheet3!$A$2:$A$500)),0)),0)</f>
        <v>0</v>
      </c>
      <c r="N85" s="1" t="n">
        <f aca="false">IF(OR( AND(Q85=6,D85&gt;=TIME(17,0,0),OR(K85="12H Night",K85="Couple Half Night",K85="24H Night",K85="Couple Full Night")), AND(Q85=7,D85&gt;=TIME(6,0,0),D85&lt;TIME(12,0,0),OR(K85="12H Day",K85="Couple Half Day",K85="24H Day",K85="Couple Full Day")) ),1,0)</f>
        <v>0</v>
      </c>
      <c r="O85" s="1" t="n">
        <f aca="false">IF(OR( AND(MONTH(C85)=12,DAY(C85)&gt;=26), AND(MONTH(C85)=4,DAY(C85)&gt;=15), MONTH(C85)=5, AND(MONTH(C85)=6,DAY(C85)&lt;=10) ),1,0)</f>
        <v>0</v>
      </c>
      <c r="P85" s="1" t="str">
        <f aca="false">IF(OR(MONTH(C85)=3,MONTH(C85)=4,MONTH(C85)=5,MONTH(C85)=6), "Summer", IF(OR(MONTH(C85)=7,MONTH(C85)=8,MONTH(C85)=9,MONTH(C85)=10), "Monsoon", "Winter"))</f>
        <v>Summer</v>
      </c>
      <c r="Q85" s="1" t="n">
        <f aca="false">WEEKDAY(C85,2)</f>
        <v>4</v>
      </c>
      <c r="R85" s="0" t="n">
        <f aca="false">ROUNDDOWN(((INT(C85)+MOD(D85,1))-(INT(I85)+MOD(J85,1))),0)</f>
        <v>12</v>
      </c>
      <c r="S85" s="10"/>
    </row>
    <row r="86" customFormat="false" ht="133.05" hidden="false" customHeight="false" outlineLevel="0" collapsed="false">
      <c r="A86" s="8" t="s">
        <v>180</v>
      </c>
      <c r="B86" s="22" t="s">
        <v>181</v>
      </c>
      <c r="C86" s="18" t="n">
        <v>45386.75</v>
      </c>
      <c r="D86" s="19" t="n">
        <v>45386.75</v>
      </c>
      <c r="E86" s="18" t="n">
        <v>45387.75</v>
      </c>
      <c r="F86" s="19" t="n">
        <v>45387.75</v>
      </c>
      <c r="G86" s="20" t="n">
        <v>4500</v>
      </c>
      <c r="H86" s="8" t="n">
        <v>10</v>
      </c>
      <c r="I86" s="10" t="n">
        <v>45383</v>
      </c>
      <c r="J86" s="11" t="n">
        <v>0.679467592592118</v>
      </c>
      <c r="K86" s="1" t="str">
        <f aca="false">IF(L86&gt;24,     IF(H86=2,"Couple Extended Day","Extended Day"), IF(L86&lt;=12,     IF(AND(MOD(D86,1)&gt;=TIME(6,0,0),MOD(D86,1)&lt;TIME(18,0,0)),         IF(H86=2,"Couple Half Day","12H Day"),         IF(H86=2,"Couple Half Night","12H Night")), IF(L86&lt;=24,     IF(AND(MOD(D86,1)&gt;=TIME(6,0,0),MOD(D86,1)&lt;TIME(18,0,0)),         IF(H86=2,"Couple Full Day","24H Day"),         IF(H86=2,"Couple Full Night","24H Night")), "Check Data")))</f>
        <v>24H Night</v>
      </c>
      <c r="L86" s="12" t="n">
        <f aca="false">((INT(E86)+MOD(F86,1))-(INT(C86)+MOD(D86,1)))*24</f>
        <v>24</v>
      </c>
      <c r="M86" s="1" t="n">
        <f aca="false">IFERROR(INDEX(Sheet3!$B$2:$B$500,MATCH(1,(INT(C86)+MOD(D86,1)&lt;INT(Sheet3!$A$2:$A$500)+TIME(18,0,0))*(INT(E86)+MOD(F86,1)&gt;=INT(Sheet3!$A$2:$A$500)),0)),0)</f>
        <v>0</v>
      </c>
      <c r="N86" s="1" t="n">
        <f aca="false">IF(OR( AND(Q86=6,D86&gt;=TIME(17,0,0),OR(K86="12H Night",K86="Couple Half Night",K86="24H Night",K86="Couple Full Night")), AND(Q86=7,D86&gt;=TIME(6,0,0),D86&lt;TIME(12,0,0),OR(K86="12H Day",K86="Couple Half Day",K86="24H Day",K86="Couple Full Day")) ),1,0)</f>
        <v>0</v>
      </c>
      <c r="O86" s="1" t="n">
        <f aca="false">IF(OR( AND(MONTH(C86)=12,DAY(C86)&gt;=26), AND(MONTH(C86)=4,DAY(C86)&gt;=15), MONTH(C86)=5, AND(MONTH(C86)=6,DAY(C86)&lt;=10) ),1,0)</f>
        <v>0</v>
      </c>
      <c r="P86" s="1" t="str">
        <f aca="false">IF(OR(MONTH(C86)=3,MONTH(C86)=4,MONTH(C86)=5,MONTH(C86)=6), "Summer", IF(OR(MONTH(C86)=7,MONTH(C86)=8,MONTH(C86)=9,MONTH(C86)=10), "Monsoon", "Winter"))</f>
        <v>Summer</v>
      </c>
      <c r="Q86" s="1" t="n">
        <f aca="false">WEEKDAY(C86,2)</f>
        <v>4</v>
      </c>
      <c r="R86" s="0" t="n">
        <f aca="false">ROUNDDOWN(((INT(C86)+MOD(D86,1))-(INT(I86)+MOD(J86,1))),0)</f>
        <v>3</v>
      </c>
      <c r="S86" s="10"/>
    </row>
    <row r="87" customFormat="false" ht="133.05" hidden="false" customHeight="false" outlineLevel="0" collapsed="false">
      <c r="A87" s="8" t="s">
        <v>182</v>
      </c>
      <c r="B87" s="22" t="s">
        <v>183</v>
      </c>
      <c r="C87" s="18" t="n">
        <v>45387.75</v>
      </c>
      <c r="D87" s="19" t="n">
        <v>45387.75</v>
      </c>
      <c r="E87" s="18" t="n">
        <v>45388.75</v>
      </c>
      <c r="F87" s="19" t="n">
        <v>45388.75</v>
      </c>
      <c r="G87" s="20" t="n">
        <v>4500</v>
      </c>
      <c r="H87" s="8" t="n">
        <v>6</v>
      </c>
      <c r="I87" s="10" t="n">
        <v>45376</v>
      </c>
      <c r="J87" s="11" t="n">
        <v>0.582812499997095</v>
      </c>
      <c r="K87" s="1" t="str">
        <f aca="false">IF(L87&gt;24,     IF(H87=2,"Couple Extended Day","Extended Day"), IF(L87&lt;=12,     IF(AND(MOD(D87,1)&gt;=TIME(6,0,0),MOD(D87,1)&lt;TIME(18,0,0)),         IF(H87=2,"Couple Half Day","12H Day"),         IF(H87=2,"Couple Half Night","12H Night")), IF(L87&lt;=24,     IF(AND(MOD(D87,1)&gt;=TIME(6,0,0),MOD(D87,1)&lt;TIME(18,0,0)),         IF(H87=2,"Couple Full Day","24H Day"),         IF(H87=2,"Couple Full Night","24H Night")), "Check Data")))</f>
        <v>24H Night</v>
      </c>
      <c r="L87" s="12" t="n">
        <f aca="false">((INT(E87)+MOD(F87,1))-(INT(C87)+MOD(D87,1)))*24</f>
        <v>24</v>
      </c>
      <c r="M87" s="1" t="n">
        <f aca="false">IFERROR(INDEX(Sheet3!$B$2:$B$500,MATCH(1,(INT(C87)+MOD(D87,1)&lt;INT(Sheet3!$A$2:$A$500)+TIME(18,0,0))*(INT(E87)+MOD(F87,1)&gt;=INT(Sheet3!$A$2:$A$500)),0)),0)</f>
        <v>0</v>
      </c>
      <c r="N87" s="1" t="n">
        <f aca="false">IF(OR( AND(Q87=6,D87&gt;=TIME(17,0,0),OR(K87="12H Night",K87="Couple Half Night",K87="24H Night",K87="Couple Full Night")), AND(Q87=7,D87&gt;=TIME(6,0,0),D87&lt;TIME(12,0,0),OR(K87="12H Day",K87="Couple Half Day",K87="24H Day",K87="Couple Full Day")) ),1,0)</f>
        <v>0</v>
      </c>
      <c r="O87" s="1" t="n">
        <f aca="false">IF(OR( AND(MONTH(C87)=12,DAY(C87)&gt;=26), AND(MONTH(C87)=4,DAY(C87)&gt;=15), MONTH(C87)=5, AND(MONTH(C87)=6,DAY(C87)&lt;=10) ),1,0)</f>
        <v>0</v>
      </c>
      <c r="P87" s="1" t="str">
        <f aca="false">IF(OR(MONTH(C87)=3,MONTH(C87)=4,MONTH(C87)=5,MONTH(C87)=6), "Summer", IF(OR(MONTH(C87)=7,MONTH(C87)=8,MONTH(C87)=9,MONTH(C87)=10), "Monsoon", "Winter"))</f>
        <v>Summer</v>
      </c>
      <c r="Q87" s="1" t="n">
        <f aca="false">WEEKDAY(C87,2)</f>
        <v>5</v>
      </c>
      <c r="R87" s="0" t="n">
        <f aca="false">ROUNDDOWN(((INT(C87)+MOD(D87,1))-(INT(I87)+MOD(J87,1))),0)</f>
        <v>11</v>
      </c>
      <c r="S87" s="10"/>
    </row>
    <row r="88" customFormat="false" ht="133.05" hidden="false" customHeight="false" outlineLevel="0" collapsed="false">
      <c r="A88" s="8" t="s">
        <v>184</v>
      </c>
      <c r="B88" s="22" t="s">
        <v>185</v>
      </c>
      <c r="C88" s="18" t="n">
        <v>45388.75</v>
      </c>
      <c r="D88" s="19" t="n">
        <v>45388.75</v>
      </c>
      <c r="E88" s="18" t="n">
        <v>45389.75</v>
      </c>
      <c r="F88" s="19" t="n">
        <v>45389.75</v>
      </c>
      <c r="G88" s="20" t="n">
        <v>7000</v>
      </c>
      <c r="H88" s="8" t="n">
        <v>15</v>
      </c>
      <c r="I88" s="10" t="n">
        <v>45364</v>
      </c>
      <c r="J88" s="11" t="n">
        <v>0.99013888889022</v>
      </c>
      <c r="K88" s="1" t="str">
        <f aca="false">IF(L88&gt;24,     IF(H88=2,"Couple Extended Day","Extended Day"), IF(L88&lt;=12,     IF(AND(MOD(D88,1)&gt;=TIME(6,0,0),MOD(D88,1)&lt;TIME(18,0,0)),         IF(H88=2,"Couple Half Day","12H Day"),         IF(H88=2,"Couple Half Night","12H Night")), IF(L88&lt;=24,     IF(AND(MOD(D88,1)&gt;=TIME(6,0,0),MOD(D88,1)&lt;TIME(18,0,0)),         IF(H88=2,"Couple Full Day","24H Day"),         IF(H88=2,"Couple Full Night","24H Night")), "Check Data")))</f>
        <v>24H Night</v>
      </c>
      <c r="L88" s="12" t="n">
        <f aca="false">((INT(E88)+MOD(F88,1))-(INT(C88)+MOD(D88,1)))*24</f>
        <v>24</v>
      </c>
      <c r="M88" s="1" t="n">
        <f aca="false">IFERROR(INDEX(Sheet3!$B$2:$B$500,MATCH(1,(INT(C88)+MOD(D88,1)&lt;INT(Sheet3!$A$2:$A$500)+TIME(18,0,0))*(INT(E88)+MOD(F88,1)&gt;=INT(Sheet3!$A$2:$A$500)),0)),0)</f>
        <v>0</v>
      </c>
      <c r="N88" s="1" t="n">
        <f aca="false">IF(OR( AND(Q88=6,D88&gt;=TIME(17,0,0),OR(K88="12H Night",K88="Couple Half Night",K88="24H Night",K88="Couple Full Night")), AND(Q88=7,D88&gt;=TIME(6,0,0),D88&lt;TIME(12,0,0),OR(K88="12H Day",K88="Couple Half Day",K88="24H Day",K88="Couple Full Day")) ),1,0)</f>
        <v>1</v>
      </c>
      <c r="O88" s="1" t="n">
        <f aca="false">IF(OR( AND(MONTH(C88)=12,DAY(C88)&gt;=26), AND(MONTH(C88)=4,DAY(C88)&gt;=15), MONTH(C88)=5, AND(MONTH(C88)=6,DAY(C88)&lt;=10) ),1,0)</f>
        <v>0</v>
      </c>
      <c r="P88" s="1" t="str">
        <f aca="false">IF(OR(MONTH(C88)=3,MONTH(C88)=4,MONTH(C88)=5,MONTH(C88)=6), "Summer", IF(OR(MONTH(C88)=7,MONTH(C88)=8,MONTH(C88)=9,MONTH(C88)=10), "Monsoon", "Winter"))</f>
        <v>Summer</v>
      </c>
      <c r="Q88" s="1" t="n">
        <f aca="false">WEEKDAY(C88,2)</f>
        <v>6</v>
      </c>
      <c r="R88" s="0" t="n">
        <f aca="false">ROUNDDOWN(((INT(C88)+MOD(D88,1))-(INT(I88)+MOD(J88,1))),0)</f>
        <v>23</v>
      </c>
      <c r="S88" s="10"/>
    </row>
    <row r="89" customFormat="false" ht="169" hidden="false" customHeight="false" outlineLevel="0" collapsed="false">
      <c r="A89" s="8" t="s">
        <v>186</v>
      </c>
      <c r="B89" s="22" t="s">
        <v>187</v>
      </c>
      <c r="C89" s="18" t="n">
        <v>45390.2916666667</v>
      </c>
      <c r="D89" s="19" t="n">
        <v>45390.2916666667</v>
      </c>
      <c r="E89" s="18" t="n">
        <v>45390.75</v>
      </c>
      <c r="F89" s="19" t="n">
        <v>45390.75</v>
      </c>
      <c r="G89" s="20" t="n">
        <v>3500</v>
      </c>
      <c r="H89" s="8" t="n">
        <v>5</v>
      </c>
      <c r="I89" s="10" t="n">
        <v>45387</v>
      </c>
      <c r="J89" s="11" t="n">
        <v>0.711898148147153</v>
      </c>
      <c r="K89" s="1" t="str">
        <f aca="false">IF(L89&gt;24,     IF(H89=2,"Couple Extended Day","Extended Day"), IF(L89&lt;=12,     IF(AND(MOD(D89,1)&gt;=TIME(6,0,0),MOD(D89,1)&lt;TIME(18,0,0)),         IF(H89=2,"Couple Half Day","12H Day"),         IF(H89=2,"Couple Half Night","12H Night")), IF(L89&lt;=24,     IF(AND(MOD(D89,1)&gt;=TIME(6,0,0),MOD(D89,1)&lt;TIME(18,0,0)),         IF(H89=2,"Couple Full Day","24H Day"),         IF(H89=2,"Couple Full Night","24H Night")), "Check Data")))</f>
        <v>12H Day</v>
      </c>
      <c r="L89" s="12" t="n">
        <f aca="false">((INT(E89)+MOD(F89,1))-(INT(C89)+MOD(D89,1)))*24</f>
        <v>10.9999999990105</v>
      </c>
      <c r="M89" s="1" t="n">
        <f aca="false">IFERROR(INDEX(Sheet3!$B$2:$B$500,MATCH(1,(INT(C89)+MOD(D89,1)&lt;INT(Sheet3!$A$2:$A$500)+TIME(18,0,0))*(INT(E89)+MOD(F89,1)&gt;=INT(Sheet3!$A$2:$A$500)),0)),0)</f>
        <v>0</v>
      </c>
      <c r="N89" s="1" t="n">
        <f aca="false">IF(OR( AND(Q89=6,D89&gt;=TIME(17,0,0),OR(K89="12H Night",K89="Couple Half Night",K89="24H Night",K89="Couple Full Night")), AND(Q89=7,D89&gt;=TIME(6,0,0),D89&lt;TIME(12,0,0),OR(K89="12H Day",K89="Couple Half Day",K89="24H Day",K89="Couple Full Day")) ),1,0)</f>
        <v>0</v>
      </c>
      <c r="O89" s="1" t="n">
        <f aca="false">IF(OR( AND(MONTH(C89)=12,DAY(C89)&gt;=26), AND(MONTH(C89)=4,DAY(C89)&gt;=15), MONTH(C89)=5, AND(MONTH(C89)=6,DAY(C89)&lt;=10) ),1,0)</f>
        <v>0</v>
      </c>
      <c r="P89" s="1" t="str">
        <f aca="false">IF(OR(MONTH(C89)=3,MONTH(C89)=4,MONTH(C89)=5,MONTH(C89)=6), "Summer", IF(OR(MONTH(C89)=7,MONTH(C89)=8,MONTH(C89)=9,MONTH(C89)=10), "Monsoon", "Winter"))</f>
        <v>Summer</v>
      </c>
      <c r="Q89" s="1" t="n">
        <f aca="false">WEEKDAY(C89,2)</f>
        <v>1</v>
      </c>
      <c r="R89" s="0" t="n">
        <f aca="false">ROUNDDOWN(((INT(C89)+MOD(D89,1))-(INT(I89)+MOD(J89,1))),0)</f>
        <v>2</v>
      </c>
      <c r="S89" s="10"/>
    </row>
    <row r="90" customFormat="false" ht="180.95" hidden="false" customHeight="false" outlineLevel="0" collapsed="false">
      <c r="A90" s="8" t="s">
        <v>188</v>
      </c>
      <c r="B90" s="22" t="s">
        <v>189</v>
      </c>
      <c r="C90" s="18" t="n">
        <v>45391.7916666667</v>
      </c>
      <c r="D90" s="19" t="n">
        <v>45391.7916666667</v>
      </c>
      <c r="E90" s="18" t="n">
        <v>45392.75</v>
      </c>
      <c r="F90" s="19" t="n">
        <v>45392.75</v>
      </c>
      <c r="G90" s="20" t="n">
        <v>4500</v>
      </c>
      <c r="H90" s="8" t="n">
        <v>10</v>
      </c>
      <c r="I90" s="10" t="n">
        <v>45391</v>
      </c>
      <c r="J90" s="11" t="n">
        <v>0.0121759259272917</v>
      </c>
      <c r="K90" s="1" t="str">
        <f aca="false">IF(L90&gt;24,     IF(H90=2,"Couple Extended Day","Extended Day"), IF(L90&lt;=12,     IF(AND(MOD(D90,1)&gt;=TIME(6,0,0),MOD(D90,1)&lt;TIME(18,0,0)),         IF(H90=2,"Couple Half Day","12H Day"),         IF(H90=2,"Couple Half Night","12H Night")), IF(L90&lt;=24,     IF(AND(MOD(D90,1)&gt;=TIME(6,0,0),MOD(D90,1)&lt;TIME(18,0,0)),         IF(H90=2,"Couple Full Day","24H Day"),         IF(H90=2,"Couple Full Night","24H Night")), "Check Data")))</f>
        <v>24H Night</v>
      </c>
      <c r="L90" s="12" t="n">
        <f aca="false">((INT(E90)+MOD(F90,1))-(INT(C90)+MOD(D90,1)))*24</f>
        <v>22.9999999990105</v>
      </c>
      <c r="M90" s="1" t="n">
        <f aca="false">IFERROR(INDEX(Sheet3!$B$2:$B$500,MATCH(1,(INT(C90)+MOD(D90,1)&lt;INT(Sheet3!$A$2:$A$500)+TIME(18,0,0))*(INT(E90)+MOD(F90,1)&gt;=INT(Sheet3!$A$2:$A$500)),0)),0)</f>
        <v>0</v>
      </c>
      <c r="N90" s="1" t="n">
        <f aca="false">IF(OR( AND(Q90=6,D90&gt;=TIME(17,0,0),OR(K90="12H Night",K90="Couple Half Night",K90="24H Night",K90="Couple Full Night")), AND(Q90=7,D90&gt;=TIME(6,0,0),D90&lt;TIME(12,0,0),OR(K90="12H Day",K90="Couple Half Day",K90="24H Day",K90="Couple Full Day")) ),1,0)</f>
        <v>0</v>
      </c>
      <c r="O90" s="1" t="n">
        <f aca="false">IF(OR( AND(MONTH(C90)=12,DAY(C90)&gt;=26), AND(MONTH(C90)=4,DAY(C90)&gt;=15), MONTH(C90)=5, AND(MONTH(C90)=6,DAY(C90)&lt;=10) ),1,0)</f>
        <v>0</v>
      </c>
      <c r="P90" s="1" t="str">
        <f aca="false">IF(OR(MONTH(C90)=3,MONTH(C90)=4,MONTH(C90)=5,MONTH(C90)=6), "Summer", IF(OR(MONTH(C90)=7,MONTH(C90)=8,MONTH(C90)=9,MONTH(C90)=10), "Monsoon", "Winter"))</f>
        <v>Summer</v>
      </c>
      <c r="Q90" s="1" t="n">
        <f aca="false">WEEKDAY(C90,2)</f>
        <v>2</v>
      </c>
      <c r="R90" s="0" t="n">
        <f aca="false">ROUNDDOWN(((INT(C90)+MOD(D90,1))-(INT(I90)+MOD(J90,1))),0)</f>
        <v>0</v>
      </c>
      <c r="S90" s="10"/>
    </row>
    <row r="91" customFormat="false" ht="145.05" hidden="false" customHeight="false" outlineLevel="0" collapsed="false">
      <c r="A91" s="8" t="s">
        <v>190</v>
      </c>
      <c r="B91" s="22" t="s">
        <v>191</v>
      </c>
      <c r="C91" s="18" t="n">
        <v>45392.7916666667</v>
      </c>
      <c r="D91" s="19" t="n">
        <v>45392.7916666667</v>
      </c>
      <c r="E91" s="18" t="n">
        <v>45393.75</v>
      </c>
      <c r="F91" s="19" t="n">
        <v>45393.75</v>
      </c>
      <c r="G91" s="20" t="n">
        <v>4500</v>
      </c>
      <c r="H91" s="8" t="n">
        <v>10</v>
      </c>
      <c r="I91" s="10" t="n">
        <v>45390</v>
      </c>
      <c r="J91" s="11" t="n">
        <v>0.818055555559109</v>
      </c>
      <c r="K91" s="1" t="str">
        <f aca="false">IF(L91&gt;24,     IF(H91=2,"Couple Extended Day","Extended Day"), IF(L91&lt;=12,     IF(AND(MOD(D91,1)&gt;=TIME(6,0,0),MOD(D91,1)&lt;TIME(18,0,0)),         IF(H91=2,"Couple Half Day","12H Day"),         IF(H91=2,"Couple Half Night","12H Night")), IF(L91&lt;=24,     IF(AND(MOD(D91,1)&gt;=TIME(6,0,0),MOD(D91,1)&lt;TIME(18,0,0)),         IF(H91=2,"Couple Full Day","24H Day"),         IF(H91=2,"Couple Full Night","24H Night")), "Check Data")))</f>
        <v>24H Night</v>
      </c>
      <c r="L91" s="12" t="n">
        <f aca="false">((INT(E91)+MOD(F91,1))-(INT(C91)+MOD(D91,1)))*24</f>
        <v>22.9999999990105</v>
      </c>
      <c r="M91" s="1" t="str">
        <f aca="false">IFERROR(INDEX(Sheet3!$B$2:$B$500,MATCH(1,(INT(C91)+MOD(D91,1)&lt;INT(Sheet3!$A$2:$A$500)+TIME(18,0,0))*(INT(E91)+MOD(F91,1)&gt;=INT(Sheet3!$A$2:$A$500)),0)),0)</f>
        <v>Eid-ul-Fitr</v>
      </c>
      <c r="N91" s="1" t="n">
        <f aca="false">IF(OR( AND(Q91=6,D91&gt;=TIME(17,0,0),OR(K91="12H Night",K91="Couple Half Night",K91="24H Night",K91="Couple Full Night")), AND(Q91=7,D91&gt;=TIME(6,0,0),D91&lt;TIME(12,0,0),OR(K91="12H Day",K91="Couple Half Day",K91="24H Day",K91="Couple Full Day")) ),1,0)</f>
        <v>0</v>
      </c>
      <c r="O91" s="1" t="n">
        <f aca="false">IF(OR( AND(MONTH(C91)=12,DAY(C91)&gt;=26), AND(MONTH(C91)=4,DAY(C91)&gt;=15), MONTH(C91)=5, AND(MONTH(C91)=6,DAY(C91)&lt;=10) ),1,0)</f>
        <v>0</v>
      </c>
      <c r="P91" s="1" t="str">
        <f aca="false">IF(OR(MONTH(C91)=3,MONTH(C91)=4,MONTH(C91)=5,MONTH(C91)=6), "Summer", IF(OR(MONTH(C91)=7,MONTH(C91)=8,MONTH(C91)=9,MONTH(C91)=10), "Monsoon", "Winter"))</f>
        <v>Summer</v>
      </c>
      <c r="Q91" s="1" t="n">
        <f aca="false">WEEKDAY(C91,2)</f>
        <v>3</v>
      </c>
      <c r="R91" s="0" t="n">
        <f aca="false">ROUNDDOWN(((INT(C91)+MOD(D91,1))-(INT(I91)+MOD(J91,1))),0)</f>
        <v>1</v>
      </c>
      <c r="S91" s="10"/>
    </row>
    <row r="92" customFormat="false" ht="145.05" hidden="false" customHeight="false" outlineLevel="0" collapsed="false">
      <c r="A92" s="8" t="s">
        <v>192</v>
      </c>
      <c r="B92" s="22" t="s">
        <v>193</v>
      </c>
      <c r="C92" s="18" t="n">
        <v>45394.2916666667</v>
      </c>
      <c r="D92" s="19" t="n">
        <v>45394.2916666667</v>
      </c>
      <c r="E92" s="18" t="n">
        <v>45394.75</v>
      </c>
      <c r="F92" s="19" t="n">
        <v>45394.75</v>
      </c>
      <c r="G92" s="20" t="n">
        <v>4500</v>
      </c>
      <c r="H92" s="8" t="n">
        <v>2</v>
      </c>
      <c r="I92" s="10" t="n">
        <v>45385</v>
      </c>
      <c r="J92" s="11" t="n">
        <v>0.699363425927002</v>
      </c>
      <c r="K92" s="1" t="str">
        <f aca="false">IF(L92&gt;24,     IF(H92=2,"Couple Extended Day","Extended Day"), IF(L92&lt;=12,     IF(AND(MOD(D92,1)&gt;=TIME(6,0,0),MOD(D92,1)&lt;TIME(18,0,0)),         IF(H92=2,"Couple Half Day","12H Day"),         IF(H92=2,"Couple Half Night","12H Night")), IF(L92&lt;=24,     IF(AND(MOD(D92,1)&gt;=TIME(6,0,0),MOD(D92,1)&lt;TIME(18,0,0)),         IF(H92=2,"Couple Full Day","24H Day"),         IF(H92=2,"Couple Full Night","24H Night")), "Check Data")))</f>
        <v>Couple Half Day</v>
      </c>
      <c r="L92" s="12" t="n">
        <f aca="false">((INT(E92)+MOD(F92,1))-(INT(C92)+MOD(D92,1)))*24</f>
        <v>10.9999999990105</v>
      </c>
      <c r="M92" s="1" t="n">
        <f aca="false">IFERROR(INDEX(Sheet3!$B$2:$B$500,MATCH(1,(INT(C92)+MOD(D92,1)&lt;INT(Sheet3!$A$2:$A$500)+TIME(18,0,0))*(INT(E92)+MOD(F92,1)&gt;=INT(Sheet3!$A$2:$A$500)),0)),0)</f>
        <v>0</v>
      </c>
      <c r="N92" s="1" t="n">
        <f aca="false">IF(OR( AND(Q92=6,D92&gt;=TIME(17,0,0),OR(K92="12H Night",K92="Couple Half Night",K92="24H Night",K92="Couple Full Night")), AND(Q92=7,D92&gt;=TIME(6,0,0),D92&lt;TIME(12,0,0),OR(K92="12H Day",K92="Couple Half Day",K92="24H Day",K92="Couple Full Day")) ),1,0)</f>
        <v>0</v>
      </c>
      <c r="O92" s="1" t="n">
        <f aca="false">IF(OR( AND(MONTH(C92)=12,DAY(C92)&gt;=26), AND(MONTH(C92)=4,DAY(C92)&gt;=15), MONTH(C92)=5, AND(MONTH(C92)=6,DAY(C92)&lt;=10) ),1,0)</f>
        <v>0</v>
      </c>
      <c r="P92" s="1" t="str">
        <f aca="false">IF(OR(MONTH(C92)=3,MONTH(C92)=4,MONTH(C92)=5,MONTH(C92)=6), "Summer", IF(OR(MONTH(C92)=7,MONTH(C92)=8,MONTH(C92)=9,MONTH(C92)=10), "Monsoon", "Winter"))</f>
        <v>Summer</v>
      </c>
      <c r="Q92" s="1" t="n">
        <f aca="false">WEEKDAY(C92,2)</f>
        <v>5</v>
      </c>
      <c r="R92" s="0" t="n">
        <f aca="false">ROUNDDOWN(((INT(C92)+MOD(D92,1))-(INT(I92)+MOD(J92,1))),0)</f>
        <v>8</v>
      </c>
      <c r="S92" s="10"/>
    </row>
    <row r="93" customFormat="false" ht="145.05" hidden="false" customHeight="false" outlineLevel="0" collapsed="false">
      <c r="A93" s="8" t="s">
        <v>194</v>
      </c>
      <c r="B93" s="22" t="s">
        <v>195</v>
      </c>
      <c r="C93" s="18" t="n">
        <v>45394.7916666667</v>
      </c>
      <c r="D93" s="19" t="n">
        <v>45394.7916666667</v>
      </c>
      <c r="E93" s="18" t="n">
        <v>45395.75</v>
      </c>
      <c r="F93" s="19" t="n">
        <v>45395.75</v>
      </c>
      <c r="G93" s="20" t="n">
        <v>4500</v>
      </c>
      <c r="H93" s="8" t="n">
        <v>8</v>
      </c>
      <c r="I93" s="10" t="n">
        <v>45393</v>
      </c>
      <c r="J93" s="11" t="n">
        <v>0.443356481482627</v>
      </c>
      <c r="K93" s="1" t="str">
        <f aca="false">IF(L93&gt;24,     IF(H93=2,"Couple Extended Day","Extended Day"), IF(L93&lt;=12,     IF(AND(MOD(D93,1)&gt;=TIME(6,0,0),MOD(D93,1)&lt;TIME(18,0,0)),         IF(H93=2,"Couple Half Day","12H Day"),         IF(H93=2,"Couple Half Night","12H Night")), IF(L93&lt;=24,     IF(AND(MOD(D93,1)&gt;=TIME(6,0,0),MOD(D93,1)&lt;TIME(18,0,0)),         IF(H93=2,"Couple Full Day","24H Day"),         IF(H93=2,"Couple Full Night","24H Night")), "Check Data")))</f>
        <v>24H Night</v>
      </c>
      <c r="L93" s="12" t="n">
        <f aca="false">((INT(E93)+MOD(F93,1))-(INT(C93)+MOD(D93,1)))*24</f>
        <v>22.9999999990105</v>
      </c>
      <c r="M93" s="1" t="n">
        <f aca="false">IFERROR(INDEX(Sheet3!$B$2:$B$500,MATCH(1,(INT(C93)+MOD(D93,1)&lt;INT(Sheet3!$A$2:$A$500)+TIME(18,0,0))*(INT(E93)+MOD(F93,1)&gt;=INT(Sheet3!$A$2:$A$500)),0)),0)</f>
        <v>0</v>
      </c>
      <c r="N93" s="1" t="n">
        <f aca="false">IF(OR( AND(Q93=6,D93&gt;=TIME(17,0,0),OR(K93="12H Night",K93="Couple Half Night",K93="24H Night",K93="Couple Full Night")), AND(Q93=7,D93&gt;=TIME(6,0,0),D93&lt;TIME(12,0,0),OR(K93="12H Day",K93="Couple Half Day",K93="24H Day",K93="Couple Full Day")) ),1,0)</f>
        <v>0</v>
      </c>
      <c r="O93" s="1" t="n">
        <f aca="false">IF(OR( AND(MONTH(C93)=12,DAY(C93)&gt;=26), AND(MONTH(C93)=4,DAY(C93)&gt;=15), MONTH(C93)=5, AND(MONTH(C93)=6,DAY(C93)&lt;=10) ),1,0)</f>
        <v>0</v>
      </c>
      <c r="P93" s="1" t="str">
        <f aca="false">IF(OR(MONTH(C93)=3,MONTH(C93)=4,MONTH(C93)=5,MONTH(C93)=6), "Summer", IF(OR(MONTH(C93)=7,MONTH(C93)=8,MONTH(C93)=9,MONTH(C93)=10), "Monsoon", "Winter"))</f>
        <v>Summer</v>
      </c>
      <c r="Q93" s="1" t="n">
        <f aca="false">WEEKDAY(C93,2)</f>
        <v>5</v>
      </c>
      <c r="R93" s="0" t="n">
        <f aca="false">ROUNDDOWN(((INT(C93)+MOD(D93,1))-(INT(I93)+MOD(J93,1))),0)</f>
        <v>1</v>
      </c>
      <c r="S93" s="10"/>
    </row>
    <row r="94" customFormat="false" ht="169" hidden="false" customHeight="false" outlineLevel="0" collapsed="false">
      <c r="A94" s="8" t="s">
        <v>196</v>
      </c>
      <c r="B94" s="22" t="s">
        <v>197</v>
      </c>
      <c r="C94" s="18" t="n">
        <v>45395.7916666667</v>
      </c>
      <c r="D94" s="19" t="n">
        <v>45395.7916666667</v>
      </c>
      <c r="E94" s="18" t="n">
        <v>45396.75</v>
      </c>
      <c r="F94" s="19" t="n">
        <v>45396.75</v>
      </c>
      <c r="G94" s="20" t="n">
        <v>9500</v>
      </c>
      <c r="H94" s="8" t="n">
        <v>15</v>
      </c>
      <c r="I94" s="10" t="n">
        <v>45392</v>
      </c>
      <c r="J94" s="11" t="n">
        <v>0.0122106481430787</v>
      </c>
      <c r="K94" s="1" t="str">
        <f aca="false">IF(L94&gt;24,     IF(H94=2,"Couple Extended Day","Extended Day"), IF(L94&lt;=12,     IF(AND(MOD(D94,1)&gt;=TIME(6,0,0),MOD(D94,1)&lt;TIME(18,0,0)),         IF(H94=2,"Couple Half Day","12H Day"),         IF(H94=2,"Couple Half Night","12H Night")), IF(L94&lt;=24,     IF(AND(MOD(D94,1)&gt;=TIME(6,0,0),MOD(D94,1)&lt;TIME(18,0,0)),         IF(H94=2,"Couple Full Day","24H Day"),         IF(H94=2,"Couple Full Night","24H Night")), "Check Data")))</f>
        <v>24H Night</v>
      </c>
      <c r="L94" s="12" t="n">
        <f aca="false">((INT(E94)+MOD(F94,1))-(INT(C94)+MOD(D94,1)))*24</f>
        <v>22.9999999990105</v>
      </c>
      <c r="M94" s="1" t="n">
        <f aca="false">IFERROR(INDEX(Sheet3!$B$2:$B$500,MATCH(1,(INT(C94)+MOD(D94,1)&lt;INT(Sheet3!$A$2:$A$500)+TIME(18,0,0))*(INT(E94)+MOD(F94,1)&gt;=INT(Sheet3!$A$2:$A$500)),0)),0)</f>
        <v>0</v>
      </c>
      <c r="N94" s="1" t="n">
        <f aca="false">IF(OR( AND(Q94=6,D94&gt;=TIME(17,0,0),OR(K94="12H Night",K94="Couple Half Night",K94="24H Night",K94="Couple Full Night")), AND(Q94=7,D94&gt;=TIME(6,0,0),D94&lt;TIME(12,0,0),OR(K94="12H Day",K94="Couple Half Day",K94="24H Day",K94="Couple Full Day")) ),1,0)</f>
        <v>1</v>
      </c>
      <c r="O94" s="1" t="n">
        <f aca="false">IF(OR( AND(MONTH(C94)=12,DAY(C94)&gt;=26), AND(MONTH(C94)=4,DAY(C94)&gt;=15), MONTH(C94)=5, AND(MONTH(C94)=6,DAY(C94)&lt;=10) ),1,0)</f>
        <v>0</v>
      </c>
      <c r="P94" s="1" t="str">
        <f aca="false">IF(OR(MONTH(C94)=3,MONTH(C94)=4,MONTH(C94)=5,MONTH(C94)=6), "Summer", IF(OR(MONTH(C94)=7,MONTH(C94)=8,MONTH(C94)=9,MONTH(C94)=10), "Monsoon", "Winter"))</f>
        <v>Summer</v>
      </c>
      <c r="Q94" s="1" t="n">
        <f aca="false">WEEKDAY(C94,2)</f>
        <v>6</v>
      </c>
      <c r="R94" s="0" t="n">
        <f aca="false">ROUNDDOWN(((INT(C94)+MOD(D94,1))-(INT(I94)+MOD(J94,1))),0)</f>
        <v>3</v>
      </c>
      <c r="S94" s="10"/>
    </row>
    <row r="95" customFormat="false" ht="13.8" hidden="false" customHeight="false" outlineLevel="0" collapsed="false">
      <c r="A95" s="8" t="s">
        <v>198</v>
      </c>
      <c r="B95" s="8" t="s">
        <v>199</v>
      </c>
      <c r="C95" s="18" t="n">
        <v>45396.7916666667</v>
      </c>
      <c r="D95" s="19" t="n">
        <v>45396.7916666667</v>
      </c>
      <c r="E95" s="18" t="n">
        <v>45397.75</v>
      </c>
      <c r="F95" s="19" t="n">
        <v>45397.75</v>
      </c>
      <c r="G95" s="20" t="n">
        <v>4000</v>
      </c>
      <c r="I95" s="10" t="n">
        <v>45397</v>
      </c>
      <c r="J95" s="11" t="n">
        <v>0.0015277777783912</v>
      </c>
      <c r="K95" s="1" t="str">
        <f aca="false">IF(L95&gt;24,     IF(H95=2,"Couple Extended Day","Extended Day"), IF(L95&lt;=12,     IF(AND(MOD(D95,1)&gt;=TIME(6,0,0),MOD(D95,1)&lt;TIME(18,0,0)),         IF(H95=2,"Couple Half Day","12H Day"),         IF(H95=2,"Couple Half Night","12H Night")), IF(L95&lt;=24,     IF(AND(MOD(D95,1)&gt;=TIME(6,0,0),MOD(D95,1)&lt;TIME(18,0,0)),         IF(H95=2,"Couple Full Day","24H Day"),         IF(H95=2,"Couple Full Night","24H Night")), "Check Data")))</f>
        <v>24H Night</v>
      </c>
      <c r="L95" s="12" t="n">
        <f aca="false">((INT(E95)+MOD(F95,1))-(INT(C95)+MOD(D95,1)))*24</f>
        <v>22.9999999990105</v>
      </c>
      <c r="M95" s="1" t="n">
        <f aca="false">IFERROR(INDEX(Sheet3!$B$2:$B$500,MATCH(1,(INT(C95)+MOD(D95,1)&lt;INT(Sheet3!$A$2:$A$500)+TIME(18,0,0))*(INT(E95)+MOD(F95,1)&gt;=INT(Sheet3!$A$2:$A$500)),0)),0)</f>
        <v>0</v>
      </c>
      <c r="N95" s="1" t="n">
        <f aca="false">IF(OR( AND(Q95=6,D95&gt;=TIME(17,0,0),OR(K95="12H Night",K95="Couple Half Night",K95="24H Night",K95="Couple Full Night")), AND(Q95=7,D95&gt;=TIME(6,0,0),D95&lt;TIME(12,0,0),OR(K95="12H Day",K95="Couple Half Day",K95="24H Day",K95="Couple Full Day")) ),1,0)</f>
        <v>0</v>
      </c>
      <c r="O95" s="1" t="n">
        <f aca="false">IF(OR( AND(MONTH(C95)=12,DAY(C95)&gt;=26), AND(MONTH(C95)=4,DAY(C95)&gt;=15), MONTH(C95)=5, AND(MONTH(C95)=6,DAY(C95)&lt;=10) ),1,0)</f>
        <v>0</v>
      </c>
      <c r="P95" s="1" t="str">
        <f aca="false">IF(OR(MONTH(C95)=3,MONTH(C95)=4,MONTH(C95)=5,MONTH(C95)=6), "Summer", IF(OR(MONTH(C95)=7,MONTH(C95)=8,MONTH(C95)=9,MONTH(C95)=10), "Monsoon", "Winter"))</f>
        <v>Summer</v>
      </c>
      <c r="Q95" s="1" t="n">
        <f aca="false">WEEKDAY(C95,2)</f>
        <v>7</v>
      </c>
      <c r="R95" s="0" t="n">
        <f aca="false">ROUNDDOWN(((INT(C95)+MOD(D95,1))-(INT(I95)+MOD(J95,1))),0)</f>
        <v>-0</v>
      </c>
      <c r="S95" s="10"/>
    </row>
    <row r="96" customFormat="false" ht="180.95" hidden="false" customHeight="false" outlineLevel="0" collapsed="false">
      <c r="A96" s="8" t="s">
        <v>200</v>
      </c>
      <c r="B96" s="22" t="s">
        <v>201</v>
      </c>
      <c r="C96" s="18" t="n">
        <v>45399.2916666667</v>
      </c>
      <c r="D96" s="19" t="n">
        <v>45399.2916666667</v>
      </c>
      <c r="E96" s="18" t="n">
        <v>45399.75</v>
      </c>
      <c r="F96" s="19" t="n">
        <v>45399.75</v>
      </c>
      <c r="G96" s="20" t="n">
        <v>4000</v>
      </c>
      <c r="H96" s="8" t="n">
        <v>12</v>
      </c>
      <c r="I96" s="10" t="n">
        <v>45398</v>
      </c>
      <c r="J96" s="11" t="n">
        <v>0.646006944443796</v>
      </c>
      <c r="K96" s="1" t="str">
        <f aca="false">IF(L96&gt;24,     IF(H96=2,"Couple Extended Day","Extended Day"), IF(L96&lt;=12,     IF(AND(MOD(D96,1)&gt;=TIME(6,0,0),MOD(D96,1)&lt;TIME(18,0,0)),         IF(H96=2,"Couple Half Day","12H Day"),         IF(H96=2,"Couple Half Night","12H Night")), IF(L96&lt;=24,     IF(AND(MOD(D96,1)&gt;=TIME(6,0,0),MOD(D96,1)&lt;TIME(18,0,0)),         IF(H96=2,"Couple Full Day","24H Day"),         IF(H96=2,"Couple Full Night","24H Night")), "Check Data")))</f>
        <v>12H Day</v>
      </c>
      <c r="L96" s="12" t="n">
        <f aca="false">((INT(E96)+MOD(F96,1))-(INT(C96)+MOD(D96,1)))*24</f>
        <v>10.9999999990105</v>
      </c>
      <c r="M96" s="1" t="str">
        <f aca="false">IFERROR(INDEX(Sheet3!$B$2:$B$500,MATCH(1,(INT(C96)+MOD(D96,1)&lt;INT(Sheet3!$A$2:$A$500)+TIME(18,0,0))*(INT(E96)+MOD(F96,1)&gt;=INT(Sheet3!$A$2:$A$500)),0)),0)</f>
        <v>Ram Navami</v>
      </c>
      <c r="N96" s="1" t="n">
        <f aca="false">IF(OR( AND(Q96=6,D96&gt;=TIME(17,0,0),OR(K96="12H Night",K96="Couple Half Night",K96="24H Night",K96="Couple Full Night")), AND(Q96=7,D96&gt;=TIME(6,0,0),D96&lt;TIME(12,0,0),OR(K96="12H Day",K96="Couple Half Day",K96="24H Day",K96="Couple Full Day")) ),1,0)</f>
        <v>0</v>
      </c>
      <c r="O96" s="1" t="n">
        <f aca="false">IF(OR( AND(MONTH(C96)=12,DAY(C96)&gt;=26), AND(MONTH(C96)=4,DAY(C96)&gt;=15), MONTH(C96)=5, AND(MONTH(C96)=6,DAY(C96)&lt;=10) ),1,0)</f>
        <v>1</v>
      </c>
      <c r="P96" s="1" t="str">
        <f aca="false">IF(OR(MONTH(C96)=3,MONTH(C96)=4,MONTH(C96)=5,MONTH(C96)=6), "Summer", IF(OR(MONTH(C96)=7,MONTH(C96)=8,MONTH(C96)=9,MONTH(C96)=10), "Monsoon", "Winter"))</f>
        <v>Summer</v>
      </c>
      <c r="Q96" s="1" t="n">
        <f aca="false">WEEKDAY(C96,2)</f>
        <v>3</v>
      </c>
      <c r="R96" s="0" t="n">
        <f aca="false">ROUNDDOWN(((INT(C96)+MOD(D96,1))-(INT(I96)+MOD(J96,1))),0)</f>
        <v>0</v>
      </c>
      <c r="S96" s="10"/>
    </row>
    <row r="97" customFormat="false" ht="145.05" hidden="false" customHeight="false" outlineLevel="0" collapsed="false">
      <c r="A97" s="8" t="s">
        <v>202</v>
      </c>
      <c r="B97" s="22" t="s">
        <v>203</v>
      </c>
      <c r="C97" s="18" t="n">
        <v>45401.2916666667</v>
      </c>
      <c r="D97" s="19" t="n">
        <v>45401.2916666667</v>
      </c>
      <c r="E97" s="18" t="n">
        <v>45401.9375</v>
      </c>
      <c r="F97" s="19" t="n">
        <v>45401.9375</v>
      </c>
      <c r="G97" s="20" t="n">
        <v>4000</v>
      </c>
      <c r="H97" s="8" t="n">
        <v>12</v>
      </c>
      <c r="I97" s="10" t="n">
        <v>45398</v>
      </c>
      <c r="J97" s="11" t="n">
        <v>0.574212962965243</v>
      </c>
      <c r="K97" s="1" t="str">
        <f aca="false">IF(L97&gt;24,     IF(H97=2,"Couple Extended Day","Extended Day"), IF(L97&lt;=12,     IF(AND(MOD(D97,1)&gt;=TIME(6,0,0),MOD(D97,1)&lt;TIME(18,0,0)),         IF(H97=2,"Couple Half Day","12H Day"),         IF(H97=2,"Couple Half Night","12H Night")), IF(L97&lt;=24,     IF(AND(MOD(D97,1)&gt;=TIME(6,0,0),MOD(D97,1)&lt;TIME(18,0,0)),         IF(H97=2,"Couple Full Day","24H Day"),         IF(H97=2,"Couple Full Night","24H Night")), "Check Data")))</f>
        <v>24H Day</v>
      </c>
      <c r="L97" s="12" t="n">
        <f aca="false">((INT(E97)+MOD(F97,1))-(INT(C97)+MOD(D97,1)))*24</f>
        <v>15.4999999990105</v>
      </c>
      <c r="M97" s="1" t="n">
        <f aca="false">IFERROR(INDEX(Sheet3!$B$2:$B$500,MATCH(1,(INT(C97)+MOD(D97,1)&lt;INT(Sheet3!$A$2:$A$500)+TIME(18,0,0))*(INT(E97)+MOD(F97,1)&gt;=INT(Sheet3!$A$2:$A$500)),0)),0)</f>
        <v>0</v>
      </c>
      <c r="N97" s="1" t="n">
        <f aca="false">IF(OR( AND(Q97=6,D97&gt;=TIME(17,0,0),OR(K97="12H Night",K97="Couple Half Night",K97="24H Night",K97="Couple Full Night")), AND(Q97=7,D97&gt;=TIME(6,0,0),D97&lt;TIME(12,0,0),OR(K97="12H Day",K97="Couple Half Day",K97="24H Day",K97="Couple Full Day")) ),1,0)</f>
        <v>0</v>
      </c>
      <c r="O97" s="1" t="n">
        <f aca="false">IF(OR( AND(MONTH(C97)=12,DAY(C97)&gt;=26), AND(MONTH(C97)=4,DAY(C97)&gt;=15), MONTH(C97)=5, AND(MONTH(C97)=6,DAY(C97)&lt;=10) ),1,0)</f>
        <v>1</v>
      </c>
      <c r="P97" s="1" t="str">
        <f aca="false">IF(OR(MONTH(C97)=3,MONTH(C97)=4,MONTH(C97)=5,MONTH(C97)=6), "Summer", IF(OR(MONTH(C97)=7,MONTH(C97)=8,MONTH(C97)=9,MONTH(C97)=10), "Monsoon", "Winter"))</f>
        <v>Summer</v>
      </c>
      <c r="Q97" s="1" t="n">
        <f aca="false">WEEKDAY(C97,2)</f>
        <v>5</v>
      </c>
      <c r="R97" s="0" t="n">
        <f aca="false">ROUNDDOWN(((INT(C97)+MOD(D97,1))-(INT(I97)+MOD(J97,1))),0)</f>
        <v>2</v>
      </c>
      <c r="S97" s="10"/>
    </row>
    <row r="98" customFormat="false" ht="204.9" hidden="false" customHeight="false" outlineLevel="0" collapsed="false">
      <c r="A98" s="8" t="s">
        <v>204</v>
      </c>
      <c r="B98" s="22" t="s">
        <v>205</v>
      </c>
      <c r="C98" s="18" t="n">
        <v>45402.2916666667</v>
      </c>
      <c r="D98" s="19" t="n">
        <v>45402.2916666667</v>
      </c>
      <c r="E98" s="18" t="n">
        <v>45403.75</v>
      </c>
      <c r="F98" s="19" t="n">
        <v>45403.75</v>
      </c>
      <c r="G98" s="20" t="n">
        <v>13500</v>
      </c>
      <c r="H98" s="8" t="n">
        <v>11</v>
      </c>
      <c r="I98" s="10" t="n">
        <v>45387</v>
      </c>
      <c r="J98" s="11" t="n">
        <v>0.961782407408461</v>
      </c>
      <c r="K98" s="1" t="str">
        <f aca="false">IF(L98&gt;24,     IF(H98=2,"Couple Extended Day","Extended Day"), IF(L98&lt;=12,     IF(AND(MOD(D98,1)&gt;=TIME(6,0,0),MOD(D98,1)&lt;TIME(18,0,0)),         IF(H98=2,"Couple Half Day","12H Day"),         IF(H98=2,"Couple Half Night","12H Night")), IF(L98&lt;=24,     IF(AND(MOD(D98,1)&gt;=TIME(6,0,0),MOD(D98,1)&lt;TIME(18,0,0)),         IF(H98=2,"Couple Full Day","24H Day"),         IF(H98=2,"Couple Full Night","24H Night")), "Check Data")))</f>
        <v>Extended Day</v>
      </c>
      <c r="L98" s="12" t="n">
        <f aca="false">((INT(E98)+MOD(F98,1))-(INT(C98)+MOD(D98,1)))*24</f>
        <v>34.9999999990105</v>
      </c>
      <c r="M98" s="1" t="str">
        <f aca="false">IFERROR(INDEX(Sheet3!$B$2:$B$500,MATCH(1,(INT(C98)+MOD(D98,1)&lt;INT(Sheet3!$A$2:$A$500)+TIME(18,0,0))*(INT(E98)+MOD(F98,1)&gt;=INT(Sheet3!$A$2:$A$500)),0)),0)</f>
        <v>Mahavir Jayanti</v>
      </c>
      <c r="N98" s="1" t="n">
        <f aca="false">IF(OR( AND(Q98=6,D98&gt;=TIME(17,0,0),OR(K98="12H Night",K98="Couple Half Night",K98="24H Night",K98="Couple Full Night")), AND(Q98=7,D98&gt;=TIME(6,0,0),D98&lt;TIME(12,0,0),OR(K98="12H Day",K98="Couple Half Day",K98="24H Day",K98="Couple Full Day")) ),1,0)</f>
        <v>0</v>
      </c>
      <c r="O98" s="1" t="n">
        <f aca="false">IF(OR( AND(MONTH(C98)=12,DAY(C98)&gt;=26), AND(MONTH(C98)=4,DAY(C98)&gt;=15), MONTH(C98)=5, AND(MONTH(C98)=6,DAY(C98)&lt;=10) ),1,0)</f>
        <v>1</v>
      </c>
      <c r="P98" s="1" t="str">
        <f aca="false">IF(OR(MONTH(C98)=3,MONTH(C98)=4,MONTH(C98)=5,MONTH(C98)=6), "Summer", IF(OR(MONTH(C98)=7,MONTH(C98)=8,MONTH(C98)=9,MONTH(C98)=10), "Monsoon", "Winter"))</f>
        <v>Summer</v>
      </c>
      <c r="Q98" s="1" t="n">
        <f aca="false">WEEKDAY(C98,2)</f>
        <v>6</v>
      </c>
      <c r="R98" s="0" t="n">
        <f aca="false">ROUNDDOWN(((INT(C98)+MOD(D98,1))-(INT(I98)+MOD(J98,1))),0)</f>
        <v>14</v>
      </c>
      <c r="S98" s="10"/>
    </row>
    <row r="99" customFormat="false" ht="145.05" hidden="false" customHeight="false" outlineLevel="0" collapsed="false">
      <c r="A99" s="8" t="s">
        <v>206</v>
      </c>
      <c r="B99" s="22" t="s">
        <v>207</v>
      </c>
      <c r="C99" s="18" t="n">
        <v>45404.7916666667</v>
      </c>
      <c r="D99" s="19" t="n">
        <v>45404.7916666667</v>
      </c>
      <c r="E99" s="18" t="n">
        <v>45405.75</v>
      </c>
      <c r="F99" s="19" t="n">
        <v>45405.75</v>
      </c>
      <c r="G99" s="20" t="n">
        <v>4500</v>
      </c>
      <c r="H99" s="8" t="n">
        <v>14</v>
      </c>
      <c r="I99" s="10" t="n">
        <v>45397</v>
      </c>
      <c r="J99" s="11" t="n">
        <v>0.000879629631527778</v>
      </c>
      <c r="K99" s="1" t="str">
        <f aca="false">IF(L99&gt;24,     IF(H99=2,"Couple Extended Day","Extended Day"), IF(L99&lt;=12,     IF(AND(MOD(D99,1)&gt;=TIME(6,0,0),MOD(D99,1)&lt;TIME(18,0,0)),         IF(H99=2,"Couple Half Day","12H Day"),         IF(H99=2,"Couple Half Night","12H Night")), IF(L99&lt;=24,     IF(AND(MOD(D99,1)&gt;=TIME(6,0,0),MOD(D99,1)&lt;TIME(18,0,0)),         IF(H99=2,"Couple Full Day","24H Day"),         IF(H99=2,"Couple Full Night","24H Night")), "Check Data")))</f>
        <v>24H Night</v>
      </c>
      <c r="L99" s="12" t="n">
        <f aca="false">((INT(E99)+MOD(F99,1))-(INT(C99)+MOD(D99,1)))*24</f>
        <v>22.9999999990105</v>
      </c>
      <c r="M99" s="1" t="n">
        <f aca="false">IFERROR(INDEX(Sheet3!$B$2:$B$500,MATCH(1,(INT(C99)+MOD(D99,1)&lt;INT(Sheet3!$A$2:$A$500)+TIME(18,0,0))*(INT(E99)+MOD(F99,1)&gt;=INT(Sheet3!$A$2:$A$500)),0)),0)</f>
        <v>0</v>
      </c>
      <c r="N99" s="1" t="n">
        <f aca="false">IF(OR( AND(Q99=6,D99&gt;=TIME(17,0,0),OR(K99="12H Night",K99="Couple Half Night",K99="24H Night",K99="Couple Full Night")), AND(Q99=7,D99&gt;=TIME(6,0,0),D99&lt;TIME(12,0,0),OR(K99="12H Day",K99="Couple Half Day",K99="24H Day",K99="Couple Full Day")) ),1,0)</f>
        <v>0</v>
      </c>
      <c r="O99" s="1" t="n">
        <f aca="false">IF(OR( AND(MONTH(C99)=12,DAY(C99)&gt;=26), AND(MONTH(C99)=4,DAY(C99)&gt;=15), MONTH(C99)=5, AND(MONTH(C99)=6,DAY(C99)&lt;=10) ),1,0)</f>
        <v>1</v>
      </c>
      <c r="P99" s="1" t="str">
        <f aca="false">IF(OR(MONTH(C99)=3,MONTH(C99)=4,MONTH(C99)=5,MONTH(C99)=6), "Summer", IF(OR(MONTH(C99)=7,MONTH(C99)=8,MONTH(C99)=9,MONTH(C99)=10), "Monsoon", "Winter"))</f>
        <v>Summer</v>
      </c>
      <c r="Q99" s="1" t="n">
        <f aca="false">WEEKDAY(C99,2)</f>
        <v>1</v>
      </c>
      <c r="R99" s="0" t="n">
        <f aca="false">ROUNDDOWN(((INT(C99)+MOD(D99,1))-(INT(I99)+MOD(J99,1))),0)</f>
        <v>7</v>
      </c>
      <c r="S99" s="10"/>
    </row>
    <row r="100" customFormat="false" ht="145.05" hidden="false" customHeight="false" outlineLevel="0" collapsed="false">
      <c r="A100" s="8" t="s">
        <v>208</v>
      </c>
      <c r="B100" s="22" t="s">
        <v>209</v>
      </c>
      <c r="C100" s="18" t="n">
        <v>45405.7916666667</v>
      </c>
      <c r="D100" s="19" t="n">
        <v>45405.7916666667</v>
      </c>
      <c r="E100" s="18" t="n">
        <v>45406.2916666667</v>
      </c>
      <c r="F100" s="19" t="n">
        <v>45406.2916666667</v>
      </c>
      <c r="G100" s="20" t="n">
        <v>3500</v>
      </c>
      <c r="H100" s="8" t="n">
        <v>12</v>
      </c>
      <c r="I100" s="10" t="n">
        <v>45404</v>
      </c>
      <c r="J100" s="11" t="n">
        <v>0.406782407408171</v>
      </c>
      <c r="K100" s="1" t="str">
        <f aca="false">IF(L100&gt;24,     IF(H100=2,"Couple Extended Day","Extended Day"), IF(L100&lt;=12,     IF(AND(MOD(D100,1)&gt;=TIME(6,0,0),MOD(D100,1)&lt;TIME(18,0,0)),         IF(H100=2,"Couple Half Day","12H Day"),         IF(H100=2,"Couple Half Night","12H Night")), IF(L100&lt;=24,     IF(AND(MOD(D100,1)&gt;=TIME(6,0,0),MOD(D100,1)&lt;TIME(18,0,0)),         IF(H100=2,"Couple Full Day","24H Day"),         IF(H100=2,"Couple Full Night","24H Night")), "Check Data")))</f>
        <v>12H Night</v>
      </c>
      <c r="L100" s="12" t="n">
        <f aca="false">((INT(E100)+MOD(F100,1))-(INT(C100)+MOD(D100,1)))*24</f>
        <v>12</v>
      </c>
      <c r="M100" s="1" t="n">
        <f aca="false">IFERROR(INDEX(Sheet3!$B$2:$B$500,MATCH(1,(INT(C100)+MOD(D100,1)&lt;INT(Sheet3!$A$2:$A$500)+TIME(18,0,0))*(INT(E100)+MOD(F100,1)&gt;=INT(Sheet3!$A$2:$A$500)),0)),0)</f>
        <v>0</v>
      </c>
      <c r="N100" s="1" t="n">
        <f aca="false">IF(OR( AND(Q100=6,D100&gt;=TIME(17,0,0),OR(K100="12H Night",K100="Couple Half Night",K100="24H Night",K100="Couple Full Night")), AND(Q100=7,D100&gt;=TIME(6,0,0),D100&lt;TIME(12,0,0),OR(K100="12H Day",K100="Couple Half Day",K100="24H Day",K100="Couple Full Day")) ),1,0)</f>
        <v>0</v>
      </c>
      <c r="O100" s="1" t="n">
        <f aca="false">IF(OR( AND(MONTH(C100)=12,DAY(C100)&gt;=26), AND(MONTH(C100)=4,DAY(C100)&gt;=15), MONTH(C100)=5, AND(MONTH(C100)=6,DAY(C100)&lt;=10) ),1,0)</f>
        <v>1</v>
      </c>
      <c r="P100" s="1" t="str">
        <f aca="false">IF(OR(MONTH(C100)=3,MONTH(C100)=4,MONTH(C100)=5,MONTH(C100)=6), "Summer", IF(OR(MONTH(C100)=7,MONTH(C100)=8,MONTH(C100)=9,MONTH(C100)=10), "Monsoon", "Winter"))</f>
        <v>Summer</v>
      </c>
      <c r="Q100" s="1" t="n">
        <f aca="false">WEEKDAY(C100,2)</f>
        <v>2</v>
      </c>
      <c r="R100" s="0" t="n">
        <f aca="false">ROUNDDOWN(((INT(C100)+MOD(D100,1))-(INT(I100)+MOD(J100,1))),0)</f>
        <v>1</v>
      </c>
      <c r="S100" s="10"/>
    </row>
    <row r="101" customFormat="false" ht="157" hidden="false" customHeight="false" outlineLevel="0" collapsed="false">
      <c r="A101" s="8" t="s">
        <v>210</v>
      </c>
      <c r="B101" s="22" t="s">
        <v>211</v>
      </c>
      <c r="C101" s="18" t="n">
        <v>45406.375</v>
      </c>
      <c r="D101" s="19" t="n">
        <v>45406.375</v>
      </c>
      <c r="E101" s="18" t="n">
        <v>45406.75</v>
      </c>
      <c r="F101" s="19" t="n">
        <v>45406.75</v>
      </c>
      <c r="G101" s="20" t="n">
        <v>3000</v>
      </c>
      <c r="H101" s="8" t="n">
        <v>4</v>
      </c>
      <c r="I101" s="10" t="n">
        <v>45405</v>
      </c>
      <c r="J101" s="11" t="n">
        <v>0.775868055556204</v>
      </c>
      <c r="K101" s="1" t="str">
        <f aca="false">IF(L101&gt;24,     IF(H101=2,"Couple Extended Day","Extended Day"), IF(L101&lt;=12,     IF(AND(MOD(D101,1)&gt;=TIME(6,0,0),MOD(D101,1)&lt;TIME(18,0,0)),         IF(H101=2,"Couple Half Day","12H Day"),         IF(H101=2,"Couple Half Night","12H Night")), IF(L101&lt;=24,     IF(AND(MOD(D101,1)&gt;=TIME(6,0,0),MOD(D101,1)&lt;TIME(18,0,0)),         IF(H101=2,"Couple Full Day","24H Day"),         IF(H101=2,"Couple Full Night","24H Night")), "Check Data")))</f>
        <v>12H Day</v>
      </c>
      <c r="L101" s="12" t="n">
        <f aca="false">((INT(E101)+MOD(F101,1))-(INT(C101)+MOD(D101,1)))*24</f>
        <v>9</v>
      </c>
      <c r="M101" s="1" t="n">
        <f aca="false">IFERROR(INDEX(Sheet3!$B$2:$B$500,MATCH(1,(INT(C101)+MOD(D101,1)&lt;INT(Sheet3!$A$2:$A$500)+TIME(18,0,0))*(INT(E101)+MOD(F101,1)&gt;=INT(Sheet3!$A$2:$A$500)),0)),0)</f>
        <v>0</v>
      </c>
      <c r="N101" s="1" t="n">
        <f aca="false">IF(OR( AND(Q101=6,D101&gt;=TIME(17,0,0),OR(K101="12H Night",K101="Couple Half Night",K101="24H Night",K101="Couple Full Night")), AND(Q101=7,D101&gt;=TIME(6,0,0),D101&lt;TIME(12,0,0),OR(K101="12H Day",K101="Couple Half Day",K101="24H Day",K101="Couple Full Day")) ),1,0)</f>
        <v>0</v>
      </c>
      <c r="O101" s="1" t="n">
        <f aca="false">IF(OR( AND(MONTH(C101)=12,DAY(C101)&gt;=26), AND(MONTH(C101)=4,DAY(C101)&gt;=15), MONTH(C101)=5, AND(MONTH(C101)=6,DAY(C101)&lt;=10) ),1,0)</f>
        <v>1</v>
      </c>
      <c r="P101" s="1" t="str">
        <f aca="false">IF(OR(MONTH(C101)=3,MONTH(C101)=4,MONTH(C101)=5,MONTH(C101)=6), "Summer", IF(OR(MONTH(C101)=7,MONTH(C101)=8,MONTH(C101)=9,MONTH(C101)=10), "Monsoon", "Winter"))</f>
        <v>Summer</v>
      </c>
      <c r="Q101" s="1" t="n">
        <f aca="false">WEEKDAY(C101,2)</f>
        <v>3</v>
      </c>
      <c r="R101" s="0" t="n">
        <f aca="false">ROUNDDOWN(((INT(C101)+MOD(D101,1))-(INT(I101)+MOD(J101,1))),0)</f>
        <v>0</v>
      </c>
      <c r="S101" s="10"/>
    </row>
    <row r="102" customFormat="false" ht="145.05" hidden="false" customHeight="false" outlineLevel="0" collapsed="false">
      <c r="A102" s="8" t="s">
        <v>212</v>
      </c>
      <c r="B102" s="22" t="s">
        <v>213</v>
      </c>
      <c r="C102" s="18" t="n">
        <v>45406.7916666667</v>
      </c>
      <c r="D102" s="19" t="n">
        <v>45406.7916666667</v>
      </c>
      <c r="E102" s="18" t="n">
        <v>45407.25</v>
      </c>
      <c r="F102" s="19" t="n">
        <v>45407.25</v>
      </c>
      <c r="G102" s="20" t="n">
        <v>3000</v>
      </c>
      <c r="H102" s="8" t="n">
        <v>2</v>
      </c>
      <c r="I102" s="10" t="n">
        <v>45406</v>
      </c>
      <c r="J102" s="11" t="n">
        <v>0.759548611109491</v>
      </c>
      <c r="K102" s="1" t="str">
        <f aca="false">IF(L102&gt;24,     IF(H102=2,"Couple Extended Day","Extended Day"), IF(L102&lt;=12,     IF(AND(MOD(D102,1)&gt;=TIME(6,0,0),MOD(D102,1)&lt;TIME(18,0,0)),         IF(H102=2,"Couple Half Day","12H Day"),         IF(H102=2,"Couple Half Night","12H Night")), IF(L102&lt;=24,     IF(AND(MOD(D102,1)&gt;=TIME(6,0,0),MOD(D102,1)&lt;TIME(18,0,0)),         IF(H102=2,"Couple Full Day","24H Day"),         IF(H102=2,"Couple Full Night","24H Night")), "Check Data")))</f>
        <v>Couple Half Night</v>
      </c>
      <c r="L102" s="12" t="n">
        <f aca="false">((INT(E102)+MOD(F102,1))-(INT(C102)+MOD(D102,1)))*24</f>
        <v>10.9999999990105</v>
      </c>
      <c r="M102" s="1" t="n">
        <f aca="false">IFERROR(INDEX(Sheet3!$B$2:$B$500,MATCH(1,(INT(C102)+MOD(D102,1)&lt;INT(Sheet3!$A$2:$A$500)+TIME(18,0,0))*(INT(E102)+MOD(F102,1)&gt;=INT(Sheet3!$A$2:$A$500)),0)),0)</f>
        <v>0</v>
      </c>
      <c r="N102" s="1" t="n">
        <f aca="false">IF(OR( AND(Q102=6,D102&gt;=TIME(17,0,0),OR(K102="12H Night",K102="Couple Half Night",K102="24H Night",K102="Couple Full Night")), AND(Q102=7,D102&gt;=TIME(6,0,0),D102&lt;TIME(12,0,0),OR(K102="12H Day",K102="Couple Half Day",K102="24H Day",K102="Couple Full Day")) ),1,0)</f>
        <v>0</v>
      </c>
      <c r="O102" s="1" t="n">
        <f aca="false">IF(OR( AND(MONTH(C102)=12,DAY(C102)&gt;=26), AND(MONTH(C102)=4,DAY(C102)&gt;=15), MONTH(C102)=5, AND(MONTH(C102)=6,DAY(C102)&lt;=10) ),1,0)</f>
        <v>1</v>
      </c>
      <c r="P102" s="1" t="str">
        <f aca="false">IF(OR(MONTH(C102)=3,MONTH(C102)=4,MONTH(C102)=5,MONTH(C102)=6), "Summer", IF(OR(MONTH(C102)=7,MONTH(C102)=8,MONTH(C102)=9,MONTH(C102)=10), "Monsoon", "Winter"))</f>
        <v>Summer</v>
      </c>
      <c r="Q102" s="1" t="n">
        <f aca="false">WEEKDAY(C102,2)</f>
        <v>3</v>
      </c>
      <c r="R102" s="0" t="n">
        <f aca="false">ROUNDDOWN(((INT(C102)+MOD(D102,1))-(INT(I102)+MOD(J102,1))),0)</f>
        <v>0</v>
      </c>
      <c r="S102" s="10"/>
    </row>
    <row r="103" customFormat="false" ht="180.95" hidden="false" customHeight="false" outlineLevel="0" collapsed="false">
      <c r="A103" s="8" t="s">
        <v>214</v>
      </c>
      <c r="B103" s="22" t="s">
        <v>215</v>
      </c>
      <c r="C103" s="18" t="n">
        <v>45407.7916666667</v>
      </c>
      <c r="D103" s="19" t="n">
        <v>45407.7916666667</v>
      </c>
      <c r="E103" s="18" t="n">
        <v>45408.75</v>
      </c>
      <c r="F103" s="19" t="n">
        <v>45408.75</v>
      </c>
      <c r="G103" s="20" t="n">
        <v>5000</v>
      </c>
      <c r="H103" s="8" t="n">
        <v>10</v>
      </c>
      <c r="I103" s="10" t="n">
        <v>45406</v>
      </c>
      <c r="J103" s="11" t="n">
        <v>0.534166666664537</v>
      </c>
      <c r="K103" s="1" t="str">
        <f aca="false">IF(L103&gt;24,     IF(H103=2,"Couple Extended Day","Extended Day"), IF(L103&lt;=12,     IF(AND(MOD(D103,1)&gt;=TIME(6,0,0),MOD(D103,1)&lt;TIME(18,0,0)),         IF(H103=2,"Couple Half Day","12H Day"),         IF(H103=2,"Couple Half Night","12H Night")), IF(L103&lt;=24,     IF(AND(MOD(D103,1)&gt;=TIME(6,0,0),MOD(D103,1)&lt;TIME(18,0,0)),         IF(H103=2,"Couple Full Day","24H Day"),         IF(H103=2,"Couple Full Night","24H Night")), "Check Data")))</f>
        <v>24H Night</v>
      </c>
      <c r="L103" s="12" t="n">
        <f aca="false">((INT(E103)+MOD(F103,1))-(INT(C103)+MOD(D103,1)))*24</f>
        <v>22.9999999990105</v>
      </c>
      <c r="M103" s="1" t="n">
        <f aca="false">IFERROR(INDEX(Sheet3!$B$2:$B$500,MATCH(1,(INT(C103)+MOD(D103,1)&lt;INT(Sheet3!$A$2:$A$500)+TIME(18,0,0))*(INT(E103)+MOD(F103,1)&gt;=INT(Sheet3!$A$2:$A$500)),0)),0)</f>
        <v>0</v>
      </c>
      <c r="N103" s="1" t="n">
        <f aca="false">IF(OR( AND(Q103=6,D103&gt;=TIME(17,0,0),OR(K103="12H Night",K103="Couple Half Night",K103="24H Night",K103="Couple Full Night")), AND(Q103=7,D103&gt;=TIME(6,0,0),D103&lt;TIME(12,0,0),OR(K103="12H Day",K103="Couple Half Day",K103="24H Day",K103="Couple Full Day")) ),1,0)</f>
        <v>0</v>
      </c>
      <c r="O103" s="1" t="n">
        <f aca="false">IF(OR( AND(MONTH(C103)=12,DAY(C103)&gt;=26), AND(MONTH(C103)=4,DAY(C103)&gt;=15), MONTH(C103)=5, AND(MONTH(C103)=6,DAY(C103)&lt;=10) ),1,0)</f>
        <v>1</v>
      </c>
      <c r="P103" s="1" t="str">
        <f aca="false">IF(OR(MONTH(C103)=3,MONTH(C103)=4,MONTH(C103)=5,MONTH(C103)=6), "Summer", IF(OR(MONTH(C103)=7,MONTH(C103)=8,MONTH(C103)=9,MONTH(C103)=10), "Monsoon", "Winter"))</f>
        <v>Summer</v>
      </c>
      <c r="Q103" s="1" t="n">
        <f aca="false">WEEKDAY(C103,2)</f>
        <v>4</v>
      </c>
      <c r="R103" s="0" t="n">
        <f aca="false">ROUNDDOWN(((INT(C103)+MOD(D103,1))-(INT(I103)+MOD(J103,1))),0)</f>
        <v>1</v>
      </c>
      <c r="S103" s="10"/>
    </row>
    <row r="104" customFormat="false" ht="180.95" hidden="false" customHeight="false" outlineLevel="0" collapsed="false">
      <c r="A104" s="8" t="s">
        <v>216</v>
      </c>
      <c r="B104" s="22" t="s">
        <v>217</v>
      </c>
      <c r="C104" s="18" t="n">
        <v>45408.7916666667</v>
      </c>
      <c r="D104" s="19" t="n">
        <v>45408.7916666667</v>
      </c>
      <c r="E104" s="18" t="n">
        <v>45409.75</v>
      </c>
      <c r="F104" s="19" t="n">
        <v>45409.75</v>
      </c>
      <c r="G104" s="20" t="n">
        <v>4800</v>
      </c>
      <c r="H104" s="8" t="n">
        <v>10</v>
      </c>
      <c r="I104" s="10" t="n">
        <v>45407</v>
      </c>
      <c r="J104" s="11" t="n">
        <v>0.789814814816053</v>
      </c>
      <c r="K104" s="1" t="str">
        <f aca="false">IF(L104&gt;24,     IF(H104=2,"Couple Extended Day","Extended Day"), IF(L104&lt;=12,     IF(AND(MOD(D104,1)&gt;=TIME(6,0,0),MOD(D104,1)&lt;TIME(18,0,0)),         IF(H104=2,"Couple Half Day","12H Day"),         IF(H104=2,"Couple Half Night","12H Night")), IF(L104&lt;=24,     IF(AND(MOD(D104,1)&gt;=TIME(6,0,0),MOD(D104,1)&lt;TIME(18,0,0)),         IF(H104=2,"Couple Full Day","24H Day"),         IF(H104=2,"Couple Full Night","24H Night")), "Check Data")))</f>
        <v>24H Night</v>
      </c>
      <c r="L104" s="12" t="n">
        <f aca="false">((INT(E104)+MOD(F104,1))-(INT(C104)+MOD(D104,1)))*24</f>
        <v>22.9999999990105</v>
      </c>
      <c r="M104" s="1" t="n">
        <f aca="false">IFERROR(INDEX(Sheet3!$B$2:$B$500,MATCH(1,(INT(C104)+MOD(D104,1)&lt;INT(Sheet3!$A$2:$A$500)+TIME(18,0,0))*(INT(E104)+MOD(F104,1)&gt;=INT(Sheet3!$A$2:$A$500)),0)),0)</f>
        <v>0</v>
      </c>
      <c r="N104" s="1" t="n">
        <f aca="false">IF(OR( AND(Q104=6,D104&gt;=TIME(17,0,0),OR(K104="12H Night",K104="Couple Half Night",K104="24H Night",K104="Couple Full Night")), AND(Q104=7,D104&gt;=TIME(6,0,0),D104&lt;TIME(12,0,0),OR(K104="12H Day",K104="Couple Half Day",K104="24H Day",K104="Couple Full Day")) ),1,0)</f>
        <v>0</v>
      </c>
      <c r="O104" s="1" t="n">
        <f aca="false">IF(OR( AND(MONTH(C104)=12,DAY(C104)&gt;=26), AND(MONTH(C104)=4,DAY(C104)&gt;=15), MONTH(C104)=5, AND(MONTH(C104)=6,DAY(C104)&lt;=10) ),1,0)</f>
        <v>1</v>
      </c>
      <c r="P104" s="1" t="str">
        <f aca="false">IF(OR(MONTH(C104)=3,MONTH(C104)=4,MONTH(C104)=5,MONTH(C104)=6), "Summer", IF(OR(MONTH(C104)=7,MONTH(C104)=8,MONTH(C104)=9,MONTH(C104)=10), "Monsoon", "Winter"))</f>
        <v>Summer</v>
      </c>
      <c r="Q104" s="1" t="n">
        <f aca="false">WEEKDAY(C104,2)</f>
        <v>5</v>
      </c>
      <c r="R104" s="0" t="n">
        <f aca="false">ROUNDDOWN(((INT(C104)+MOD(D104,1))-(INT(I104)+MOD(J104,1))),0)</f>
        <v>1</v>
      </c>
      <c r="S104" s="10"/>
    </row>
    <row r="105" customFormat="false" ht="145.05" hidden="false" customHeight="false" outlineLevel="0" collapsed="false">
      <c r="A105" s="8" t="s">
        <v>218</v>
      </c>
      <c r="B105" s="22" t="s">
        <v>219</v>
      </c>
      <c r="C105" s="18" t="n">
        <v>45409.7916666667</v>
      </c>
      <c r="D105" s="19" t="n">
        <v>45409.7916666667</v>
      </c>
      <c r="E105" s="18" t="n">
        <v>45410.75</v>
      </c>
      <c r="F105" s="19" t="n">
        <v>45410.75</v>
      </c>
      <c r="G105" s="20" t="n">
        <v>9500</v>
      </c>
      <c r="H105" s="8" t="n">
        <v>15</v>
      </c>
      <c r="I105" s="10" t="n">
        <v>45393</v>
      </c>
      <c r="J105" s="11" t="n">
        <v>0.914108796292569</v>
      </c>
      <c r="K105" s="1" t="str">
        <f aca="false">IF(L105&gt;24,     IF(H105=2,"Couple Extended Day","Extended Day"), IF(L105&lt;=12,     IF(AND(MOD(D105,1)&gt;=TIME(6,0,0),MOD(D105,1)&lt;TIME(18,0,0)),         IF(H105=2,"Couple Half Day","12H Day"),         IF(H105=2,"Couple Half Night","12H Night")), IF(L105&lt;=24,     IF(AND(MOD(D105,1)&gt;=TIME(6,0,0),MOD(D105,1)&lt;TIME(18,0,0)),         IF(H105=2,"Couple Full Day","24H Day"),         IF(H105=2,"Couple Full Night","24H Night")), "Check Data")))</f>
        <v>24H Night</v>
      </c>
      <c r="L105" s="12" t="n">
        <f aca="false">((INT(E105)+MOD(F105,1))-(INT(C105)+MOD(D105,1)))*24</f>
        <v>22.9999999990105</v>
      </c>
      <c r="M105" s="1" t="n">
        <f aca="false">IFERROR(INDEX(Sheet3!$B$2:$B$500,MATCH(1,(INT(C105)+MOD(D105,1)&lt;INT(Sheet3!$A$2:$A$500)+TIME(18,0,0))*(INT(E105)+MOD(F105,1)&gt;=INT(Sheet3!$A$2:$A$500)),0)),0)</f>
        <v>0</v>
      </c>
      <c r="N105" s="1" t="n">
        <f aca="false">IF(OR( AND(Q105=6,D105&gt;=TIME(17,0,0),OR(K105="12H Night",K105="Couple Half Night",K105="24H Night",K105="Couple Full Night")), AND(Q105=7,D105&gt;=TIME(6,0,0),D105&lt;TIME(12,0,0),OR(K105="12H Day",K105="Couple Half Day",K105="24H Day",K105="Couple Full Day")) ),1,0)</f>
        <v>1</v>
      </c>
      <c r="O105" s="1" t="n">
        <f aca="false">IF(OR( AND(MONTH(C105)=12,DAY(C105)&gt;=26), AND(MONTH(C105)=4,DAY(C105)&gt;=15), MONTH(C105)=5, AND(MONTH(C105)=6,DAY(C105)&lt;=10) ),1,0)</f>
        <v>1</v>
      </c>
      <c r="P105" s="1" t="str">
        <f aca="false">IF(OR(MONTH(C105)=3,MONTH(C105)=4,MONTH(C105)=5,MONTH(C105)=6), "Summer", IF(OR(MONTH(C105)=7,MONTH(C105)=8,MONTH(C105)=9,MONTH(C105)=10), "Monsoon", "Winter"))</f>
        <v>Summer</v>
      </c>
      <c r="Q105" s="1" t="n">
        <f aca="false">WEEKDAY(C105,2)</f>
        <v>6</v>
      </c>
      <c r="R105" s="0" t="n">
        <f aca="false">ROUNDDOWN(((INT(C105)+MOD(D105,1))-(INT(I105)+MOD(J105,1))),0)</f>
        <v>15</v>
      </c>
      <c r="S105" s="10"/>
    </row>
    <row r="106" customFormat="false" ht="145.05" hidden="false" customHeight="false" outlineLevel="0" collapsed="false">
      <c r="A106" s="8" t="s">
        <v>220</v>
      </c>
      <c r="B106" s="22" t="s">
        <v>221</v>
      </c>
      <c r="C106" s="18" t="n">
        <v>45410.7916666667</v>
      </c>
      <c r="D106" s="19" t="n">
        <v>45410.7916666667</v>
      </c>
      <c r="E106" s="18" t="n">
        <v>45411.75</v>
      </c>
      <c r="F106" s="19" t="n">
        <v>45411.75</v>
      </c>
      <c r="G106" s="20" t="n">
        <v>4000</v>
      </c>
      <c r="H106" s="8" t="n">
        <v>15</v>
      </c>
      <c r="I106" s="10" t="n">
        <v>45407</v>
      </c>
      <c r="J106" s="11" t="n">
        <v>0.490370370374873</v>
      </c>
      <c r="K106" s="1" t="str">
        <f aca="false">IF(L106&gt;24,     IF(H106=2,"Couple Extended Day","Extended Day"), IF(L106&lt;=12,     IF(AND(MOD(D106,1)&gt;=TIME(6,0,0),MOD(D106,1)&lt;TIME(18,0,0)),         IF(H106=2,"Couple Half Day","12H Day"),         IF(H106=2,"Couple Half Night","12H Night")), IF(L106&lt;=24,     IF(AND(MOD(D106,1)&gt;=TIME(6,0,0),MOD(D106,1)&lt;TIME(18,0,0)),         IF(H106=2,"Couple Full Day","24H Day"),         IF(H106=2,"Couple Full Night","24H Night")), "Check Data")))</f>
        <v>24H Night</v>
      </c>
      <c r="L106" s="12" t="n">
        <f aca="false">((INT(E106)+MOD(F106,1))-(INT(C106)+MOD(D106,1)))*24</f>
        <v>22.9999999990105</v>
      </c>
      <c r="M106" s="1" t="n">
        <f aca="false">IFERROR(INDEX(Sheet3!$B$2:$B$500,MATCH(1,(INT(C106)+MOD(D106,1)&lt;INT(Sheet3!$A$2:$A$500)+TIME(18,0,0))*(INT(E106)+MOD(F106,1)&gt;=INT(Sheet3!$A$2:$A$500)),0)),0)</f>
        <v>0</v>
      </c>
      <c r="N106" s="1" t="n">
        <f aca="false">IF(OR( AND(Q106=6,D106&gt;=TIME(17,0,0),OR(K106="12H Night",K106="Couple Half Night",K106="24H Night",K106="Couple Full Night")), AND(Q106=7,D106&gt;=TIME(6,0,0),D106&lt;TIME(12,0,0),OR(K106="12H Day",K106="Couple Half Day",K106="24H Day",K106="Couple Full Day")) ),1,0)</f>
        <v>0</v>
      </c>
      <c r="O106" s="1" t="n">
        <f aca="false">IF(OR( AND(MONTH(C106)=12,DAY(C106)&gt;=26), AND(MONTH(C106)=4,DAY(C106)&gt;=15), MONTH(C106)=5, AND(MONTH(C106)=6,DAY(C106)&lt;=10) ),1,0)</f>
        <v>1</v>
      </c>
      <c r="P106" s="1" t="str">
        <f aca="false">IF(OR(MONTH(C106)=3,MONTH(C106)=4,MONTH(C106)=5,MONTH(C106)=6), "Summer", IF(OR(MONTH(C106)=7,MONTH(C106)=8,MONTH(C106)=9,MONTH(C106)=10), "Monsoon", "Winter"))</f>
        <v>Summer</v>
      </c>
      <c r="Q106" s="1" t="n">
        <f aca="false">WEEKDAY(C106,2)</f>
        <v>7</v>
      </c>
      <c r="R106" s="0" t="n">
        <f aca="false">ROUNDDOWN(((INT(C106)+MOD(D106,1))-(INT(I106)+MOD(J106,1))),0)</f>
        <v>3</v>
      </c>
      <c r="S106" s="10"/>
    </row>
    <row r="107" customFormat="false" ht="180.95" hidden="false" customHeight="false" outlineLevel="0" collapsed="false">
      <c r="A107" s="8" t="s">
        <v>222</v>
      </c>
      <c r="B107" s="22" t="s">
        <v>223</v>
      </c>
      <c r="C107" s="18" t="n">
        <v>45411.7916666667</v>
      </c>
      <c r="D107" s="19" t="n">
        <v>45411.7916666667</v>
      </c>
      <c r="E107" s="18" t="n">
        <v>45412.75</v>
      </c>
      <c r="F107" s="19" t="n">
        <v>45412.75</v>
      </c>
      <c r="G107" s="20" t="n">
        <v>5500</v>
      </c>
      <c r="H107" s="8" t="n">
        <v>10</v>
      </c>
      <c r="I107" s="10" t="n">
        <v>45389</v>
      </c>
      <c r="J107" s="11" t="n">
        <v>0.482199074074745</v>
      </c>
      <c r="K107" s="1" t="str">
        <f aca="false">IF(L107&gt;24,     IF(H107=2,"Couple Extended Day","Extended Day"), IF(L107&lt;=12,     IF(AND(MOD(D107,1)&gt;=TIME(6,0,0),MOD(D107,1)&lt;TIME(18,0,0)),         IF(H107=2,"Couple Half Day","12H Day"),         IF(H107=2,"Couple Half Night","12H Night")), IF(L107&lt;=24,     IF(AND(MOD(D107,1)&gt;=TIME(6,0,0),MOD(D107,1)&lt;TIME(18,0,0)),         IF(H107=2,"Couple Full Day","24H Day"),         IF(H107=2,"Couple Full Night","24H Night")), "Check Data")))</f>
        <v>24H Night</v>
      </c>
      <c r="L107" s="12" t="n">
        <f aca="false">((INT(E107)+MOD(F107,1))-(INT(C107)+MOD(D107,1)))*24</f>
        <v>22.9999999990105</v>
      </c>
      <c r="M107" s="1" t="n">
        <f aca="false">IFERROR(INDEX(Sheet3!$B$2:$B$500,MATCH(1,(INT(C107)+MOD(D107,1)&lt;INT(Sheet3!$A$2:$A$500)+TIME(18,0,0))*(INT(E107)+MOD(F107,1)&gt;=INT(Sheet3!$A$2:$A$500)),0)),0)</f>
        <v>0</v>
      </c>
      <c r="N107" s="1" t="n">
        <f aca="false">IF(OR( AND(Q107=6,D107&gt;=TIME(17,0,0),OR(K107="12H Night",K107="Couple Half Night",K107="24H Night",K107="Couple Full Night")), AND(Q107=7,D107&gt;=TIME(6,0,0),D107&lt;TIME(12,0,0),OR(K107="12H Day",K107="Couple Half Day",K107="24H Day",K107="Couple Full Day")) ),1,0)</f>
        <v>0</v>
      </c>
      <c r="O107" s="1" t="n">
        <f aca="false">IF(OR( AND(MONTH(C107)=12,DAY(C107)&gt;=26), AND(MONTH(C107)=4,DAY(C107)&gt;=15), MONTH(C107)=5, AND(MONTH(C107)=6,DAY(C107)&lt;=10) ),1,0)</f>
        <v>1</v>
      </c>
      <c r="P107" s="1" t="str">
        <f aca="false">IF(OR(MONTH(C107)=3,MONTH(C107)=4,MONTH(C107)=5,MONTH(C107)=6), "Summer", IF(OR(MONTH(C107)=7,MONTH(C107)=8,MONTH(C107)=9,MONTH(C107)=10), "Monsoon", "Winter"))</f>
        <v>Summer</v>
      </c>
      <c r="Q107" s="1" t="n">
        <f aca="false">WEEKDAY(C107,2)</f>
        <v>1</v>
      </c>
      <c r="R107" s="0" t="n">
        <f aca="false">ROUNDDOWN(((INT(C107)+MOD(D107,1))-(INT(I107)+MOD(J107,1))),0)</f>
        <v>22</v>
      </c>
      <c r="S107" s="10"/>
    </row>
    <row r="108" customFormat="false" ht="192.95" hidden="false" customHeight="false" outlineLevel="0" collapsed="false">
      <c r="A108" s="8" t="s">
        <v>224</v>
      </c>
      <c r="B108" s="22" t="s">
        <v>225</v>
      </c>
      <c r="C108" s="18" t="n">
        <v>45412.7916666667</v>
      </c>
      <c r="D108" s="19" t="n">
        <v>45412.7916666667</v>
      </c>
      <c r="E108" s="18" t="n">
        <v>45413.75</v>
      </c>
      <c r="F108" s="19" t="n">
        <v>45413.75</v>
      </c>
      <c r="G108" s="20" t="n">
        <v>5000</v>
      </c>
      <c r="H108" s="8" t="n">
        <v>10</v>
      </c>
      <c r="I108" s="10" t="n">
        <v>45410</v>
      </c>
      <c r="J108" s="11" t="n">
        <v>0.778240740735787</v>
      </c>
      <c r="K108" s="1" t="str">
        <f aca="false">IF(L108&gt;24,     IF(H108=2,"Couple Extended Day","Extended Day"), IF(L108&lt;=12,     IF(AND(MOD(D108,1)&gt;=TIME(6,0,0),MOD(D108,1)&lt;TIME(18,0,0)),         IF(H108=2,"Couple Half Day","12H Day"),         IF(H108=2,"Couple Half Night","12H Night")), IF(L108&lt;=24,     IF(AND(MOD(D108,1)&gt;=TIME(6,0,0),MOD(D108,1)&lt;TIME(18,0,0)),         IF(H108=2,"Couple Full Day","24H Day"),         IF(H108=2,"Couple Full Night","24H Night")), "Check Data")))</f>
        <v>24H Night</v>
      </c>
      <c r="L108" s="12" t="n">
        <f aca="false">((INT(E108)+MOD(F108,1))-(INT(C108)+MOD(D108,1)))*24</f>
        <v>22.9999999990105</v>
      </c>
      <c r="M108" s="1" t="n">
        <f aca="false">IFERROR(INDEX(Sheet3!$B$2:$B$500,MATCH(1,(INT(C108)+MOD(D108,1)&lt;INT(Sheet3!$A$2:$A$500)+TIME(18,0,0))*(INT(E108)+MOD(F108,1)&gt;=INT(Sheet3!$A$2:$A$500)),0)),0)</f>
        <v>0</v>
      </c>
      <c r="N108" s="1" t="n">
        <f aca="false">IF(OR( AND(Q108=6,D108&gt;=TIME(17,0,0),OR(K108="12H Night",K108="Couple Half Night",K108="24H Night",K108="Couple Full Night")), AND(Q108=7,D108&gt;=TIME(6,0,0),D108&lt;TIME(12,0,0),OR(K108="12H Day",K108="Couple Half Day",K108="24H Day",K108="Couple Full Day")) ),1,0)</f>
        <v>0</v>
      </c>
      <c r="O108" s="1" t="n">
        <f aca="false">IF(OR( AND(MONTH(C108)=12,DAY(C108)&gt;=26), AND(MONTH(C108)=4,DAY(C108)&gt;=15), MONTH(C108)=5, AND(MONTH(C108)=6,DAY(C108)&lt;=10) ),1,0)</f>
        <v>1</v>
      </c>
      <c r="P108" s="1" t="str">
        <f aca="false">IF(OR(MONTH(C108)=3,MONTH(C108)=4,MONTH(C108)=5,MONTH(C108)=6), "Summer", IF(OR(MONTH(C108)=7,MONTH(C108)=8,MONTH(C108)=9,MONTH(C108)=10), "Monsoon", "Winter"))</f>
        <v>Summer</v>
      </c>
      <c r="Q108" s="1" t="n">
        <f aca="false">WEEKDAY(C108,2)</f>
        <v>2</v>
      </c>
      <c r="R108" s="0" t="n">
        <f aca="false">ROUNDDOWN(((INT(C108)+MOD(D108,1))-(INT(I108)+MOD(J108,1))),0)</f>
        <v>2</v>
      </c>
      <c r="S108" s="10"/>
    </row>
    <row r="109" customFormat="false" ht="145.05" hidden="false" customHeight="false" outlineLevel="0" collapsed="false">
      <c r="A109" s="8" t="s">
        <v>226</v>
      </c>
      <c r="B109" s="22" t="s">
        <v>227</v>
      </c>
      <c r="C109" s="18" t="n">
        <v>45415.2916666667</v>
      </c>
      <c r="D109" s="19" t="n">
        <v>45415.2916666667</v>
      </c>
      <c r="E109" s="18" t="n">
        <v>45415.75</v>
      </c>
      <c r="F109" s="19" t="n">
        <v>45415.75</v>
      </c>
      <c r="G109" s="20" t="n">
        <v>4000</v>
      </c>
      <c r="H109" s="8" t="n">
        <v>10</v>
      </c>
      <c r="I109" s="10" t="n">
        <v>45413</v>
      </c>
      <c r="J109" s="11" t="n">
        <v>0.493854166663368</v>
      </c>
      <c r="K109" s="1" t="str">
        <f aca="false">IF(L109&gt;24,     IF(H109=2,"Couple Extended Day","Extended Day"), IF(L109&lt;=12,     IF(AND(MOD(D109,1)&gt;=TIME(6,0,0),MOD(D109,1)&lt;TIME(18,0,0)),         IF(H109=2,"Couple Half Day","12H Day"),         IF(H109=2,"Couple Half Night","12H Night")), IF(L109&lt;=24,     IF(AND(MOD(D109,1)&gt;=TIME(6,0,0),MOD(D109,1)&lt;TIME(18,0,0)),         IF(H109=2,"Couple Full Day","24H Day"),         IF(H109=2,"Couple Full Night","24H Night")), "Check Data")))</f>
        <v>12H Day</v>
      </c>
      <c r="L109" s="12" t="n">
        <f aca="false">((INT(E109)+MOD(F109,1))-(INT(C109)+MOD(D109,1)))*24</f>
        <v>10.9999999990105</v>
      </c>
      <c r="M109" s="1" t="n">
        <f aca="false">IFERROR(INDEX(Sheet3!$B$2:$B$500,MATCH(1,(INT(C109)+MOD(D109,1)&lt;INT(Sheet3!$A$2:$A$500)+TIME(18,0,0))*(INT(E109)+MOD(F109,1)&gt;=INT(Sheet3!$A$2:$A$500)),0)),0)</f>
        <v>0</v>
      </c>
      <c r="N109" s="1" t="n">
        <f aca="false">IF(OR( AND(Q109=6,D109&gt;=TIME(17,0,0),OR(K109="12H Night",K109="Couple Half Night",K109="24H Night",K109="Couple Full Night")), AND(Q109=7,D109&gt;=TIME(6,0,0),D109&lt;TIME(12,0,0),OR(K109="12H Day",K109="Couple Half Day",K109="24H Day",K109="Couple Full Day")) ),1,0)</f>
        <v>0</v>
      </c>
      <c r="O109" s="1" t="n">
        <f aca="false">IF(OR( AND(MONTH(C109)=12,DAY(C109)&gt;=26), AND(MONTH(C109)=4,DAY(C109)&gt;=15), MONTH(C109)=5, AND(MONTH(C109)=6,DAY(C109)&lt;=10) ),1,0)</f>
        <v>1</v>
      </c>
      <c r="P109" s="1" t="str">
        <f aca="false">IF(OR(MONTH(C109)=3,MONTH(C109)=4,MONTH(C109)=5,MONTH(C109)=6), "Summer", IF(OR(MONTH(C109)=7,MONTH(C109)=8,MONTH(C109)=9,MONTH(C109)=10), "Monsoon", "Winter"))</f>
        <v>Summer</v>
      </c>
      <c r="Q109" s="1" t="n">
        <f aca="false">WEEKDAY(C109,2)</f>
        <v>5</v>
      </c>
      <c r="R109" s="0" t="n">
        <f aca="false">ROUNDDOWN(((INT(C109)+MOD(D109,1))-(INT(I109)+MOD(J109,1))),0)</f>
        <v>1</v>
      </c>
      <c r="S109" s="10"/>
    </row>
    <row r="110" customFormat="false" ht="192.95" hidden="false" customHeight="false" outlineLevel="0" collapsed="false">
      <c r="A110" s="8" t="s">
        <v>228</v>
      </c>
      <c r="B110" s="22" t="s">
        <v>229</v>
      </c>
      <c r="C110" s="18" t="n">
        <v>45415.7916666667</v>
      </c>
      <c r="D110" s="19" t="n">
        <v>45415.7916666667</v>
      </c>
      <c r="E110" s="18" t="n">
        <v>45416.75</v>
      </c>
      <c r="F110" s="19" t="n">
        <v>45416.75</v>
      </c>
      <c r="G110" s="20" t="n">
        <v>5500</v>
      </c>
      <c r="H110" s="8" t="n">
        <v>10</v>
      </c>
      <c r="I110" s="10" t="n">
        <v>45411</v>
      </c>
      <c r="J110" s="11" t="n">
        <v>0.914745370369931</v>
      </c>
      <c r="K110" s="1" t="str">
        <f aca="false">IF(L110&gt;24,     IF(H110=2,"Couple Extended Day","Extended Day"), IF(L110&lt;=12,     IF(AND(MOD(D110,1)&gt;=TIME(6,0,0),MOD(D110,1)&lt;TIME(18,0,0)),         IF(H110=2,"Couple Half Day","12H Day"),         IF(H110=2,"Couple Half Night","12H Night")), IF(L110&lt;=24,     IF(AND(MOD(D110,1)&gt;=TIME(6,0,0),MOD(D110,1)&lt;TIME(18,0,0)),         IF(H110=2,"Couple Full Day","24H Day"),         IF(H110=2,"Couple Full Night","24H Night")), "Check Data")))</f>
        <v>24H Night</v>
      </c>
      <c r="L110" s="12" t="n">
        <f aca="false">((INT(E110)+MOD(F110,1))-(INT(C110)+MOD(D110,1)))*24</f>
        <v>22.9999999990105</v>
      </c>
      <c r="M110" s="1" t="n">
        <f aca="false">IFERROR(INDEX(Sheet3!$B$2:$B$500,MATCH(1,(INT(C110)+MOD(D110,1)&lt;INT(Sheet3!$A$2:$A$500)+TIME(18,0,0))*(INT(E110)+MOD(F110,1)&gt;=INT(Sheet3!$A$2:$A$500)),0)),0)</f>
        <v>0</v>
      </c>
      <c r="N110" s="1" t="n">
        <f aca="false">IF(OR( AND(Q110=6,D110&gt;=TIME(17,0,0),OR(K110="12H Night",K110="Couple Half Night",K110="24H Night",K110="Couple Full Night")), AND(Q110=7,D110&gt;=TIME(6,0,0),D110&lt;TIME(12,0,0),OR(K110="12H Day",K110="Couple Half Day",K110="24H Day",K110="Couple Full Day")) ),1,0)</f>
        <v>0</v>
      </c>
      <c r="O110" s="1" t="n">
        <f aca="false">IF(OR( AND(MONTH(C110)=12,DAY(C110)&gt;=26), AND(MONTH(C110)=4,DAY(C110)&gt;=15), MONTH(C110)=5, AND(MONTH(C110)=6,DAY(C110)&lt;=10) ),1,0)</f>
        <v>1</v>
      </c>
      <c r="P110" s="1" t="str">
        <f aca="false">IF(OR(MONTH(C110)=3,MONTH(C110)=4,MONTH(C110)=5,MONTH(C110)=6), "Summer", IF(OR(MONTH(C110)=7,MONTH(C110)=8,MONTH(C110)=9,MONTH(C110)=10), "Monsoon", "Winter"))</f>
        <v>Summer</v>
      </c>
      <c r="Q110" s="1" t="n">
        <f aca="false">WEEKDAY(C110,2)</f>
        <v>5</v>
      </c>
      <c r="R110" s="0" t="n">
        <f aca="false">ROUNDDOWN(((INT(C110)+MOD(D110,1))-(INT(I110)+MOD(J110,1))),0)</f>
        <v>3</v>
      </c>
      <c r="S110" s="10"/>
    </row>
    <row r="111" customFormat="false" ht="204.9" hidden="false" customHeight="false" outlineLevel="0" collapsed="false">
      <c r="A111" s="8" t="s">
        <v>230</v>
      </c>
      <c r="B111" s="22" t="s">
        <v>231</v>
      </c>
      <c r="C111" s="18" t="n">
        <v>45416.7916666667</v>
      </c>
      <c r="D111" s="19" t="n">
        <v>45416.7916666667</v>
      </c>
      <c r="E111" s="18" t="n">
        <v>45417.75</v>
      </c>
      <c r="F111" s="19" t="n">
        <v>45417.75</v>
      </c>
      <c r="G111" s="20" t="n">
        <v>12000</v>
      </c>
      <c r="H111" s="8" t="n">
        <v>15</v>
      </c>
      <c r="I111" s="10" t="n">
        <v>45413</v>
      </c>
      <c r="J111" s="11" t="n">
        <v>0.695636574077072</v>
      </c>
      <c r="K111" s="1" t="str">
        <f aca="false">IF(L111&gt;24,     IF(H111=2,"Couple Extended Day","Extended Day"), IF(L111&lt;=12,     IF(AND(MOD(D111,1)&gt;=TIME(6,0,0),MOD(D111,1)&lt;TIME(18,0,0)),         IF(H111=2,"Couple Half Day","12H Day"),         IF(H111=2,"Couple Half Night","12H Night")), IF(L111&lt;=24,     IF(AND(MOD(D111,1)&gt;=TIME(6,0,0),MOD(D111,1)&lt;TIME(18,0,0)),         IF(H111=2,"Couple Full Day","24H Day"),         IF(H111=2,"Couple Full Night","24H Night")), "Check Data")))</f>
        <v>24H Night</v>
      </c>
      <c r="L111" s="12" t="n">
        <f aca="false">((INT(E111)+MOD(F111,1))-(INT(C111)+MOD(D111,1)))*24</f>
        <v>22.9999999990105</v>
      </c>
      <c r="M111" s="1" t="n">
        <f aca="false">IFERROR(INDEX(Sheet3!$B$2:$B$500,MATCH(1,(INT(C111)+MOD(D111,1)&lt;INT(Sheet3!$A$2:$A$500)+TIME(18,0,0))*(INT(E111)+MOD(F111,1)&gt;=INT(Sheet3!$A$2:$A$500)),0)),0)</f>
        <v>0</v>
      </c>
      <c r="N111" s="1" t="n">
        <f aca="false">IF(OR( AND(Q111=6,D111&gt;=TIME(17,0,0),OR(K111="12H Night",K111="Couple Half Night",K111="24H Night",K111="Couple Full Night")), AND(Q111=7,D111&gt;=TIME(6,0,0),D111&lt;TIME(12,0,0),OR(K111="12H Day",K111="Couple Half Day",K111="24H Day",K111="Couple Full Day")) ),1,0)</f>
        <v>1</v>
      </c>
      <c r="O111" s="1" t="n">
        <f aca="false">IF(OR( AND(MONTH(C111)=12,DAY(C111)&gt;=26), AND(MONTH(C111)=4,DAY(C111)&gt;=15), MONTH(C111)=5, AND(MONTH(C111)=6,DAY(C111)&lt;=10) ),1,0)</f>
        <v>1</v>
      </c>
      <c r="P111" s="1" t="str">
        <f aca="false">IF(OR(MONTH(C111)=3,MONTH(C111)=4,MONTH(C111)=5,MONTH(C111)=6), "Summer", IF(OR(MONTH(C111)=7,MONTH(C111)=8,MONTH(C111)=9,MONTH(C111)=10), "Monsoon", "Winter"))</f>
        <v>Summer</v>
      </c>
      <c r="Q111" s="1" t="n">
        <f aca="false">WEEKDAY(C111,2)</f>
        <v>6</v>
      </c>
      <c r="R111" s="0" t="n">
        <f aca="false">ROUNDDOWN(((INT(C111)+MOD(D111,1))-(INT(I111)+MOD(J111,1))),0)</f>
        <v>3</v>
      </c>
      <c r="S111" s="10"/>
    </row>
    <row r="112" customFormat="false" ht="145.05" hidden="false" customHeight="false" outlineLevel="0" collapsed="false">
      <c r="A112" s="8" t="s">
        <v>232</v>
      </c>
      <c r="B112" s="22" t="s">
        <v>233</v>
      </c>
      <c r="C112" s="18" t="n">
        <v>45418.2916666667</v>
      </c>
      <c r="D112" s="19" t="n">
        <v>45418.2916666667</v>
      </c>
      <c r="E112" s="18" t="n">
        <v>45418.75</v>
      </c>
      <c r="F112" s="19" t="n">
        <v>45418.75</v>
      </c>
      <c r="G112" s="20" t="n">
        <v>4000</v>
      </c>
      <c r="H112" s="8" t="n">
        <v>15</v>
      </c>
      <c r="I112" s="10" t="n">
        <v>45413</v>
      </c>
      <c r="J112" s="11" t="n">
        <v>0.403726851851389</v>
      </c>
      <c r="K112" s="1" t="str">
        <f aca="false">IF(L112&gt;24,     IF(H112=2,"Couple Extended Day","Extended Day"), IF(L112&lt;=12,     IF(AND(MOD(D112,1)&gt;=TIME(6,0,0),MOD(D112,1)&lt;TIME(18,0,0)),         IF(H112=2,"Couple Half Day","12H Day"),         IF(H112=2,"Couple Half Night","12H Night")), IF(L112&lt;=24,     IF(AND(MOD(D112,1)&gt;=TIME(6,0,0),MOD(D112,1)&lt;TIME(18,0,0)),         IF(H112=2,"Couple Full Day","24H Day"),         IF(H112=2,"Couple Full Night","24H Night")), "Check Data")))</f>
        <v>12H Day</v>
      </c>
      <c r="L112" s="12" t="n">
        <f aca="false">((INT(E112)+MOD(F112,1))-(INT(C112)+MOD(D112,1)))*24</f>
        <v>10.9999999990105</v>
      </c>
      <c r="M112" s="1" t="n">
        <f aca="false">IFERROR(INDEX(Sheet3!$B$2:$B$500,MATCH(1,(INT(C112)+MOD(D112,1)&lt;INT(Sheet3!$A$2:$A$500)+TIME(18,0,0))*(INT(E112)+MOD(F112,1)&gt;=INT(Sheet3!$A$2:$A$500)),0)),0)</f>
        <v>0</v>
      </c>
      <c r="N112" s="1" t="n">
        <f aca="false">IF(OR( AND(Q112=6,D112&gt;=TIME(17,0,0),OR(K112="12H Night",K112="Couple Half Night",K112="24H Night",K112="Couple Full Night")), AND(Q112=7,D112&gt;=TIME(6,0,0),D112&lt;TIME(12,0,0),OR(K112="12H Day",K112="Couple Half Day",K112="24H Day",K112="Couple Full Day")) ),1,0)</f>
        <v>0</v>
      </c>
      <c r="O112" s="1" t="n">
        <f aca="false">IF(OR( AND(MONTH(C112)=12,DAY(C112)&gt;=26), AND(MONTH(C112)=4,DAY(C112)&gt;=15), MONTH(C112)=5, AND(MONTH(C112)=6,DAY(C112)&lt;=10) ),1,0)</f>
        <v>1</v>
      </c>
      <c r="P112" s="1" t="str">
        <f aca="false">IF(OR(MONTH(C112)=3,MONTH(C112)=4,MONTH(C112)=5,MONTH(C112)=6), "Summer", IF(OR(MONTH(C112)=7,MONTH(C112)=8,MONTH(C112)=9,MONTH(C112)=10), "Monsoon", "Winter"))</f>
        <v>Summer</v>
      </c>
      <c r="Q112" s="1" t="n">
        <f aca="false">WEEKDAY(C112,2)</f>
        <v>1</v>
      </c>
      <c r="R112" s="0" t="n">
        <f aca="false">ROUNDDOWN(((INT(C112)+MOD(D112,1))-(INT(I112)+MOD(J112,1))),0)</f>
        <v>4</v>
      </c>
      <c r="S112" s="10"/>
    </row>
    <row r="113" customFormat="false" ht="192.95" hidden="false" customHeight="false" outlineLevel="0" collapsed="false">
      <c r="A113" s="8" t="s">
        <v>234</v>
      </c>
      <c r="B113" s="22" t="s">
        <v>235</v>
      </c>
      <c r="C113" s="18" t="n">
        <v>45418.7916666667</v>
      </c>
      <c r="D113" s="19" t="n">
        <v>45418.7916666667</v>
      </c>
      <c r="E113" s="18" t="n">
        <v>45419.75</v>
      </c>
      <c r="F113" s="19" t="n">
        <v>45419.75</v>
      </c>
      <c r="G113" s="20" t="n">
        <v>12000</v>
      </c>
      <c r="H113" s="8" t="n">
        <v>12</v>
      </c>
      <c r="I113" s="10" t="n">
        <v>45403</v>
      </c>
      <c r="J113" s="11" t="n">
        <v>0.493437500001169</v>
      </c>
      <c r="K113" s="1" t="str">
        <f aca="false">IF(L113&gt;24,     IF(H113=2,"Couple Extended Day","Extended Day"), IF(L113&lt;=12,     IF(AND(MOD(D113,1)&gt;=TIME(6,0,0),MOD(D113,1)&lt;TIME(18,0,0)),         IF(H113=2,"Couple Half Day","12H Day"),         IF(H113=2,"Couple Half Night","12H Night")), IF(L113&lt;=24,     IF(AND(MOD(D113,1)&gt;=TIME(6,0,0),MOD(D113,1)&lt;TIME(18,0,0)),         IF(H113=2,"Couple Full Day","24H Day"),         IF(H113=2,"Couple Full Night","24H Night")), "Check Data")))</f>
        <v>24H Night</v>
      </c>
      <c r="L113" s="12" t="n">
        <f aca="false">((INT(E113)+MOD(F113,1))-(INT(C113)+MOD(D113,1)))*24</f>
        <v>22.9999999990105</v>
      </c>
      <c r="M113" s="1" t="n">
        <f aca="false">IFERROR(INDEX(Sheet3!$B$2:$B$500,MATCH(1,(INT(C113)+MOD(D113,1)&lt;INT(Sheet3!$A$2:$A$500)+TIME(18,0,0))*(INT(E113)+MOD(F113,1)&gt;=INT(Sheet3!$A$2:$A$500)),0)),0)</f>
        <v>0</v>
      </c>
      <c r="N113" s="1" t="n">
        <f aca="false">IF(OR( AND(Q113=6,D113&gt;=TIME(17,0,0),OR(K113="12H Night",K113="Couple Half Night",K113="24H Night",K113="Couple Full Night")), AND(Q113=7,D113&gt;=TIME(6,0,0),D113&lt;TIME(12,0,0),OR(K113="12H Day",K113="Couple Half Day",K113="24H Day",K113="Couple Full Day")) ),1,0)</f>
        <v>0</v>
      </c>
      <c r="O113" s="1" t="n">
        <f aca="false">IF(OR( AND(MONTH(C113)=12,DAY(C113)&gt;=26), AND(MONTH(C113)=4,DAY(C113)&gt;=15), MONTH(C113)=5, AND(MONTH(C113)=6,DAY(C113)&lt;=10) ),1,0)</f>
        <v>1</v>
      </c>
      <c r="P113" s="1" t="str">
        <f aca="false">IF(OR(MONTH(C113)=3,MONTH(C113)=4,MONTH(C113)=5,MONTH(C113)=6), "Summer", IF(OR(MONTH(C113)=7,MONTH(C113)=8,MONTH(C113)=9,MONTH(C113)=10), "Monsoon", "Winter"))</f>
        <v>Summer</v>
      </c>
      <c r="Q113" s="1" t="n">
        <f aca="false">WEEKDAY(C113,2)</f>
        <v>1</v>
      </c>
      <c r="R113" s="0" t="n">
        <f aca="false">ROUNDDOWN(((INT(C113)+MOD(D113,1))-(INT(I113)+MOD(J113,1))),0)</f>
        <v>15</v>
      </c>
      <c r="S113" s="10"/>
    </row>
    <row r="114" customFormat="false" ht="121.1" hidden="false" customHeight="false" outlineLevel="0" collapsed="false">
      <c r="A114" s="8" t="s">
        <v>236</v>
      </c>
      <c r="B114" s="22" t="s">
        <v>237</v>
      </c>
      <c r="C114" s="18" t="n">
        <v>45419.7916666667</v>
      </c>
      <c r="D114" s="19" t="n">
        <v>45419.7916666667</v>
      </c>
      <c r="E114" s="18" t="n">
        <v>45420.75</v>
      </c>
      <c r="F114" s="19" t="n">
        <v>45420.75</v>
      </c>
      <c r="G114" s="20" t="n">
        <v>3000</v>
      </c>
      <c r="H114" s="8" t="n">
        <v>6</v>
      </c>
      <c r="I114" s="10" t="n">
        <v>45418</v>
      </c>
      <c r="J114" s="11" t="n">
        <v>0.39638888889022</v>
      </c>
      <c r="K114" s="1" t="str">
        <f aca="false">IF(L114&gt;24,     IF(H114=2,"Couple Extended Day","Extended Day"), IF(L114&lt;=12,     IF(AND(MOD(D114,1)&gt;=TIME(6,0,0),MOD(D114,1)&lt;TIME(18,0,0)),         IF(H114=2,"Couple Half Day","12H Day"),         IF(H114=2,"Couple Half Night","12H Night")), IF(L114&lt;=24,     IF(AND(MOD(D114,1)&gt;=TIME(6,0,0),MOD(D114,1)&lt;TIME(18,0,0)),         IF(H114=2,"Couple Full Day","24H Day"),         IF(H114=2,"Couple Full Night","24H Night")), "Check Data")))</f>
        <v>24H Night</v>
      </c>
      <c r="L114" s="12" t="n">
        <f aca="false">((INT(E114)+MOD(F114,1))-(INT(C114)+MOD(D114,1)))*24</f>
        <v>22.9999999990105</v>
      </c>
      <c r="M114" s="1" t="n">
        <f aca="false">IFERROR(INDEX(Sheet3!$B$2:$B$500,MATCH(1,(INT(C114)+MOD(D114,1)&lt;INT(Sheet3!$A$2:$A$500)+TIME(18,0,0))*(INT(E114)+MOD(F114,1)&gt;=INT(Sheet3!$A$2:$A$500)),0)),0)</f>
        <v>0</v>
      </c>
      <c r="N114" s="1" t="n">
        <f aca="false">IF(OR( AND(Q114=6,D114&gt;=TIME(17,0,0),OR(K114="12H Night",K114="Couple Half Night",K114="24H Night",K114="Couple Full Night")), AND(Q114=7,D114&gt;=TIME(6,0,0),D114&lt;TIME(12,0,0),OR(K114="12H Day",K114="Couple Half Day",K114="24H Day",K114="Couple Full Day")) ),1,0)</f>
        <v>0</v>
      </c>
      <c r="O114" s="1" t="n">
        <f aca="false">IF(OR( AND(MONTH(C114)=12,DAY(C114)&gt;=26), AND(MONTH(C114)=4,DAY(C114)&gt;=15), MONTH(C114)=5, AND(MONTH(C114)=6,DAY(C114)&lt;=10) ),1,0)</f>
        <v>1</v>
      </c>
      <c r="P114" s="1" t="str">
        <f aca="false">IF(OR(MONTH(C114)=3,MONTH(C114)=4,MONTH(C114)=5,MONTH(C114)=6), "Summer", IF(OR(MONTH(C114)=7,MONTH(C114)=8,MONTH(C114)=9,MONTH(C114)=10), "Monsoon", "Winter"))</f>
        <v>Summer</v>
      </c>
      <c r="Q114" s="1" t="n">
        <f aca="false">WEEKDAY(C114,2)</f>
        <v>2</v>
      </c>
      <c r="R114" s="0" t="n">
        <f aca="false">ROUNDDOWN(((INT(C114)+MOD(D114,1))-(INT(I114)+MOD(J114,1))),0)</f>
        <v>1</v>
      </c>
      <c r="S114" s="10"/>
    </row>
    <row r="115" customFormat="false" ht="180.95" hidden="false" customHeight="false" outlineLevel="0" collapsed="false">
      <c r="A115" s="8" t="s">
        <v>238</v>
      </c>
      <c r="B115" s="22" t="s">
        <v>239</v>
      </c>
      <c r="C115" s="18" t="n">
        <v>45420.7916666667</v>
      </c>
      <c r="D115" s="19" t="n">
        <v>45420.7916666667</v>
      </c>
      <c r="E115" s="18" t="n">
        <v>45421.75</v>
      </c>
      <c r="F115" s="19" t="n">
        <v>45421.75</v>
      </c>
      <c r="G115" s="20" t="n">
        <v>5000</v>
      </c>
      <c r="H115" s="8" t="n">
        <v>10</v>
      </c>
      <c r="I115" s="10" t="n">
        <v>45416</v>
      </c>
      <c r="J115" s="11" t="n">
        <v>0.548171296293727</v>
      </c>
      <c r="K115" s="1" t="str">
        <f aca="false">IF(L115&gt;24,     IF(H115=2,"Couple Extended Day","Extended Day"), IF(L115&lt;=12,     IF(AND(MOD(D115,1)&gt;=TIME(6,0,0),MOD(D115,1)&lt;TIME(18,0,0)),         IF(H115=2,"Couple Half Day","12H Day"),         IF(H115=2,"Couple Half Night","12H Night")), IF(L115&lt;=24,     IF(AND(MOD(D115,1)&gt;=TIME(6,0,0),MOD(D115,1)&lt;TIME(18,0,0)),         IF(H115=2,"Couple Full Day","24H Day"),         IF(H115=2,"Couple Full Night","24H Night")), "Check Data")))</f>
        <v>24H Night</v>
      </c>
      <c r="L115" s="12" t="n">
        <f aca="false">((INT(E115)+MOD(F115,1))-(INT(C115)+MOD(D115,1)))*24</f>
        <v>22.9999999990105</v>
      </c>
      <c r="M115" s="1" t="n">
        <f aca="false">IFERROR(INDEX(Sheet3!$B$2:$B$500,MATCH(1,(INT(C115)+MOD(D115,1)&lt;INT(Sheet3!$A$2:$A$500)+TIME(18,0,0))*(INT(E115)+MOD(F115,1)&gt;=INT(Sheet3!$A$2:$A$500)),0)),0)</f>
        <v>0</v>
      </c>
      <c r="N115" s="1" t="n">
        <f aca="false">IF(OR( AND(Q115=6,D115&gt;=TIME(17,0,0),OR(K115="12H Night",K115="Couple Half Night",K115="24H Night",K115="Couple Full Night")), AND(Q115=7,D115&gt;=TIME(6,0,0),D115&lt;TIME(12,0,0),OR(K115="12H Day",K115="Couple Half Day",K115="24H Day",K115="Couple Full Day")) ),1,0)</f>
        <v>0</v>
      </c>
      <c r="O115" s="1" t="n">
        <f aca="false">IF(OR( AND(MONTH(C115)=12,DAY(C115)&gt;=26), AND(MONTH(C115)=4,DAY(C115)&gt;=15), MONTH(C115)=5, AND(MONTH(C115)=6,DAY(C115)&lt;=10) ),1,0)</f>
        <v>1</v>
      </c>
      <c r="P115" s="1" t="str">
        <f aca="false">IF(OR(MONTH(C115)=3,MONTH(C115)=4,MONTH(C115)=5,MONTH(C115)=6), "Summer", IF(OR(MONTH(C115)=7,MONTH(C115)=8,MONTH(C115)=9,MONTH(C115)=10), "Monsoon", "Winter"))</f>
        <v>Summer</v>
      </c>
      <c r="Q115" s="1" t="n">
        <f aca="false">WEEKDAY(C115,2)</f>
        <v>3</v>
      </c>
      <c r="R115" s="0" t="n">
        <f aca="false">ROUNDDOWN(((INT(C115)+MOD(D115,1))-(INT(I115)+MOD(J115,1))),0)</f>
        <v>4</v>
      </c>
      <c r="S115" s="10"/>
    </row>
    <row r="116" customFormat="false" ht="216.9" hidden="false" customHeight="false" outlineLevel="0" collapsed="false">
      <c r="A116" s="8" t="s">
        <v>240</v>
      </c>
      <c r="B116" s="22" t="s">
        <v>241</v>
      </c>
      <c r="C116" s="18" t="n">
        <v>45421.7916666667</v>
      </c>
      <c r="D116" s="19" t="n">
        <v>45421.7916666667</v>
      </c>
      <c r="E116" s="18" t="n">
        <v>45422.75</v>
      </c>
      <c r="F116" s="19" t="n">
        <v>45422.75</v>
      </c>
      <c r="G116" s="20" t="n">
        <v>5500</v>
      </c>
      <c r="H116" s="8" t="n">
        <v>15</v>
      </c>
      <c r="I116" s="10" t="n">
        <v>45419</v>
      </c>
      <c r="J116" s="11" t="n">
        <v>0.848877314812847</v>
      </c>
      <c r="K116" s="1" t="str">
        <f aca="false">IF(L116&gt;24,     IF(H116=2,"Couple Extended Day","Extended Day"), IF(L116&lt;=12,     IF(AND(MOD(D116,1)&gt;=TIME(6,0,0),MOD(D116,1)&lt;TIME(18,0,0)),         IF(H116=2,"Couple Half Day","12H Day"),         IF(H116=2,"Couple Half Night","12H Night")), IF(L116&lt;=24,     IF(AND(MOD(D116,1)&gt;=TIME(6,0,0),MOD(D116,1)&lt;TIME(18,0,0)),         IF(H116=2,"Couple Full Day","24H Day"),         IF(H116=2,"Couple Full Night","24H Night")), "Check Data")))</f>
        <v>24H Night</v>
      </c>
      <c r="L116" s="12" t="n">
        <f aca="false">((INT(E116)+MOD(F116,1))-(INT(C116)+MOD(D116,1)))*24</f>
        <v>22.9999999990105</v>
      </c>
      <c r="M116" s="1" t="n">
        <f aca="false">IFERROR(INDEX(Sheet3!$B$2:$B$500,MATCH(1,(INT(C116)+MOD(D116,1)&lt;INT(Sheet3!$A$2:$A$500)+TIME(18,0,0))*(INT(E116)+MOD(F116,1)&gt;=INT(Sheet3!$A$2:$A$500)),0)),0)</f>
        <v>0</v>
      </c>
      <c r="N116" s="1" t="n">
        <f aca="false">IF(OR( AND(Q116=6,D116&gt;=TIME(17,0,0),OR(K116="12H Night",K116="Couple Half Night",K116="24H Night",K116="Couple Full Night")), AND(Q116=7,D116&gt;=TIME(6,0,0),D116&lt;TIME(12,0,0),OR(K116="12H Day",K116="Couple Half Day",K116="24H Day",K116="Couple Full Day")) ),1,0)</f>
        <v>0</v>
      </c>
      <c r="O116" s="1" t="n">
        <f aca="false">IF(OR( AND(MONTH(C116)=12,DAY(C116)&gt;=26), AND(MONTH(C116)=4,DAY(C116)&gt;=15), MONTH(C116)=5, AND(MONTH(C116)=6,DAY(C116)&lt;=10) ),1,0)</f>
        <v>1</v>
      </c>
      <c r="P116" s="1" t="str">
        <f aca="false">IF(OR(MONTH(C116)=3,MONTH(C116)=4,MONTH(C116)=5,MONTH(C116)=6), "Summer", IF(OR(MONTH(C116)=7,MONTH(C116)=8,MONTH(C116)=9,MONTH(C116)=10), "Monsoon", "Winter"))</f>
        <v>Summer</v>
      </c>
      <c r="Q116" s="1" t="n">
        <f aca="false">WEEKDAY(C116,2)</f>
        <v>4</v>
      </c>
      <c r="R116" s="0" t="n">
        <f aca="false">ROUNDDOWN(((INT(C116)+MOD(D116,1))-(INT(I116)+MOD(J116,1))),0)</f>
        <v>1</v>
      </c>
      <c r="S116" s="10"/>
    </row>
    <row r="117" customFormat="false" ht="192.95" hidden="false" customHeight="false" outlineLevel="0" collapsed="false">
      <c r="A117" s="8" t="s">
        <v>204</v>
      </c>
      <c r="B117" s="22" t="s">
        <v>242</v>
      </c>
      <c r="C117" s="18" t="n">
        <v>45422.7916666667</v>
      </c>
      <c r="D117" s="19" t="n">
        <v>45422.7916666667</v>
      </c>
      <c r="E117" s="18" t="n">
        <v>45423.75</v>
      </c>
      <c r="F117" s="19" t="n">
        <v>45423.75</v>
      </c>
      <c r="G117" s="20" t="n">
        <v>5000</v>
      </c>
      <c r="H117" s="8" t="n">
        <v>14</v>
      </c>
      <c r="I117" s="10" t="n">
        <v>45416</v>
      </c>
      <c r="J117" s="11" t="n">
        <v>0.422013888892257</v>
      </c>
      <c r="K117" s="1" t="str">
        <f aca="false">IF(L117&gt;24,     IF(H117=2,"Couple Extended Day","Extended Day"), IF(L117&lt;=12,     IF(AND(MOD(D117,1)&gt;=TIME(6,0,0),MOD(D117,1)&lt;TIME(18,0,0)),         IF(H117=2,"Couple Half Day","12H Day"),         IF(H117=2,"Couple Half Night","12H Night")), IF(L117&lt;=24,     IF(AND(MOD(D117,1)&gt;=TIME(6,0,0),MOD(D117,1)&lt;TIME(18,0,0)),         IF(H117=2,"Couple Full Day","24H Day"),         IF(H117=2,"Couple Full Night","24H Night")), "Check Data")))</f>
        <v>24H Night</v>
      </c>
      <c r="L117" s="12" t="n">
        <f aca="false">((INT(E117)+MOD(F117,1))-(INT(C117)+MOD(D117,1)))*24</f>
        <v>22.9999999990105</v>
      </c>
      <c r="M117" s="1" t="n">
        <f aca="false">IFERROR(INDEX(Sheet3!$B$2:$B$500,MATCH(1,(INT(C117)+MOD(D117,1)&lt;INT(Sheet3!$A$2:$A$500)+TIME(18,0,0))*(INT(E117)+MOD(F117,1)&gt;=INT(Sheet3!$A$2:$A$500)),0)),0)</f>
        <v>0</v>
      </c>
      <c r="N117" s="1" t="n">
        <f aca="false">IF(OR( AND(Q117=6,D117&gt;=TIME(17,0,0),OR(K117="12H Night",K117="Couple Half Night",K117="24H Night",K117="Couple Full Night")), AND(Q117=7,D117&gt;=TIME(6,0,0),D117&lt;TIME(12,0,0),OR(K117="12H Day",K117="Couple Half Day",K117="24H Day",K117="Couple Full Day")) ),1,0)</f>
        <v>0</v>
      </c>
      <c r="O117" s="1" t="n">
        <f aca="false">IF(OR( AND(MONTH(C117)=12,DAY(C117)&gt;=26), AND(MONTH(C117)=4,DAY(C117)&gt;=15), MONTH(C117)=5, AND(MONTH(C117)=6,DAY(C117)&lt;=10) ),1,0)</f>
        <v>1</v>
      </c>
      <c r="P117" s="1" t="str">
        <f aca="false">IF(OR(MONTH(C117)=3,MONTH(C117)=4,MONTH(C117)=5,MONTH(C117)=6), "Summer", IF(OR(MONTH(C117)=7,MONTH(C117)=8,MONTH(C117)=9,MONTH(C117)=10), "Monsoon", "Winter"))</f>
        <v>Summer</v>
      </c>
      <c r="Q117" s="1" t="n">
        <f aca="false">WEEKDAY(C117,2)</f>
        <v>5</v>
      </c>
      <c r="R117" s="0" t="n">
        <f aca="false">ROUNDDOWN(((INT(C117)+MOD(D117,1))-(INT(I117)+MOD(J117,1))),0)</f>
        <v>6</v>
      </c>
      <c r="S117" s="10"/>
    </row>
    <row r="118" customFormat="false" ht="145.05" hidden="false" customHeight="false" outlineLevel="0" collapsed="false">
      <c r="A118" s="8" t="s">
        <v>243</v>
      </c>
      <c r="B118" s="22" t="s">
        <v>244</v>
      </c>
      <c r="C118" s="18" t="n">
        <v>45423.7916666667</v>
      </c>
      <c r="D118" s="19" t="n">
        <v>45423.7916666667</v>
      </c>
      <c r="E118" s="18" t="n">
        <v>45424.75</v>
      </c>
      <c r="F118" s="19" t="n">
        <v>45424.75</v>
      </c>
      <c r="G118" s="20" t="n">
        <v>10000</v>
      </c>
      <c r="H118" s="8" t="n">
        <v>8</v>
      </c>
      <c r="I118" s="10" t="n">
        <v>45423</v>
      </c>
      <c r="J118" s="11" t="n">
        <v>0.726111111114734</v>
      </c>
      <c r="K118" s="1" t="str">
        <f aca="false">IF(L118&gt;24,     IF(H118=2,"Couple Extended Day","Extended Day"), IF(L118&lt;=12,     IF(AND(MOD(D118,1)&gt;=TIME(6,0,0),MOD(D118,1)&lt;TIME(18,0,0)),         IF(H118=2,"Couple Half Day","12H Day"),         IF(H118=2,"Couple Half Night","12H Night")), IF(L118&lt;=24,     IF(AND(MOD(D118,1)&gt;=TIME(6,0,0),MOD(D118,1)&lt;TIME(18,0,0)),         IF(H118=2,"Couple Full Day","24H Day"),         IF(H118=2,"Couple Full Night","24H Night")), "Check Data")))</f>
        <v>24H Night</v>
      </c>
      <c r="L118" s="12" t="n">
        <f aca="false">((INT(E118)+MOD(F118,1))-(INT(C118)+MOD(D118,1)))*24</f>
        <v>22.9999999990105</v>
      </c>
      <c r="M118" s="1" t="n">
        <f aca="false">IFERROR(INDEX(Sheet3!$B$2:$B$500,MATCH(1,(INT(C118)+MOD(D118,1)&lt;INT(Sheet3!$A$2:$A$500)+TIME(18,0,0))*(INT(E118)+MOD(F118,1)&gt;=INT(Sheet3!$A$2:$A$500)),0)),0)</f>
        <v>0</v>
      </c>
      <c r="N118" s="1" t="n">
        <f aca="false">IF(OR( AND(Q118=6,D118&gt;=TIME(17,0,0),OR(K118="12H Night",K118="Couple Half Night",K118="24H Night",K118="Couple Full Night")), AND(Q118=7,D118&gt;=TIME(6,0,0),D118&lt;TIME(12,0,0),OR(K118="12H Day",K118="Couple Half Day",K118="24H Day",K118="Couple Full Day")) ),1,0)</f>
        <v>1</v>
      </c>
      <c r="O118" s="1" t="n">
        <f aca="false">IF(OR( AND(MONTH(C118)=12,DAY(C118)&gt;=26), AND(MONTH(C118)=4,DAY(C118)&gt;=15), MONTH(C118)=5, AND(MONTH(C118)=6,DAY(C118)&lt;=10) ),1,0)</f>
        <v>1</v>
      </c>
      <c r="P118" s="1" t="str">
        <f aca="false">IF(OR(MONTH(C118)=3,MONTH(C118)=4,MONTH(C118)=5,MONTH(C118)=6), "Summer", IF(OR(MONTH(C118)=7,MONTH(C118)=8,MONTH(C118)=9,MONTH(C118)=10), "Monsoon", "Winter"))</f>
        <v>Summer</v>
      </c>
      <c r="Q118" s="1" t="n">
        <f aca="false">WEEKDAY(C118,2)</f>
        <v>6</v>
      </c>
      <c r="R118" s="0" t="n">
        <f aca="false">ROUNDDOWN(((INT(C118)+MOD(D118,1))-(INT(I118)+MOD(J118,1))),0)</f>
        <v>0</v>
      </c>
      <c r="S118" s="10"/>
    </row>
    <row r="119" customFormat="false" ht="204.9" hidden="false" customHeight="false" outlineLevel="0" collapsed="false">
      <c r="A119" s="8" t="s">
        <v>245</v>
      </c>
      <c r="B119" s="22" t="s">
        <v>246</v>
      </c>
      <c r="C119" s="18" t="n">
        <v>45424.8333333333</v>
      </c>
      <c r="D119" s="19" t="n">
        <v>0</v>
      </c>
      <c r="E119" s="18" t="n">
        <v>45425.75</v>
      </c>
      <c r="F119" s="19" t="n">
        <v>45425.75</v>
      </c>
      <c r="G119" s="20" t="n">
        <v>5000</v>
      </c>
      <c r="H119" s="8" t="n">
        <v>10</v>
      </c>
      <c r="I119" s="10" t="n">
        <v>45419</v>
      </c>
      <c r="J119" s="11" t="n">
        <v>0.571562500001169</v>
      </c>
      <c r="K119" s="1" t="str">
        <f aca="false">IF(L119&gt;24,     IF(H119=2,"Couple Extended Day","Extended Day"), IF(L119&lt;=12,     IF(AND(MOD(D119,1)&gt;=TIME(6,0,0),MOD(D119,1)&lt;TIME(18,0,0)),         IF(H119=2,"Couple Half Day","12H Day"),         IF(H119=2,"Couple Half Night","12H Night")), IF(L119&lt;=24,     IF(AND(MOD(D119,1)&gt;=TIME(6,0,0),MOD(D119,1)&lt;TIME(18,0,0)),         IF(H119=2,"Couple Full Day","24H Day"),         IF(H119=2,"Couple Full Night","24H Night")), "Check Data")))</f>
        <v>Extended Day</v>
      </c>
      <c r="L119" s="12" t="n">
        <f aca="false">((INT(E119)+MOD(F119,1))-(INT(C119)+MOD(D119,1)))*24</f>
        <v>42</v>
      </c>
      <c r="M119" s="1" t="n">
        <f aca="false">IFERROR(INDEX(Sheet3!$B$2:$B$500,MATCH(1,(INT(C119)+MOD(D119,1)&lt;INT(Sheet3!$A$2:$A$500)+TIME(18,0,0))*(INT(E119)+MOD(F119,1)&gt;=INT(Sheet3!$A$2:$A$500)),0)),0)</f>
        <v>0</v>
      </c>
      <c r="N119" s="1" t="n">
        <f aca="false">IF(OR( AND(Q119=6,D119&gt;=TIME(17,0,0),OR(K119="12H Night",K119="Couple Half Night",K119="24H Night",K119="Couple Full Night")), AND(Q119=7,D119&gt;=TIME(6,0,0),D119&lt;TIME(12,0,0),OR(K119="12H Day",K119="Couple Half Day",K119="24H Day",K119="Couple Full Day")) ),1,0)</f>
        <v>0</v>
      </c>
      <c r="O119" s="1" t="n">
        <f aca="false">IF(OR( AND(MONTH(C119)=12,DAY(C119)&gt;=26), AND(MONTH(C119)=4,DAY(C119)&gt;=15), MONTH(C119)=5, AND(MONTH(C119)=6,DAY(C119)&lt;=10) ),1,0)</f>
        <v>1</v>
      </c>
      <c r="P119" s="1" t="str">
        <f aca="false">IF(OR(MONTH(C119)=3,MONTH(C119)=4,MONTH(C119)=5,MONTH(C119)=6), "Summer", IF(OR(MONTH(C119)=7,MONTH(C119)=8,MONTH(C119)=9,MONTH(C119)=10), "Monsoon", "Winter"))</f>
        <v>Summer</v>
      </c>
      <c r="Q119" s="1" t="n">
        <f aca="false">WEEKDAY(C119,2)</f>
        <v>7</v>
      </c>
      <c r="R119" s="0" t="n">
        <f aca="false">ROUNDDOWN(((INT(C119)+MOD(D119,1))-(INT(I119)+MOD(J119,1))),0)</f>
        <v>4</v>
      </c>
      <c r="S119" s="10"/>
    </row>
    <row r="120" customFormat="false" ht="121.1" hidden="false" customHeight="false" outlineLevel="0" collapsed="false">
      <c r="A120" s="8" t="s">
        <v>247</v>
      </c>
      <c r="B120" s="22" t="s">
        <v>248</v>
      </c>
      <c r="C120" s="18" t="n">
        <v>45425.7916666667</v>
      </c>
      <c r="D120" s="19" t="n">
        <v>45425.7916666667</v>
      </c>
      <c r="E120" s="18" t="n">
        <v>45426.75</v>
      </c>
      <c r="F120" s="19" t="n">
        <v>45426.75</v>
      </c>
      <c r="G120" s="20" t="n">
        <v>5000</v>
      </c>
      <c r="H120" s="8" t="n">
        <v>15</v>
      </c>
      <c r="I120" s="10" t="n">
        <v>45422</v>
      </c>
      <c r="J120" s="11" t="n">
        <v>0.556932870371389</v>
      </c>
      <c r="K120" s="1" t="str">
        <f aca="false">IF(L120&gt;24,     IF(H120=2,"Couple Extended Day","Extended Day"), IF(L120&lt;=12,     IF(AND(MOD(D120,1)&gt;=TIME(6,0,0),MOD(D120,1)&lt;TIME(18,0,0)),         IF(H120=2,"Couple Half Day","12H Day"),         IF(H120=2,"Couple Half Night","12H Night")), IF(L120&lt;=24,     IF(AND(MOD(D120,1)&gt;=TIME(6,0,0),MOD(D120,1)&lt;TIME(18,0,0)),         IF(H120=2,"Couple Full Day","24H Day"),         IF(H120=2,"Couple Full Night","24H Night")), "Check Data")))</f>
        <v>24H Night</v>
      </c>
      <c r="L120" s="12" t="n">
        <f aca="false">((INT(E120)+MOD(F120,1))-(INT(C120)+MOD(D120,1)))*24</f>
        <v>22.9999999990105</v>
      </c>
      <c r="M120" s="1" t="n">
        <f aca="false">IFERROR(INDEX(Sheet3!$B$2:$B$500,MATCH(1,(INT(C120)+MOD(D120,1)&lt;INT(Sheet3!$A$2:$A$500)+TIME(18,0,0))*(INT(E120)+MOD(F120,1)&gt;=INT(Sheet3!$A$2:$A$500)),0)),0)</f>
        <v>0</v>
      </c>
      <c r="N120" s="1" t="n">
        <f aca="false">IF(OR( AND(Q120=6,D120&gt;=TIME(17,0,0),OR(K120="12H Night",K120="Couple Half Night",K120="24H Night",K120="Couple Full Night")), AND(Q120=7,D120&gt;=TIME(6,0,0),D120&lt;TIME(12,0,0),OR(K120="12H Day",K120="Couple Half Day",K120="24H Day",K120="Couple Full Day")) ),1,0)</f>
        <v>0</v>
      </c>
      <c r="O120" s="1" t="n">
        <f aca="false">IF(OR( AND(MONTH(C120)=12,DAY(C120)&gt;=26), AND(MONTH(C120)=4,DAY(C120)&gt;=15), MONTH(C120)=5, AND(MONTH(C120)=6,DAY(C120)&lt;=10) ),1,0)</f>
        <v>1</v>
      </c>
      <c r="P120" s="1" t="str">
        <f aca="false">IF(OR(MONTH(C120)=3,MONTH(C120)=4,MONTH(C120)=5,MONTH(C120)=6), "Summer", IF(OR(MONTH(C120)=7,MONTH(C120)=8,MONTH(C120)=9,MONTH(C120)=10), "Monsoon", "Winter"))</f>
        <v>Summer</v>
      </c>
      <c r="Q120" s="1" t="n">
        <f aca="false">WEEKDAY(C120,2)</f>
        <v>1</v>
      </c>
      <c r="R120" s="0" t="n">
        <f aca="false">ROUNDDOWN(((INT(C120)+MOD(D120,1))-(INT(I120)+MOD(J120,1))),0)</f>
        <v>3</v>
      </c>
      <c r="S120" s="10"/>
    </row>
    <row r="121" customFormat="false" ht="180.95" hidden="false" customHeight="false" outlineLevel="0" collapsed="false">
      <c r="A121" s="8" t="s">
        <v>249</v>
      </c>
      <c r="B121" s="22" t="s">
        <v>250</v>
      </c>
      <c r="C121" s="18" t="n">
        <v>45426.7916666667</v>
      </c>
      <c r="D121" s="19" t="n">
        <v>45426.7916666667</v>
      </c>
      <c r="E121" s="18" t="n">
        <v>45427.75</v>
      </c>
      <c r="F121" s="19" t="n">
        <v>45427.75</v>
      </c>
      <c r="G121" s="20" t="n">
        <v>5000</v>
      </c>
      <c r="H121" s="8" t="n">
        <v>8</v>
      </c>
      <c r="I121" s="10" t="n">
        <v>45426</v>
      </c>
      <c r="J121" s="11" t="n">
        <v>0.775173611109491</v>
      </c>
      <c r="K121" s="1" t="str">
        <f aca="false">IF(L121&gt;24,     IF(H121=2,"Couple Extended Day","Extended Day"), IF(L121&lt;=12,     IF(AND(MOD(D121,1)&gt;=TIME(6,0,0),MOD(D121,1)&lt;TIME(18,0,0)),         IF(H121=2,"Couple Half Day","12H Day"),         IF(H121=2,"Couple Half Night","12H Night")), IF(L121&lt;=24,     IF(AND(MOD(D121,1)&gt;=TIME(6,0,0),MOD(D121,1)&lt;TIME(18,0,0)),         IF(H121=2,"Couple Full Day","24H Day"),         IF(H121=2,"Couple Full Night","24H Night")), "Check Data")))</f>
        <v>24H Night</v>
      </c>
      <c r="L121" s="12" t="n">
        <f aca="false">((INT(E121)+MOD(F121,1))-(INT(C121)+MOD(D121,1)))*24</f>
        <v>22.9999999990105</v>
      </c>
      <c r="M121" s="1" t="n">
        <f aca="false">IFERROR(INDEX(Sheet3!$B$2:$B$500,MATCH(1,(INT(C121)+MOD(D121,1)&lt;INT(Sheet3!$A$2:$A$500)+TIME(18,0,0))*(INT(E121)+MOD(F121,1)&gt;=INT(Sheet3!$A$2:$A$500)),0)),0)</f>
        <v>0</v>
      </c>
      <c r="N121" s="1" t="n">
        <f aca="false">IF(OR( AND(Q121=6,D121&gt;=TIME(17,0,0),OR(K121="12H Night",K121="Couple Half Night",K121="24H Night",K121="Couple Full Night")), AND(Q121=7,D121&gt;=TIME(6,0,0),D121&lt;TIME(12,0,0),OR(K121="12H Day",K121="Couple Half Day",K121="24H Day",K121="Couple Full Day")) ),1,0)</f>
        <v>0</v>
      </c>
      <c r="O121" s="1" t="n">
        <f aca="false">IF(OR( AND(MONTH(C121)=12,DAY(C121)&gt;=26), AND(MONTH(C121)=4,DAY(C121)&gt;=15), MONTH(C121)=5, AND(MONTH(C121)=6,DAY(C121)&lt;=10) ),1,0)</f>
        <v>1</v>
      </c>
      <c r="P121" s="1" t="str">
        <f aca="false">IF(OR(MONTH(C121)=3,MONTH(C121)=4,MONTH(C121)=5,MONTH(C121)=6), "Summer", IF(OR(MONTH(C121)=7,MONTH(C121)=8,MONTH(C121)=9,MONTH(C121)=10), "Monsoon", "Winter"))</f>
        <v>Summer</v>
      </c>
      <c r="Q121" s="1" t="n">
        <f aca="false">WEEKDAY(C121,2)</f>
        <v>2</v>
      </c>
      <c r="R121" s="0" t="n">
        <f aca="false">ROUNDDOWN(((INT(C121)+MOD(D121,1))-(INT(I121)+MOD(J121,1))),0)</f>
        <v>0</v>
      </c>
      <c r="S121" s="10"/>
    </row>
    <row r="122" customFormat="false" ht="180.95" hidden="false" customHeight="false" outlineLevel="0" collapsed="false">
      <c r="A122" s="8" t="s">
        <v>251</v>
      </c>
      <c r="B122" s="22" t="s">
        <v>252</v>
      </c>
      <c r="C122" s="18" t="n">
        <v>45427.7916666667</v>
      </c>
      <c r="D122" s="19" t="n">
        <v>45427.7916666667</v>
      </c>
      <c r="E122" s="18" t="n">
        <v>45428.75</v>
      </c>
      <c r="F122" s="19" t="n">
        <v>45428.75</v>
      </c>
      <c r="G122" s="20" t="n">
        <v>5500</v>
      </c>
      <c r="H122" s="8" t="n">
        <v>13</v>
      </c>
      <c r="I122" s="10" t="n">
        <v>45426</v>
      </c>
      <c r="J122" s="11" t="n">
        <v>0.658854166671516</v>
      </c>
      <c r="K122" s="1" t="str">
        <f aca="false">IF(L122&gt;24,     IF(H122=2,"Couple Extended Day","Extended Day"), IF(L122&lt;=12,     IF(AND(MOD(D122,1)&gt;=TIME(6,0,0),MOD(D122,1)&lt;TIME(18,0,0)),         IF(H122=2,"Couple Half Day","12H Day"),         IF(H122=2,"Couple Half Night","12H Night")), IF(L122&lt;=24,     IF(AND(MOD(D122,1)&gt;=TIME(6,0,0),MOD(D122,1)&lt;TIME(18,0,0)),         IF(H122=2,"Couple Full Day","24H Day"),         IF(H122=2,"Couple Full Night","24H Night")), "Check Data")))</f>
        <v>24H Night</v>
      </c>
      <c r="L122" s="12" t="n">
        <f aca="false">((INT(E122)+MOD(F122,1))-(INT(C122)+MOD(D122,1)))*24</f>
        <v>22.9999999990105</v>
      </c>
      <c r="M122" s="1" t="n">
        <f aca="false">IFERROR(INDEX(Sheet3!$B$2:$B$500,MATCH(1,(INT(C122)+MOD(D122,1)&lt;INT(Sheet3!$A$2:$A$500)+TIME(18,0,0))*(INT(E122)+MOD(F122,1)&gt;=INT(Sheet3!$A$2:$A$500)),0)),0)</f>
        <v>0</v>
      </c>
      <c r="N122" s="1" t="n">
        <f aca="false">IF(OR( AND(Q122=6,D122&gt;=TIME(17,0,0),OR(K122="12H Night",K122="Couple Half Night",K122="24H Night",K122="Couple Full Night")), AND(Q122=7,D122&gt;=TIME(6,0,0),D122&lt;TIME(12,0,0),OR(K122="12H Day",K122="Couple Half Day",K122="24H Day",K122="Couple Full Day")) ),1,0)</f>
        <v>0</v>
      </c>
      <c r="O122" s="1" t="n">
        <f aca="false">IF(OR( AND(MONTH(C122)=12,DAY(C122)&gt;=26), AND(MONTH(C122)=4,DAY(C122)&gt;=15), MONTH(C122)=5, AND(MONTH(C122)=6,DAY(C122)&lt;=10) ),1,0)</f>
        <v>1</v>
      </c>
      <c r="P122" s="1" t="str">
        <f aca="false">IF(OR(MONTH(C122)=3,MONTH(C122)=4,MONTH(C122)=5,MONTH(C122)=6), "Summer", IF(OR(MONTH(C122)=7,MONTH(C122)=8,MONTH(C122)=9,MONTH(C122)=10), "Monsoon", "Winter"))</f>
        <v>Summer</v>
      </c>
      <c r="Q122" s="1" t="n">
        <f aca="false">WEEKDAY(C122,2)</f>
        <v>3</v>
      </c>
      <c r="R122" s="0" t="n">
        <f aca="false">ROUNDDOWN(((INT(C122)+MOD(D122,1))-(INT(I122)+MOD(J122,1))),0)</f>
        <v>1</v>
      </c>
      <c r="S122" s="10"/>
    </row>
    <row r="123" customFormat="false" ht="145.05" hidden="false" customHeight="false" outlineLevel="0" collapsed="false">
      <c r="A123" s="8" t="s">
        <v>253</v>
      </c>
      <c r="B123" s="22" t="s">
        <v>254</v>
      </c>
      <c r="C123" s="18" t="n">
        <v>45429.3333333333</v>
      </c>
      <c r="D123" s="19" t="n">
        <v>0</v>
      </c>
      <c r="E123" s="18" t="n">
        <v>45429.75</v>
      </c>
      <c r="F123" s="19" t="n">
        <v>45429.75</v>
      </c>
      <c r="G123" s="20" t="n">
        <v>4500</v>
      </c>
      <c r="H123" s="8" t="n">
        <v>12</v>
      </c>
      <c r="I123" s="10" t="n">
        <v>45425</v>
      </c>
      <c r="J123" s="11" t="n">
        <v>0.681157407409051</v>
      </c>
      <c r="K123" s="1" t="str">
        <f aca="false">IF(L123&gt;24,     IF(H123=2,"Couple Extended Day","Extended Day"), IF(L123&lt;=12,     IF(AND(MOD(D123,1)&gt;=TIME(6,0,0),MOD(D123,1)&lt;TIME(18,0,0)),         IF(H123=2,"Couple Half Day","12H Day"),         IF(H123=2,"Couple Half Night","12H Night")), IF(L123&lt;=24,     IF(AND(MOD(D123,1)&gt;=TIME(6,0,0),MOD(D123,1)&lt;TIME(18,0,0)),         IF(H123=2,"Couple Full Day","24H Day"),         IF(H123=2,"Couple Full Night","24H Night")), "Check Data")))</f>
        <v>24H Night</v>
      </c>
      <c r="L123" s="12" t="n">
        <f aca="false">((INT(E123)+MOD(F123,1))-(INT(C123)+MOD(D123,1)))*24</f>
        <v>18</v>
      </c>
      <c r="M123" s="1" t="n">
        <f aca="false">IFERROR(INDEX(Sheet3!$B$2:$B$500,MATCH(1,(INT(C123)+MOD(D123,1)&lt;INT(Sheet3!$A$2:$A$500)+TIME(18,0,0))*(INT(E123)+MOD(F123,1)&gt;=INT(Sheet3!$A$2:$A$500)),0)),0)</f>
        <v>0</v>
      </c>
      <c r="N123" s="1" t="n">
        <f aca="false">IF(OR( AND(Q123=6,D123&gt;=TIME(17,0,0),OR(K123="12H Night",K123="Couple Half Night",K123="24H Night",K123="Couple Full Night")), AND(Q123=7,D123&gt;=TIME(6,0,0),D123&lt;TIME(12,0,0),OR(K123="12H Day",K123="Couple Half Day",K123="24H Day",K123="Couple Full Day")) ),1,0)</f>
        <v>0</v>
      </c>
      <c r="O123" s="1" t="n">
        <f aca="false">IF(OR( AND(MONTH(C123)=12,DAY(C123)&gt;=26), AND(MONTH(C123)=4,DAY(C123)&gt;=15), MONTH(C123)=5, AND(MONTH(C123)=6,DAY(C123)&lt;=10) ),1,0)</f>
        <v>1</v>
      </c>
      <c r="P123" s="1" t="str">
        <f aca="false">IF(OR(MONTH(C123)=3,MONTH(C123)=4,MONTH(C123)=5,MONTH(C123)=6), "Summer", IF(OR(MONTH(C123)=7,MONTH(C123)=8,MONTH(C123)=9,MONTH(C123)=10), "Monsoon", "Winter"))</f>
        <v>Summer</v>
      </c>
      <c r="Q123" s="1" t="n">
        <f aca="false">WEEKDAY(C123,2)</f>
        <v>5</v>
      </c>
      <c r="R123" s="0" t="n">
        <f aca="false">ROUNDDOWN(((INT(C123)+MOD(D123,1))-(INT(I123)+MOD(J123,1))),0)</f>
        <v>3</v>
      </c>
      <c r="S123" s="10"/>
    </row>
    <row r="124" customFormat="false" ht="145.05" hidden="false" customHeight="false" outlineLevel="0" collapsed="false">
      <c r="A124" s="8" t="s">
        <v>255</v>
      </c>
      <c r="B124" s="22" t="s">
        <v>256</v>
      </c>
      <c r="C124" s="18" t="n">
        <v>45429.7916666667</v>
      </c>
      <c r="D124" s="19" t="n">
        <v>45429.7916666667</v>
      </c>
      <c r="E124" s="18" t="n">
        <v>45430.75</v>
      </c>
      <c r="F124" s="19" t="n">
        <v>45430.75</v>
      </c>
      <c r="G124" s="20" t="n">
        <v>5000</v>
      </c>
      <c r="H124" s="8" t="n">
        <v>16</v>
      </c>
      <c r="I124" s="10" t="n">
        <v>45422</v>
      </c>
      <c r="J124" s="11" t="n">
        <v>0.921585648145995</v>
      </c>
      <c r="K124" s="1" t="str">
        <f aca="false">IF(L124&gt;24,     IF(H124=2,"Couple Extended Day","Extended Day"), IF(L124&lt;=12,     IF(AND(MOD(D124,1)&gt;=TIME(6,0,0),MOD(D124,1)&lt;TIME(18,0,0)),         IF(H124=2,"Couple Half Day","12H Day"),         IF(H124=2,"Couple Half Night","12H Night")), IF(L124&lt;=24,     IF(AND(MOD(D124,1)&gt;=TIME(6,0,0),MOD(D124,1)&lt;TIME(18,0,0)),         IF(H124=2,"Couple Full Day","24H Day"),         IF(H124=2,"Couple Full Night","24H Night")), "Check Data")))</f>
        <v>24H Night</v>
      </c>
      <c r="L124" s="12" t="n">
        <f aca="false">((INT(E124)+MOD(F124,1))-(INT(C124)+MOD(D124,1)))*24</f>
        <v>22.9999999990105</v>
      </c>
      <c r="M124" s="1" t="n">
        <f aca="false">IFERROR(INDEX(Sheet3!$B$2:$B$500,MATCH(1,(INT(C124)+MOD(D124,1)&lt;INT(Sheet3!$A$2:$A$500)+TIME(18,0,0))*(INT(E124)+MOD(F124,1)&gt;=INT(Sheet3!$A$2:$A$500)),0)),0)</f>
        <v>0</v>
      </c>
      <c r="N124" s="1" t="n">
        <f aca="false">IF(OR( AND(Q124=6,D124&gt;=TIME(17,0,0),OR(K124="12H Night",K124="Couple Half Night",K124="24H Night",K124="Couple Full Night")), AND(Q124=7,D124&gt;=TIME(6,0,0),D124&lt;TIME(12,0,0),OR(K124="12H Day",K124="Couple Half Day",K124="24H Day",K124="Couple Full Day")) ),1,0)</f>
        <v>0</v>
      </c>
      <c r="O124" s="1" t="n">
        <f aca="false">IF(OR( AND(MONTH(C124)=12,DAY(C124)&gt;=26), AND(MONTH(C124)=4,DAY(C124)&gt;=15), MONTH(C124)=5, AND(MONTH(C124)=6,DAY(C124)&lt;=10) ),1,0)</f>
        <v>1</v>
      </c>
      <c r="P124" s="1" t="str">
        <f aca="false">IF(OR(MONTH(C124)=3,MONTH(C124)=4,MONTH(C124)=5,MONTH(C124)=6), "Summer", IF(OR(MONTH(C124)=7,MONTH(C124)=8,MONTH(C124)=9,MONTH(C124)=10), "Monsoon", "Winter"))</f>
        <v>Summer</v>
      </c>
      <c r="Q124" s="1" t="n">
        <f aca="false">WEEKDAY(C124,2)</f>
        <v>5</v>
      </c>
      <c r="R124" s="0" t="n">
        <f aca="false">ROUNDDOWN(((INT(C124)+MOD(D124,1))-(INT(I124)+MOD(J124,1))),0)</f>
        <v>6</v>
      </c>
      <c r="S124" s="10"/>
    </row>
    <row r="125" customFormat="false" ht="192.95" hidden="false" customHeight="false" outlineLevel="0" collapsed="false">
      <c r="A125" s="8" t="s">
        <v>178</v>
      </c>
      <c r="B125" s="22" t="s">
        <v>257</v>
      </c>
      <c r="C125" s="18" t="n">
        <v>45430.7916666667</v>
      </c>
      <c r="D125" s="19" t="n">
        <v>45430.7916666667</v>
      </c>
      <c r="E125" s="18" t="n">
        <v>45431.75</v>
      </c>
      <c r="F125" s="19" t="n">
        <v>45431.75</v>
      </c>
      <c r="G125" s="20" t="n">
        <v>13000</v>
      </c>
      <c r="H125" s="8" t="n">
        <v>15</v>
      </c>
      <c r="I125" s="10" t="n">
        <v>45424</v>
      </c>
      <c r="J125" s="11" t="n">
        <v>0.953252314815475</v>
      </c>
      <c r="K125" s="1" t="str">
        <f aca="false">IF(L125&gt;24,     IF(H125=2,"Couple Extended Day","Extended Day"), IF(L125&lt;=12,     IF(AND(MOD(D125,1)&gt;=TIME(6,0,0),MOD(D125,1)&lt;TIME(18,0,0)),         IF(H125=2,"Couple Half Day","12H Day"),         IF(H125=2,"Couple Half Night","12H Night")), IF(L125&lt;=24,     IF(AND(MOD(D125,1)&gt;=TIME(6,0,0),MOD(D125,1)&lt;TIME(18,0,0)),         IF(H125=2,"Couple Full Day","24H Day"),         IF(H125=2,"Couple Full Night","24H Night")), "Check Data")))</f>
        <v>24H Night</v>
      </c>
      <c r="L125" s="12" t="n">
        <f aca="false">((INT(E125)+MOD(F125,1))-(INT(C125)+MOD(D125,1)))*24</f>
        <v>22.9999999990105</v>
      </c>
      <c r="M125" s="1" t="n">
        <f aca="false">IFERROR(INDEX(Sheet3!$B$2:$B$500,MATCH(1,(INT(C125)+MOD(D125,1)&lt;INT(Sheet3!$A$2:$A$500)+TIME(18,0,0))*(INT(E125)+MOD(F125,1)&gt;=INT(Sheet3!$A$2:$A$500)),0)),0)</f>
        <v>0</v>
      </c>
      <c r="N125" s="1" t="n">
        <f aca="false">IF(OR( AND(Q125=6,D125&gt;=TIME(17,0,0),OR(K125="12H Night",K125="Couple Half Night",K125="24H Night",K125="Couple Full Night")), AND(Q125=7,D125&gt;=TIME(6,0,0),D125&lt;TIME(12,0,0),OR(K125="12H Day",K125="Couple Half Day",K125="24H Day",K125="Couple Full Day")) ),1,0)</f>
        <v>1</v>
      </c>
      <c r="O125" s="1" t="n">
        <f aca="false">IF(OR( AND(MONTH(C125)=12,DAY(C125)&gt;=26), AND(MONTH(C125)=4,DAY(C125)&gt;=15), MONTH(C125)=5, AND(MONTH(C125)=6,DAY(C125)&lt;=10) ),1,0)</f>
        <v>1</v>
      </c>
      <c r="P125" s="1" t="str">
        <f aca="false">IF(OR(MONTH(C125)=3,MONTH(C125)=4,MONTH(C125)=5,MONTH(C125)=6), "Summer", IF(OR(MONTH(C125)=7,MONTH(C125)=8,MONTH(C125)=9,MONTH(C125)=10), "Monsoon", "Winter"))</f>
        <v>Summer</v>
      </c>
      <c r="Q125" s="1" t="n">
        <f aca="false">WEEKDAY(C125,2)</f>
        <v>6</v>
      </c>
      <c r="R125" s="0" t="n">
        <f aca="false">ROUNDDOWN(((INT(C125)+MOD(D125,1))-(INT(I125)+MOD(J125,1))),0)</f>
        <v>5</v>
      </c>
      <c r="S125" s="10"/>
    </row>
    <row r="126" customFormat="false" ht="180.95" hidden="false" customHeight="false" outlineLevel="0" collapsed="false">
      <c r="A126" s="8" t="s">
        <v>258</v>
      </c>
      <c r="B126" s="22" t="s">
        <v>259</v>
      </c>
      <c r="C126" s="18" t="n">
        <v>45431.7916666667</v>
      </c>
      <c r="D126" s="19" t="n">
        <v>45431.7916666667</v>
      </c>
      <c r="E126" s="18" t="n">
        <v>45432.75</v>
      </c>
      <c r="F126" s="19" t="n">
        <v>45432.75</v>
      </c>
      <c r="G126" s="20" t="n">
        <v>6000</v>
      </c>
      <c r="H126" s="8" t="n">
        <v>15</v>
      </c>
      <c r="I126" s="10" t="n">
        <v>45429</v>
      </c>
      <c r="J126" s="11" t="n">
        <v>0.716168981482037</v>
      </c>
      <c r="K126" s="1" t="str">
        <f aca="false">IF(L126&gt;24,     IF(H126=2,"Couple Extended Day","Extended Day"), IF(L126&lt;=12,     IF(AND(MOD(D126,1)&gt;=TIME(6,0,0),MOD(D126,1)&lt;TIME(18,0,0)),         IF(H126=2,"Couple Half Day","12H Day"),         IF(H126=2,"Couple Half Night","12H Night")), IF(L126&lt;=24,     IF(AND(MOD(D126,1)&gt;=TIME(6,0,0),MOD(D126,1)&lt;TIME(18,0,0)),         IF(H126=2,"Couple Full Day","24H Day"),         IF(H126=2,"Couple Full Night","24H Night")), "Check Data")))</f>
        <v>24H Night</v>
      </c>
      <c r="L126" s="12" t="n">
        <f aca="false">((INT(E126)+MOD(F126,1))-(INT(C126)+MOD(D126,1)))*24</f>
        <v>22.9999999990105</v>
      </c>
      <c r="M126" s="1" t="n">
        <f aca="false">IFERROR(INDEX(Sheet3!$B$2:$B$500,MATCH(1,(INT(C126)+MOD(D126,1)&lt;INT(Sheet3!$A$2:$A$500)+TIME(18,0,0))*(INT(E126)+MOD(F126,1)&gt;=INT(Sheet3!$A$2:$A$500)),0)),0)</f>
        <v>0</v>
      </c>
      <c r="N126" s="1" t="n">
        <f aca="false">IF(OR( AND(Q126=6,D126&gt;=TIME(17,0,0),OR(K126="12H Night",K126="Couple Half Night",K126="24H Night",K126="Couple Full Night")), AND(Q126=7,D126&gt;=TIME(6,0,0),D126&lt;TIME(12,0,0),OR(K126="12H Day",K126="Couple Half Day",K126="24H Day",K126="Couple Full Day")) ),1,0)</f>
        <v>0</v>
      </c>
      <c r="O126" s="1" t="n">
        <f aca="false">IF(OR( AND(MONTH(C126)=12,DAY(C126)&gt;=26), AND(MONTH(C126)=4,DAY(C126)&gt;=15), MONTH(C126)=5, AND(MONTH(C126)=6,DAY(C126)&lt;=10) ),1,0)</f>
        <v>1</v>
      </c>
      <c r="P126" s="1" t="str">
        <f aca="false">IF(OR(MONTH(C126)=3,MONTH(C126)=4,MONTH(C126)=5,MONTH(C126)=6), "Summer", IF(OR(MONTH(C126)=7,MONTH(C126)=8,MONTH(C126)=9,MONTH(C126)=10), "Monsoon", "Winter"))</f>
        <v>Summer</v>
      </c>
      <c r="Q126" s="1" t="n">
        <f aca="false">WEEKDAY(C126,2)</f>
        <v>7</v>
      </c>
      <c r="R126" s="0" t="n">
        <f aca="false">ROUNDDOWN(((INT(C126)+MOD(D126,1))-(INT(I126)+MOD(J126,1))),0)</f>
        <v>2</v>
      </c>
      <c r="S126" s="10"/>
    </row>
    <row r="127" customFormat="false" ht="145.05" hidden="false" customHeight="false" outlineLevel="0" collapsed="false">
      <c r="A127" s="8" t="s">
        <v>260</v>
      </c>
      <c r="B127" s="22" t="s">
        <v>261</v>
      </c>
      <c r="C127" s="18" t="n">
        <v>45432.7916666667</v>
      </c>
      <c r="D127" s="19" t="n">
        <v>45432.7916666667</v>
      </c>
      <c r="E127" s="18" t="n">
        <v>45433.2916666667</v>
      </c>
      <c r="F127" s="19" t="n">
        <v>45433.2916666667</v>
      </c>
      <c r="G127" s="20" t="n">
        <v>4000</v>
      </c>
      <c r="H127" s="8" t="n">
        <v>10</v>
      </c>
      <c r="I127" s="10" t="n">
        <v>45430</v>
      </c>
      <c r="J127" s="11" t="n">
        <v>0.565092592587465</v>
      </c>
      <c r="K127" s="1" t="str">
        <f aca="false">IF(L127&gt;24,     IF(H127=2,"Couple Extended Day","Extended Day"), IF(L127&lt;=12,     IF(AND(MOD(D127,1)&gt;=TIME(6,0,0),MOD(D127,1)&lt;TIME(18,0,0)),         IF(H127=2,"Couple Half Day","12H Day"),         IF(H127=2,"Couple Half Night","12H Night")), IF(L127&lt;=24,     IF(AND(MOD(D127,1)&gt;=TIME(6,0,0),MOD(D127,1)&lt;TIME(18,0,0)),         IF(H127=2,"Couple Full Day","24H Day"),         IF(H127=2,"Couple Full Night","24H Night")), "Check Data")))</f>
        <v>12H Night</v>
      </c>
      <c r="L127" s="12" t="n">
        <f aca="false">((INT(E127)+MOD(F127,1))-(INT(C127)+MOD(D127,1)))*24</f>
        <v>12</v>
      </c>
      <c r="M127" s="1" t="n">
        <f aca="false">IFERROR(INDEX(Sheet3!$B$2:$B$500,MATCH(1,(INT(C127)+MOD(D127,1)&lt;INT(Sheet3!$A$2:$A$500)+TIME(18,0,0))*(INT(E127)+MOD(F127,1)&gt;=INT(Sheet3!$A$2:$A$500)),0)),0)</f>
        <v>0</v>
      </c>
      <c r="N127" s="1" t="n">
        <f aca="false">IF(OR( AND(Q127=6,D127&gt;=TIME(17,0,0),OR(K127="12H Night",K127="Couple Half Night",K127="24H Night",K127="Couple Full Night")), AND(Q127=7,D127&gt;=TIME(6,0,0),D127&lt;TIME(12,0,0),OR(K127="12H Day",K127="Couple Half Day",K127="24H Day",K127="Couple Full Day")) ),1,0)</f>
        <v>0</v>
      </c>
      <c r="O127" s="1" t="n">
        <f aca="false">IF(OR( AND(MONTH(C127)=12,DAY(C127)&gt;=26), AND(MONTH(C127)=4,DAY(C127)&gt;=15), MONTH(C127)=5, AND(MONTH(C127)=6,DAY(C127)&lt;=10) ),1,0)</f>
        <v>1</v>
      </c>
      <c r="P127" s="1" t="str">
        <f aca="false">IF(OR(MONTH(C127)=3,MONTH(C127)=4,MONTH(C127)=5,MONTH(C127)=6), "Summer", IF(OR(MONTH(C127)=7,MONTH(C127)=8,MONTH(C127)=9,MONTH(C127)=10), "Monsoon", "Winter"))</f>
        <v>Summer</v>
      </c>
      <c r="Q127" s="1" t="n">
        <f aca="false">WEEKDAY(C127,2)</f>
        <v>1</v>
      </c>
      <c r="R127" s="0" t="n">
        <f aca="false">ROUNDDOWN(((INT(C127)+MOD(D127,1))-(INT(I127)+MOD(J127,1))),0)</f>
        <v>2</v>
      </c>
      <c r="S127" s="10"/>
    </row>
    <row r="128" customFormat="false" ht="121.1" hidden="false" customHeight="false" outlineLevel="0" collapsed="false">
      <c r="A128" s="8" t="s">
        <v>262</v>
      </c>
      <c r="B128" s="22" t="s">
        <v>263</v>
      </c>
      <c r="C128" s="18" t="n">
        <v>45433.3541666667</v>
      </c>
      <c r="D128" s="19" t="n">
        <v>45433.3541666667</v>
      </c>
      <c r="E128" s="18" t="n">
        <v>45433.75</v>
      </c>
      <c r="F128" s="19" t="n">
        <v>45433.75</v>
      </c>
      <c r="G128" s="20" t="n">
        <v>3500</v>
      </c>
      <c r="H128" s="8" t="n">
        <v>10</v>
      </c>
      <c r="I128" s="10" t="n">
        <v>45433</v>
      </c>
      <c r="J128" s="11" t="n">
        <v>0.00101851852377315</v>
      </c>
      <c r="K128" s="1" t="str">
        <f aca="false">IF(L128&gt;24,     IF(H128=2,"Couple Extended Day","Extended Day"), IF(L128&lt;=12,     IF(AND(MOD(D128,1)&gt;=TIME(6,0,0),MOD(D128,1)&lt;TIME(18,0,0)),         IF(H128=2,"Couple Half Day","12H Day"),         IF(H128=2,"Couple Half Night","12H Night")), IF(L128&lt;=24,     IF(AND(MOD(D128,1)&gt;=TIME(6,0,0),MOD(D128,1)&lt;TIME(18,0,0)),         IF(H128=2,"Couple Full Day","24H Day"),         IF(H128=2,"Couple Full Night","24H Night")), "Check Data")))</f>
        <v>12H Day</v>
      </c>
      <c r="L128" s="12" t="n">
        <f aca="false">((INT(E128)+MOD(F128,1))-(INT(C128)+MOD(D128,1)))*24</f>
        <v>9.49999999901047</v>
      </c>
      <c r="M128" s="1" t="n">
        <f aca="false">IFERROR(INDEX(Sheet3!$B$2:$B$500,MATCH(1,(INT(C128)+MOD(D128,1)&lt;INT(Sheet3!$A$2:$A$500)+TIME(18,0,0))*(INT(E128)+MOD(F128,1)&gt;=INT(Sheet3!$A$2:$A$500)),0)),0)</f>
        <v>0</v>
      </c>
      <c r="N128" s="1" t="n">
        <f aca="false">IF(OR( AND(Q128=6,D128&gt;=TIME(17,0,0),OR(K128="12H Night",K128="Couple Half Night",K128="24H Night",K128="Couple Full Night")), AND(Q128=7,D128&gt;=TIME(6,0,0),D128&lt;TIME(12,0,0),OR(K128="12H Day",K128="Couple Half Day",K128="24H Day",K128="Couple Full Day")) ),1,0)</f>
        <v>0</v>
      </c>
      <c r="O128" s="1" t="n">
        <f aca="false">IF(OR( AND(MONTH(C128)=12,DAY(C128)&gt;=26), AND(MONTH(C128)=4,DAY(C128)&gt;=15), MONTH(C128)=5, AND(MONTH(C128)=6,DAY(C128)&lt;=10) ),1,0)</f>
        <v>1</v>
      </c>
      <c r="P128" s="1" t="str">
        <f aca="false">IF(OR(MONTH(C128)=3,MONTH(C128)=4,MONTH(C128)=5,MONTH(C128)=6), "Summer", IF(OR(MONTH(C128)=7,MONTH(C128)=8,MONTH(C128)=9,MONTH(C128)=10), "Monsoon", "Winter"))</f>
        <v>Summer</v>
      </c>
      <c r="Q128" s="1" t="n">
        <f aca="false">WEEKDAY(C128,2)</f>
        <v>2</v>
      </c>
      <c r="R128" s="0" t="n">
        <f aca="false">ROUNDDOWN(((INT(C128)+MOD(D128,1))-(INT(I128)+MOD(J128,1))),0)</f>
        <v>0</v>
      </c>
      <c r="S128" s="10"/>
    </row>
    <row r="129" customFormat="false" ht="145.05" hidden="false" customHeight="false" outlineLevel="0" collapsed="false">
      <c r="A129" s="8" t="s">
        <v>264</v>
      </c>
      <c r="B129" s="22" t="s">
        <v>265</v>
      </c>
      <c r="C129" s="18" t="n">
        <v>45433.7916666667</v>
      </c>
      <c r="D129" s="19" t="n">
        <v>45433.7916666667</v>
      </c>
      <c r="E129" s="18" t="n">
        <v>45434.75</v>
      </c>
      <c r="F129" s="19" t="n">
        <v>45434.75</v>
      </c>
      <c r="G129" s="20" t="n">
        <v>5000</v>
      </c>
      <c r="H129" s="8" t="n">
        <v>14</v>
      </c>
      <c r="I129" s="10" t="n">
        <v>45428</v>
      </c>
      <c r="J129" s="11" t="n">
        <v>0.648148148145995</v>
      </c>
      <c r="K129" s="1" t="str">
        <f aca="false">IF(L129&gt;24,     IF(H129=2,"Couple Extended Day","Extended Day"), IF(L129&lt;=12,     IF(AND(MOD(D129,1)&gt;=TIME(6,0,0),MOD(D129,1)&lt;TIME(18,0,0)),         IF(H129=2,"Couple Half Day","12H Day"),         IF(H129=2,"Couple Half Night","12H Night")), IF(L129&lt;=24,     IF(AND(MOD(D129,1)&gt;=TIME(6,0,0),MOD(D129,1)&lt;TIME(18,0,0)),         IF(H129=2,"Couple Full Day","24H Day"),         IF(H129=2,"Couple Full Night","24H Night")), "Check Data")))</f>
        <v>24H Night</v>
      </c>
      <c r="L129" s="12" t="n">
        <f aca="false">((INT(E129)+MOD(F129,1))-(INT(C129)+MOD(D129,1)))*24</f>
        <v>22.9999999990105</v>
      </c>
      <c r="M129" s="1" t="n">
        <f aca="false">IFERROR(INDEX(Sheet3!$B$2:$B$500,MATCH(1,(INT(C129)+MOD(D129,1)&lt;INT(Sheet3!$A$2:$A$500)+TIME(18,0,0))*(INT(E129)+MOD(F129,1)&gt;=INT(Sheet3!$A$2:$A$500)),0)),0)</f>
        <v>0</v>
      </c>
      <c r="N129" s="1" t="n">
        <f aca="false">IF(OR( AND(Q129=6,D129&gt;=TIME(17,0,0),OR(K129="12H Night",K129="Couple Half Night",K129="24H Night",K129="Couple Full Night")), AND(Q129=7,D129&gt;=TIME(6,0,0),D129&lt;TIME(12,0,0),OR(K129="12H Day",K129="Couple Half Day",K129="24H Day",K129="Couple Full Day")) ),1,0)</f>
        <v>0</v>
      </c>
      <c r="O129" s="1" t="n">
        <f aca="false">IF(OR( AND(MONTH(C129)=12,DAY(C129)&gt;=26), AND(MONTH(C129)=4,DAY(C129)&gt;=15), MONTH(C129)=5, AND(MONTH(C129)=6,DAY(C129)&lt;=10) ),1,0)</f>
        <v>1</v>
      </c>
      <c r="P129" s="1" t="str">
        <f aca="false">IF(OR(MONTH(C129)=3,MONTH(C129)=4,MONTH(C129)=5,MONTH(C129)=6), "Summer", IF(OR(MONTH(C129)=7,MONTH(C129)=8,MONTH(C129)=9,MONTH(C129)=10), "Monsoon", "Winter"))</f>
        <v>Summer</v>
      </c>
      <c r="Q129" s="1" t="n">
        <f aca="false">WEEKDAY(C129,2)</f>
        <v>2</v>
      </c>
      <c r="R129" s="0" t="n">
        <f aca="false">ROUNDDOWN(((INT(C129)+MOD(D129,1))-(INT(I129)+MOD(J129,1))),0)</f>
        <v>5</v>
      </c>
      <c r="S129" s="10"/>
    </row>
    <row r="130" customFormat="false" ht="121.1" hidden="false" customHeight="false" outlineLevel="0" collapsed="false">
      <c r="A130" s="8" t="s">
        <v>266</v>
      </c>
      <c r="B130" s="22" t="s">
        <v>267</v>
      </c>
      <c r="C130" s="18" t="n">
        <v>45434.7916666667</v>
      </c>
      <c r="D130" s="19" t="n">
        <v>45434.7916666667</v>
      </c>
      <c r="E130" s="18" t="n">
        <v>45435.75</v>
      </c>
      <c r="F130" s="19" t="n">
        <v>45435.75</v>
      </c>
      <c r="G130" s="20" t="n">
        <v>3000</v>
      </c>
      <c r="H130" s="8" t="n">
        <v>15</v>
      </c>
      <c r="I130" s="10" t="n">
        <v>45424</v>
      </c>
      <c r="J130" s="11" t="n">
        <v>0.957939814819838</v>
      </c>
      <c r="K130" s="1" t="str">
        <f aca="false">IF(L130&gt;24,     IF(H130=2,"Couple Extended Day","Extended Day"), IF(L130&lt;=12,     IF(AND(MOD(D130,1)&gt;=TIME(6,0,0),MOD(D130,1)&lt;TIME(18,0,0)),         IF(H130=2,"Couple Half Day","12H Day"),         IF(H130=2,"Couple Half Night","12H Night")), IF(L130&lt;=24,     IF(AND(MOD(D130,1)&gt;=TIME(6,0,0),MOD(D130,1)&lt;TIME(18,0,0)),         IF(H130=2,"Couple Full Day","24H Day"),         IF(H130=2,"Couple Full Night","24H Night")), "Check Data")))</f>
        <v>24H Night</v>
      </c>
      <c r="L130" s="12" t="n">
        <f aca="false">((INT(E130)+MOD(F130,1))-(INT(C130)+MOD(D130,1)))*24</f>
        <v>22.9999999990105</v>
      </c>
      <c r="M130" s="1" t="str">
        <f aca="false">IFERROR(INDEX(Sheet3!$B$2:$B$500,MATCH(1,(INT(C130)+MOD(D130,1)&lt;INT(Sheet3!$A$2:$A$500)+TIME(18,0,0))*(INT(E130)+MOD(F130,1)&gt;=INT(Sheet3!$A$2:$A$500)),0)),0)</f>
        <v>Buddha Purnima</v>
      </c>
      <c r="N130" s="1" t="n">
        <f aca="false">IF(OR( AND(Q130=6,D130&gt;=TIME(17,0,0),OR(K130="12H Night",K130="Couple Half Night",K130="24H Night",K130="Couple Full Night")), AND(Q130=7,D130&gt;=TIME(6,0,0),D130&lt;TIME(12,0,0),OR(K130="12H Day",K130="Couple Half Day",K130="24H Day",K130="Couple Full Day")) ),1,0)</f>
        <v>0</v>
      </c>
      <c r="O130" s="1" t="n">
        <f aca="false">IF(OR( AND(MONTH(C130)=12,DAY(C130)&gt;=26), AND(MONTH(C130)=4,DAY(C130)&gt;=15), MONTH(C130)=5, AND(MONTH(C130)=6,DAY(C130)&lt;=10) ),1,0)</f>
        <v>1</v>
      </c>
      <c r="P130" s="1" t="str">
        <f aca="false">IF(OR(MONTH(C130)=3,MONTH(C130)=4,MONTH(C130)=5,MONTH(C130)=6), "Summer", IF(OR(MONTH(C130)=7,MONTH(C130)=8,MONTH(C130)=9,MONTH(C130)=10), "Monsoon", "Winter"))</f>
        <v>Summer</v>
      </c>
      <c r="Q130" s="1" t="n">
        <f aca="false">WEEKDAY(C130,2)</f>
        <v>3</v>
      </c>
      <c r="R130" s="0" t="n">
        <f aca="false">ROUNDDOWN(((INT(C130)+MOD(D130,1))-(INT(I130)+MOD(J130,1))),0)</f>
        <v>9</v>
      </c>
      <c r="S130" s="10"/>
    </row>
    <row r="131" customFormat="false" ht="180.95" hidden="false" customHeight="false" outlineLevel="0" collapsed="false">
      <c r="A131" s="8" t="s">
        <v>268</v>
      </c>
      <c r="B131" s="22" t="s">
        <v>269</v>
      </c>
      <c r="C131" s="18" t="n">
        <v>45435.7916666667</v>
      </c>
      <c r="D131" s="19" t="n">
        <v>45435.7916666667</v>
      </c>
      <c r="E131" s="18" t="n">
        <v>45436.75</v>
      </c>
      <c r="F131" s="19" t="n">
        <v>45436.75</v>
      </c>
      <c r="G131" s="20" t="n">
        <v>6000</v>
      </c>
      <c r="H131" s="8" t="n">
        <v>15</v>
      </c>
      <c r="I131" s="10" t="n">
        <v>45429</v>
      </c>
      <c r="J131" s="11" t="n">
        <v>0.490729166667732</v>
      </c>
      <c r="K131" s="1" t="str">
        <f aca="false">IF(L131&gt;24,     IF(H131=2,"Couple Extended Day","Extended Day"), IF(L131&lt;=12,     IF(AND(MOD(D131,1)&gt;=TIME(6,0,0),MOD(D131,1)&lt;TIME(18,0,0)),         IF(H131=2,"Couple Half Day","12H Day"),         IF(H131=2,"Couple Half Night","12H Night")), IF(L131&lt;=24,     IF(AND(MOD(D131,1)&gt;=TIME(6,0,0),MOD(D131,1)&lt;TIME(18,0,0)),         IF(H131=2,"Couple Full Day","24H Day"),         IF(H131=2,"Couple Full Night","24H Night")), "Check Data")))</f>
        <v>24H Night</v>
      </c>
      <c r="L131" s="12" t="n">
        <f aca="false">((INT(E131)+MOD(F131,1))-(INT(C131)+MOD(D131,1)))*24</f>
        <v>22.9999999990105</v>
      </c>
      <c r="M131" s="1" t="n">
        <f aca="false">IFERROR(INDEX(Sheet3!$B$2:$B$500,MATCH(1,(INT(C131)+MOD(D131,1)&lt;INT(Sheet3!$A$2:$A$500)+TIME(18,0,0))*(INT(E131)+MOD(F131,1)&gt;=INT(Sheet3!$A$2:$A$500)),0)),0)</f>
        <v>0</v>
      </c>
      <c r="N131" s="1" t="n">
        <f aca="false">IF(OR( AND(Q131=6,D131&gt;=TIME(17,0,0),OR(K131="12H Night",K131="Couple Half Night",K131="24H Night",K131="Couple Full Night")), AND(Q131=7,D131&gt;=TIME(6,0,0),D131&lt;TIME(12,0,0),OR(K131="12H Day",K131="Couple Half Day",K131="24H Day",K131="Couple Full Day")) ),1,0)</f>
        <v>0</v>
      </c>
      <c r="O131" s="1" t="n">
        <f aca="false">IF(OR( AND(MONTH(C131)=12,DAY(C131)&gt;=26), AND(MONTH(C131)=4,DAY(C131)&gt;=15), MONTH(C131)=5, AND(MONTH(C131)=6,DAY(C131)&lt;=10) ),1,0)</f>
        <v>1</v>
      </c>
      <c r="P131" s="1" t="str">
        <f aca="false">IF(OR(MONTH(C131)=3,MONTH(C131)=4,MONTH(C131)=5,MONTH(C131)=6), "Summer", IF(OR(MONTH(C131)=7,MONTH(C131)=8,MONTH(C131)=9,MONTH(C131)=10), "Monsoon", "Winter"))</f>
        <v>Summer</v>
      </c>
      <c r="Q131" s="1" t="n">
        <f aca="false">WEEKDAY(C131,2)</f>
        <v>4</v>
      </c>
      <c r="R131" s="0" t="n">
        <f aca="false">ROUNDDOWN(((INT(C131)+MOD(D131,1))-(INT(I131)+MOD(J131,1))),0)</f>
        <v>6</v>
      </c>
      <c r="S131" s="10"/>
    </row>
    <row r="132" customFormat="false" ht="145.05" hidden="false" customHeight="false" outlineLevel="0" collapsed="false">
      <c r="A132" s="8" t="s">
        <v>270</v>
      </c>
      <c r="B132" s="22" t="s">
        <v>271</v>
      </c>
      <c r="C132" s="18" t="n">
        <v>45436.7916666667</v>
      </c>
      <c r="D132" s="19" t="n">
        <v>45436.7916666667</v>
      </c>
      <c r="E132" s="18" t="n">
        <v>45437.75</v>
      </c>
      <c r="F132" s="19" t="n">
        <v>45437.75</v>
      </c>
      <c r="G132" s="20" t="n">
        <v>6000</v>
      </c>
      <c r="H132" s="8" t="n">
        <v>12</v>
      </c>
      <c r="I132" s="10" t="n">
        <v>45434</v>
      </c>
      <c r="J132" s="11" t="n">
        <v>0.65331018518191</v>
      </c>
      <c r="K132" s="1" t="str">
        <f aca="false">IF(L132&gt;24,     IF(H132=2,"Couple Extended Day","Extended Day"), IF(L132&lt;=12,     IF(AND(MOD(D132,1)&gt;=TIME(6,0,0),MOD(D132,1)&lt;TIME(18,0,0)),         IF(H132=2,"Couple Half Day","12H Day"),         IF(H132=2,"Couple Half Night","12H Night")), IF(L132&lt;=24,     IF(AND(MOD(D132,1)&gt;=TIME(6,0,0),MOD(D132,1)&lt;TIME(18,0,0)),         IF(H132=2,"Couple Full Day","24H Day"),         IF(H132=2,"Couple Full Night","24H Night")), "Check Data")))</f>
        <v>24H Night</v>
      </c>
      <c r="L132" s="12" t="n">
        <f aca="false">((INT(E132)+MOD(F132,1))-(INT(C132)+MOD(D132,1)))*24</f>
        <v>22.9999999990105</v>
      </c>
      <c r="M132" s="1" t="n">
        <f aca="false">IFERROR(INDEX(Sheet3!$B$2:$B$500,MATCH(1,(INT(C132)+MOD(D132,1)&lt;INT(Sheet3!$A$2:$A$500)+TIME(18,0,0))*(INT(E132)+MOD(F132,1)&gt;=INT(Sheet3!$A$2:$A$500)),0)),0)</f>
        <v>0</v>
      </c>
      <c r="N132" s="1" t="n">
        <f aca="false">IF(OR( AND(Q132=6,D132&gt;=TIME(17,0,0),OR(K132="12H Night",K132="Couple Half Night",K132="24H Night",K132="Couple Full Night")), AND(Q132=7,D132&gt;=TIME(6,0,0),D132&lt;TIME(12,0,0),OR(K132="12H Day",K132="Couple Half Day",K132="24H Day",K132="Couple Full Day")) ),1,0)</f>
        <v>0</v>
      </c>
      <c r="O132" s="1" t="n">
        <f aca="false">IF(OR( AND(MONTH(C132)=12,DAY(C132)&gt;=26), AND(MONTH(C132)=4,DAY(C132)&gt;=15), MONTH(C132)=5, AND(MONTH(C132)=6,DAY(C132)&lt;=10) ),1,0)</f>
        <v>1</v>
      </c>
      <c r="P132" s="1" t="str">
        <f aca="false">IF(OR(MONTH(C132)=3,MONTH(C132)=4,MONTH(C132)=5,MONTH(C132)=6), "Summer", IF(OR(MONTH(C132)=7,MONTH(C132)=8,MONTH(C132)=9,MONTH(C132)=10), "Monsoon", "Winter"))</f>
        <v>Summer</v>
      </c>
      <c r="Q132" s="1" t="n">
        <f aca="false">WEEKDAY(C132,2)</f>
        <v>5</v>
      </c>
      <c r="R132" s="0" t="n">
        <f aca="false">ROUNDDOWN(((INT(C132)+MOD(D132,1))-(INT(I132)+MOD(J132,1))),0)</f>
        <v>2</v>
      </c>
      <c r="S132" s="10"/>
    </row>
    <row r="133" customFormat="false" ht="145.05" hidden="false" customHeight="false" outlineLevel="0" collapsed="false">
      <c r="A133" s="8" t="s">
        <v>268</v>
      </c>
      <c r="B133" s="22" t="s">
        <v>272</v>
      </c>
      <c r="C133" s="18" t="n">
        <v>45437.7916666667</v>
      </c>
      <c r="D133" s="19" t="n">
        <v>45437.7916666667</v>
      </c>
      <c r="E133" s="18" t="n">
        <v>45438.75</v>
      </c>
      <c r="F133" s="19" t="n">
        <v>45438.75</v>
      </c>
      <c r="G133" s="20" t="n">
        <v>13000</v>
      </c>
      <c r="H133" s="8" t="n">
        <v>15</v>
      </c>
      <c r="I133" s="10" t="n">
        <v>45436</v>
      </c>
      <c r="J133" s="11" t="n">
        <v>0.588310185186852</v>
      </c>
      <c r="K133" s="1" t="str">
        <f aca="false">IF(L133&gt;24,     IF(H133=2,"Couple Extended Day","Extended Day"), IF(L133&lt;=12,     IF(AND(MOD(D133,1)&gt;=TIME(6,0,0),MOD(D133,1)&lt;TIME(18,0,0)),         IF(H133=2,"Couple Half Day","12H Day"),         IF(H133=2,"Couple Half Night","12H Night")), IF(L133&lt;=24,     IF(AND(MOD(D133,1)&gt;=TIME(6,0,0),MOD(D133,1)&lt;TIME(18,0,0)),         IF(H133=2,"Couple Full Day","24H Day"),         IF(H133=2,"Couple Full Night","24H Night")), "Check Data")))</f>
        <v>24H Night</v>
      </c>
      <c r="L133" s="12" t="n">
        <f aca="false">((INT(E133)+MOD(F133,1))-(INT(C133)+MOD(D133,1)))*24</f>
        <v>22.9999999990105</v>
      </c>
      <c r="M133" s="1" t="n">
        <f aca="false">IFERROR(INDEX(Sheet3!$B$2:$B$500,MATCH(1,(INT(C133)+MOD(D133,1)&lt;INT(Sheet3!$A$2:$A$500)+TIME(18,0,0))*(INT(E133)+MOD(F133,1)&gt;=INT(Sheet3!$A$2:$A$500)),0)),0)</f>
        <v>0</v>
      </c>
      <c r="N133" s="1" t="n">
        <f aca="false">IF(OR( AND(Q133=6,D133&gt;=TIME(17,0,0),OR(K133="12H Night",K133="Couple Half Night",K133="24H Night",K133="Couple Full Night")), AND(Q133=7,D133&gt;=TIME(6,0,0),D133&lt;TIME(12,0,0),OR(K133="12H Day",K133="Couple Half Day",K133="24H Day",K133="Couple Full Day")) ),1,0)</f>
        <v>1</v>
      </c>
      <c r="O133" s="1" t="n">
        <f aca="false">IF(OR( AND(MONTH(C133)=12,DAY(C133)&gt;=26), AND(MONTH(C133)=4,DAY(C133)&gt;=15), MONTH(C133)=5, AND(MONTH(C133)=6,DAY(C133)&lt;=10) ),1,0)</f>
        <v>1</v>
      </c>
      <c r="P133" s="1" t="str">
        <f aca="false">IF(OR(MONTH(C133)=3,MONTH(C133)=4,MONTH(C133)=5,MONTH(C133)=6), "Summer", IF(OR(MONTH(C133)=7,MONTH(C133)=8,MONTH(C133)=9,MONTH(C133)=10), "Monsoon", "Winter"))</f>
        <v>Summer</v>
      </c>
      <c r="Q133" s="1" t="n">
        <f aca="false">WEEKDAY(C133,2)</f>
        <v>6</v>
      </c>
      <c r="R133" s="0" t="n">
        <f aca="false">ROUNDDOWN(((INT(C133)+MOD(D133,1))-(INT(I133)+MOD(J133,1))),0)</f>
        <v>1</v>
      </c>
      <c r="S133" s="10"/>
    </row>
    <row r="134" customFormat="false" ht="145.05" hidden="false" customHeight="false" outlineLevel="0" collapsed="false">
      <c r="A134" s="8" t="s">
        <v>273</v>
      </c>
      <c r="B134" s="22" t="s">
        <v>274</v>
      </c>
      <c r="C134" s="18" t="n">
        <v>45438.8333333333</v>
      </c>
      <c r="D134" s="19" t="n">
        <v>0</v>
      </c>
      <c r="E134" s="18" t="n">
        <v>45439.3125</v>
      </c>
      <c r="F134" s="19" t="n">
        <v>45439.3125</v>
      </c>
      <c r="G134" s="20" t="n">
        <v>4000</v>
      </c>
      <c r="H134" s="8" t="n">
        <v>8</v>
      </c>
      <c r="I134" s="10" t="n">
        <v>45435</v>
      </c>
      <c r="J134" s="11" t="n">
        <v>0.852256944446713</v>
      </c>
      <c r="K134" s="1" t="str">
        <f aca="false">IF(L134&gt;24,     IF(H134=2,"Couple Extended Day","Extended Day"), IF(L134&lt;=12,     IF(AND(MOD(D134,1)&gt;=TIME(6,0,0),MOD(D134,1)&lt;TIME(18,0,0)),         IF(H134=2,"Couple Half Day","12H Day"),         IF(H134=2,"Couple Half Night","12H Night")), IF(L134&lt;=24,     IF(AND(MOD(D134,1)&gt;=TIME(6,0,0),MOD(D134,1)&lt;TIME(18,0,0)),         IF(H134=2,"Couple Full Day","24H Day"),         IF(H134=2,"Couple Full Night","24H Night")), "Check Data")))</f>
        <v>Extended Day</v>
      </c>
      <c r="L134" s="12" t="n">
        <f aca="false">((INT(E134)+MOD(F134,1))-(INT(C134)+MOD(D134,1)))*24</f>
        <v>31.5</v>
      </c>
      <c r="M134" s="1" t="n">
        <f aca="false">IFERROR(INDEX(Sheet3!$B$2:$B$500,MATCH(1,(INT(C134)+MOD(D134,1)&lt;INT(Sheet3!$A$2:$A$500)+TIME(18,0,0))*(INT(E134)+MOD(F134,1)&gt;=INT(Sheet3!$A$2:$A$500)),0)),0)</f>
        <v>0</v>
      </c>
      <c r="N134" s="1" t="n">
        <f aca="false">IF(OR( AND(Q134=6,D134&gt;=TIME(17,0,0),OR(K134="12H Night",K134="Couple Half Night",K134="24H Night",K134="Couple Full Night")), AND(Q134=7,D134&gt;=TIME(6,0,0),D134&lt;TIME(12,0,0),OR(K134="12H Day",K134="Couple Half Day",K134="24H Day",K134="Couple Full Day")) ),1,0)</f>
        <v>0</v>
      </c>
      <c r="O134" s="1" t="n">
        <f aca="false">IF(OR( AND(MONTH(C134)=12,DAY(C134)&gt;=26), AND(MONTH(C134)=4,DAY(C134)&gt;=15), MONTH(C134)=5, AND(MONTH(C134)=6,DAY(C134)&lt;=10) ),1,0)</f>
        <v>1</v>
      </c>
      <c r="P134" s="1" t="str">
        <f aca="false">IF(OR(MONTH(C134)=3,MONTH(C134)=4,MONTH(C134)=5,MONTH(C134)=6), "Summer", IF(OR(MONTH(C134)=7,MONTH(C134)=8,MONTH(C134)=9,MONTH(C134)=10), "Monsoon", "Winter"))</f>
        <v>Summer</v>
      </c>
      <c r="Q134" s="1" t="n">
        <f aca="false">WEEKDAY(C134,2)</f>
        <v>7</v>
      </c>
      <c r="R134" s="0" t="n">
        <f aca="false">ROUNDDOWN(((INT(C134)+MOD(D134,1))-(INT(I134)+MOD(J134,1))),0)</f>
        <v>2</v>
      </c>
      <c r="S134" s="10"/>
    </row>
    <row r="135" customFormat="false" ht="13.8" hidden="false" customHeight="false" outlineLevel="0" collapsed="false">
      <c r="A135" s="8" t="s">
        <v>275</v>
      </c>
      <c r="B135" s="8" t="s">
        <v>276</v>
      </c>
      <c r="C135" s="18" t="n">
        <v>45439.375</v>
      </c>
      <c r="D135" s="19" t="n">
        <v>45439.375</v>
      </c>
      <c r="E135" s="18" t="n">
        <v>45439.75</v>
      </c>
      <c r="F135" s="19" t="n">
        <v>45439.75</v>
      </c>
      <c r="G135" s="20" t="n">
        <v>3000</v>
      </c>
      <c r="I135" s="10" t="n">
        <v>45439</v>
      </c>
      <c r="J135" s="11" t="n">
        <v>0.474039351851389</v>
      </c>
      <c r="K135" s="1" t="str">
        <f aca="false">IF(L135&gt;24,     IF(H135=2,"Couple Extended Day","Extended Day"), IF(L135&lt;=12,     IF(AND(MOD(D135,1)&gt;=TIME(6,0,0),MOD(D135,1)&lt;TIME(18,0,0)),         IF(H135=2,"Couple Half Day","12H Day"),         IF(H135=2,"Couple Half Night","12H Night")), IF(L135&lt;=24,     IF(AND(MOD(D135,1)&gt;=TIME(6,0,0),MOD(D135,1)&lt;TIME(18,0,0)),         IF(H135=2,"Couple Full Day","24H Day"),         IF(H135=2,"Couple Full Night","24H Night")), "Check Data")))</f>
        <v>12H Day</v>
      </c>
      <c r="L135" s="12" t="n">
        <f aca="false">((INT(E135)+MOD(F135,1))-(INT(C135)+MOD(D135,1)))*24</f>
        <v>9</v>
      </c>
      <c r="M135" s="1" t="n">
        <f aca="false">IFERROR(INDEX(Sheet3!$B$2:$B$500,MATCH(1,(INT(C135)+MOD(D135,1)&lt;INT(Sheet3!$A$2:$A$500)+TIME(18,0,0))*(INT(E135)+MOD(F135,1)&gt;=INT(Sheet3!$A$2:$A$500)),0)),0)</f>
        <v>0</v>
      </c>
      <c r="N135" s="1" t="n">
        <f aca="false">IF(OR( AND(Q135=6,D135&gt;=TIME(17,0,0),OR(K135="12H Night",K135="Couple Half Night",K135="24H Night",K135="Couple Full Night")), AND(Q135=7,D135&gt;=TIME(6,0,0),D135&lt;TIME(12,0,0),OR(K135="12H Day",K135="Couple Half Day",K135="24H Day",K135="Couple Full Day")) ),1,0)</f>
        <v>0</v>
      </c>
      <c r="O135" s="1" t="n">
        <f aca="false">IF(OR( AND(MONTH(C135)=12,DAY(C135)&gt;=26), AND(MONTH(C135)=4,DAY(C135)&gt;=15), MONTH(C135)=5, AND(MONTH(C135)=6,DAY(C135)&lt;=10) ),1,0)</f>
        <v>1</v>
      </c>
      <c r="P135" s="1" t="str">
        <f aca="false">IF(OR(MONTH(C135)=3,MONTH(C135)=4,MONTH(C135)=5,MONTH(C135)=6), "Summer", IF(OR(MONTH(C135)=7,MONTH(C135)=8,MONTH(C135)=9,MONTH(C135)=10), "Monsoon", "Winter"))</f>
        <v>Summer</v>
      </c>
      <c r="Q135" s="1" t="n">
        <f aca="false">WEEKDAY(C135,2)</f>
        <v>1</v>
      </c>
      <c r="R135" s="0" t="n">
        <f aca="false">ROUNDDOWN(((INT(C135)+MOD(D135,1))-(INT(I135)+MOD(J135,1))),0)</f>
        <v>-0</v>
      </c>
      <c r="S135" s="10"/>
    </row>
    <row r="136" customFormat="false" ht="145.05" hidden="false" customHeight="false" outlineLevel="0" collapsed="false">
      <c r="A136" s="8" t="s">
        <v>277</v>
      </c>
      <c r="B136" s="22" t="s">
        <v>278</v>
      </c>
      <c r="C136" s="18" t="n">
        <v>45439.7916666667</v>
      </c>
      <c r="D136" s="19" t="n">
        <v>45439.7916666667</v>
      </c>
      <c r="E136" s="18" t="n">
        <v>45440.75</v>
      </c>
      <c r="F136" s="19" t="n">
        <v>45440.75</v>
      </c>
      <c r="G136" s="20" t="n">
        <v>5500</v>
      </c>
      <c r="H136" s="8" t="n">
        <v>15</v>
      </c>
      <c r="I136" s="10" t="n">
        <v>45439</v>
      </c>
      <c r="J136" s="11" t="n">
        <v>0.465312500004074</v>
      </c>
      <c r="K136" s="1" t="str">
        <f aca="false">IF(L136&gt;24,     IF(H136=2,"Couple Extended Day","Extended Day"), IF(L136&lt;=12,     IF(AND(MOD(D136,1)&gt;=TIME(6,0,0),MOD(D136,1)&lt;TIME(18,0,0)),         IF(H136=2,"Couple Half Day","12H Day"),         IF(H136=2,"Couple Half Night","12H Night")), IF(L136&lt;=24,     IF(AND(MOD(D136,1)&gt;=TIME(6,0,0),MOD(D136,1)&lt;TIME(18,0,0)),         IF(H136=2,"Couple Full Day","24H Day"),         IF(H136=2,"Couple Full Night","24H Night")), "Check Data")))</f>
        <v>24H Night</v>
      </c>
      <c r="L136" s="12" t="n">
        <f aca="false">((INT(E136)+MOD(F136,1))-(INT(C136)+MOD(D136,1)))*24</f>
        <v>22.9999999990105</v>
      </c>
      <c r="M136" s="1" t="n">
        <f aca="false">IFERROR(INDEX(Sheet3!$B$2:$B$500,MATCH(1,(INT(C136)+MOD(D136,1)&lt;INT(Sheet3!$A$2:$A$500)+TIME(18,0,0))*(INT(E136)+MOD(F136,1)&gt;=INT(Sheet3!$A$2:$A$500)),0)),0)</f>
        <v>0</v>
      </c>
      <c r="N136" s="1" t="n">
        <f aca="false">IF(OR( AND(Q136=6,D136&gt;=TIME(17,0,0),OR(K136="12H Night",K136="Couple Half Night",K136="24H Night",K136="Couple Full Night")), AND(Q136=7,D136&gt;=TIME(6,0,0),D136&lt;TIME(12,0,0),OR(K136="12H Day",K136="Couple Half Day",K136="24H Day",K136="Couple Full Day")) ),1,0)</f>
        <v>0</v>
      </c>
      <c r="O136" s="1" t="n">
        <f aca="false">IF(OR( AND(MONTH(C136)=12,DAY(C136)&gt;=26), AND(MONTH(C136)=4,DAY(C136)&gt;=15), MONTH(C136)=5, AND(MONTH(C136)=6,DAY(C136)&lt;=10) ),1,0)</f>
        <v>1</v>
      </c>
      <c r="P136" s="1" t="str">
        <f aca="false">IF(OR(MONTH(C136)=3,MONTH(C136)=4,MONTH(C136)=5,MONTH(C136)=6), "Summer", IF(OR(MONTH(C136)=7,MONTH(C136)=8,MONTH(C136)=9,MONTH(C136)=10), "Monsoon", "Winter"))</f>
        <v>Summer</v>
      </c>
      <c r="Q136" s="1" t="n">
        <f aca="false">WEEKDAY(C136,2)</f>
        <v>1</v>
      </c>
      <c r="R136" s="0" t="n">
        <f aca="false">ROUNDDOWN(((INT(C136)+MOD(D136,1))-(INT(I136)+MOD(J136,1))),0)</f>
        <v>0</v>
      </c>
      <c r="S136" s="10"/>
    </row>
    <row r="137" customFormat="false" ht="145.05" hidden="false" customHeight="false" outlineLevel="0" collapsed="false">
      <c r="A137" s="8" t="s">
        <v>279</v>
      </c>
      <c r="B137" s="22" t="s">
        <v>280</v>
      </c>
      <c r="C137" s="18" t="n">
        <v>45440.7916666667</v>
      </c>
      <c r="D137" s="19" t="n">
        <v>45440.7916666667</v>
      </c>
      <c r="E137" s="18" t="n">
        <v>45441.75</v>
      </c>
      <c r="F137" s="19" t="n">
        <v>45441.75</v>
      </c>
      <c r="G137" s="20" t="n">
        <v>5000</v>
      </c>
      <c r="H137" s="8" t="n">
        <v>10</v>
      </c>
      <c r="I137" s="10" t="n">
        <v>45439</v>
      </c>
      <c r="J137" s="11" t="n">
        <v>0.464247685187732</v>
      </c>
      <c r="K137" s="1" t="str">
        <f aca="false">IF(L137&gt;24,     IF(H137=2,"Couple Extended Day","Extended Day"), IF(L137&lt;=12,     IF(AND(MOD(D137,1)&gt;=TIME(6,0,0),MOD(D137,1)&lt;TIME(18,0,0)),         IF(H137=2,"Couple Half Day","12H Day"),         IF(H137=2,"Couple Half Night","12H Night")), IF(L137&lt;=24,     IF(AND(MOD(D137,1)&gt;=TIME(6,0,0),MOD(D137,1)&lt;TIME(18,0,0)),         IF(H137=2,"Couple Full Day","24H Day"),         IF(H137=2,"Couple Full Night","24H Night")), "Check Data")))</f>
        <v>24H Night</v>
      </c>
      <c r="L137" s="12" t="n">
        <f aca="false">((INT(E137)+MOD(F137,1))-(INT(C137)+MOD(D137,1)))*24</f>
        <v>22.9999999990105</v>
      </c>
      <c r="M137" s="1" t="n">
        <f aca="false">IFERROR(INDEX(Sheet3!$B$2:$B$500,MATCH(1,(INT(C137)+MOD(D137,1)&lt;INT(Sheet3!$A$2:$A$500)+TIME(18,0,0))*(INT(E137)+MOD(F137,1)&gt;=INT(Sheet3!$A$2:$A$500)),0)),0)</f>
        <v>0</v>
      </c>
      <c r="N137" s="1" t="n">
        <f aca="false">IF(OR( AND(Q137=6,D137&gt;=TIME(17,0,0),OR(K137="12H Night",K137="Couple Half Night",K137="24H Night",K137="Couple Full Night")), AND(Q137=7,D137&gt;=TIME(6,0,0),D137&lt;TIME(12,0,0),OR(K137="12H Day",K137="Couple Half Day",K137="24H Day",K137="Couple Full Day")) ),1,0)</f>
        <v>0</v>
      </c>
      <c r="O137" s="1" t="n">
        <f aca="false">IF(OR( AND(MONTH(C137)=12,DAY(C137)&gt;=26), AND(MONTH(C137)=4,DAY(C137)&gt;=15), MONTH(C137)=5, AND(MONTH(C137)=6,DAY(C137)&lt;=10) ),1,0)</f>
        <v>1</v>
      </c>
      <c r="P137" s="1" t="str">
        <f aca="false">IF(OR(MONTH(C137)=3,MONTH(C137)=4,MONTH(C137)=5,MONTH(C137)=6), "Summer", IF(OR(MONTH(C137)=7,MONTH(C137)=8,MONTH(C137)=9,MONTH(C137)=10), "Monsoon", "Winter"))</f>
        <v>Summer</v>
      </c>
      <c r="Q137" s="1" t="n">
        <f aca="false">WEEKDAY(C137,2)</f>
        <v>2</v>
      </c>
      <c r="R137" s="0" t="n">
        <f aca="false">ROUNDDOWN(((INT(C137)+MOD(D137,1))-(INT(I137)+MOD(J137,1))),0)</f>
        <v>1</v>
      </c>
      <c r="S137" s="10"/>
    </row>
    <row r="138" customFormat="false" ht="145.05" hidden="false" customHeight="false" outlineLevel="0" collapsed="false">
      <c r="A138" s="8" t="s">
        <v>281</v>
      </c>
      <c r="B138" s="22" t="s">
        <v>282</v>
      </c>
      <c r="C138" s="18" t="n">
        <v>45441.7916666667</v>
      </c>
      <c r="D138" s="19" t="n">
        <v>45441.7916666667</v>
      </c>
      <c r="E138" s="18" t="n">
        <v>45442.75</v>
      </c>
      <c r="F138" s="19" t="n">
        <v>45442.75</v>
      </c>
      <c r="G138" s="20" t="n">
        <v>6000</v>
      </c>
      <c r="H138" s="8" t="n">
        <v>4</v>
      </c>
      <c r="I138" s="10" t="n">
        <v>45435</v>
      </c>
      <c r="J138" s="11" t="n">
        <v>0.550613425926713</v>
      </c>
      <c r="K138" s="1" t="str">
        <f aca="false">IF(L138&gt;24,     IF(H138=2,"Couple Extended Day","Extended Day"), IF(L138&lt;=12,     IF(AND(MOD(D138,1)&gt;=TIME(6,0,0),MOD(D138,1)&lt;TIME(18,0,0)),         IF(H138=2,"Couple Half Day","12H Day"),         IF(H138=2,"Couple Half Night","12H Night")), IF(L138&lt;=24,     IF(AND(MOD(D138,1)&gt;=TIME(6,0,0),MOD(D138,1)&lt;TIME(18,0,0)),         IF(H138=2,"Couple Full Day","24H Day"),         IF(H138=2,"Couple Full Night","24H Night")), "Check Data")))</f>
        <v>24H Night</v>
      </c>
      <c r="L138" s="12" t="n">
        <f aca="false">((INT(E138)+MOD(F138,1))-(INT(C138)+MOD(D138,1)))*24</f>
        <v>22.9999999990105</v>
      </c>
      <c r="M138" s="1" t="n">
        <f aca="false">IFERROR(INDEX(Sheet3!$B$2:$B$500,MATCH(1,(INT(C138)+MOD(D138,1)&lt;INT(Sheet3!$A$2:$A$500)+TIME(18,0,0))*(INT(E138)+MOD(F138,1)&gt;=INT(Sheet3!$A$2:$A$500)),0)),0)</f>
        <v>0</v>
      </c>
      <c r="N138" s="1" t="n">
        <f aca="false">IF(OR( AND(Q138=6,D138&gt;=TIME(17,0,0),OR(K138="12H Night",K138="Couple Half Night",K138="24H Night",K138="Couple Full Night")), AND(Q138=7,D138&gt;=TIME(6,0,0),D138&lt;TIME(12,0,0),OR(K138="12H Day",K138="Couple Half Day",K138="24H Day",K138="Couple Full Day")) ),1,0)</f>
        <v>0</v>
      </c>
      <c r="O138" s="1" t="n">
        <f aca="false">IF(OR( AND(MONTH(C138)=12,DAY(C138)&gt;=26), AND(MONTH(C138)=4,DAY(C138)&gt;=15), MONTH(C138)=5, AND(MONTH(C138)=6,DAY(C138)&lt;=10) ),1,0)</f>
        <v>1</v>
      </c>
      <c r="P138" s="1" t="str">
        <f aca="false">IF(OR(MONTH(C138)=3,MONTH(C138)=4,MONTH(C138)=5,MONTH(C138)=6), "Summer", IF(OR(MONTH(C138)=7,MONTH(C138)=8,MONTH(C138)=9,MONTH(C138)=10), "Monsoon", "Winter"))</f>
        <v>Summer</v>
      </c>
      <c r="Q138" s="1" t="n">
        <f aca="false">WEEKDAY(C138,2)</f>
        <v>3</v>
      </c>
      <c r="R138" s="0" t="n">
        <f aca="false">ROUNDDOWN(((INT(C138)+MOD(D138,1))-(INT(I138)+MOD(J138,1))),0)</f>
        <v>6</v>
      </c>
      <c r="S138" s="10"/>
    </row>
    <row r="139" customFormat="false" ht="145.05" hidden="false" customHeight="false" outlineLevel="0" collapsed="false">
      <c r="A139" s="8" t="s">
        <v>283</v>
      </c>
      <c r="B139" s="22" t="s">
        <v>284</v>
      </c>
      <c r="C139" s="18" t="n">
        <v>45442.7916666667</v>
      </c>
      <c r="D139" s="19" t="n">
        <v>45442.7916666667</v>
      </c>
      <c r="E139" s="18" t="n">
        <v>45443.75</v>
      </c>
      <c r="F139" s="19" t="n">
        <v>45443.75</v>
      </c>
      <c r="G139" s="20" t="n">
        <v>6000</v>
      </c>
      <c r="H139" s="8" t="n">
        <v>18</v>
      </c>
      <c r="I139" s="10" t="n">
        <v>45439</v>
      </c>
      <c r="J139" s="11" t="n">
        <v>0.791446759263634</v>
      </c>
      <c r="K139" s="1" t="str">
        <f aca="false">IF(L139&gt;24,     IF(H139=2,"Couple Extended Day","Extended Day"), IF(L139&lt;=12,     IF(AND(MOD(D139,1)&gt;=TIME(6,0,0),MOD(D139,1)&lt;TIME(18,0,0)),         IF(H139=2,"Couple Half Day","12H Day"),         IF(H139=2,"Couple Half Night","12H Night")), IF(L139&lt;=24,     IF(AND(MOD(D139,1)&gt;=TIME(6,0,0),MOD(D139,1)&lt;TIME(18,0,0)),         IF(H139=2,"Couple Full Day","24H Day"),         IF(H139=2,"Couple Full Night","24H Night")), "Check Data")))</f>
        <v>24H Night</v>
      </c>
      <c r="L139" s="12" t="n">
        <f aca="false">((INT(E139)+MOD(F139,1))-(INT(C139)+MOD(D139,1)))*24</f>
        <v>22.9999999990105</v>
      </c>
      <c r="M139" s="1" t="n">
        <f aca="false">IFERROR(INDEX(Sheet3!$B$2:$B$500,MATCH(1,(INT(C139)+MOD(D139,1)&lt;INT(Sheet3!$A$2:$A$500)+TIME(18,0,0))*(INT(E139)+MOD(F139,1)&gt;=INT(Sheet3!$A$2:$A$500)),0)),0)</f>
        <v>0</v>
      </c>
      <c r="N139" s="1" t="n">
        <f aca="false">IF(OR( AND(Q139=6,D139&gt;=TIME(17,0,0),OR(K139="12H Night",K139="Couple Half Night",K139="24H Night",K139="Couple Full Night")), AND(Q139=7,D139&gt;=TIME(6,0,0),D139&lt;TIME(12,0,0),OR(K139="12H Day",K139="Couple Half Day",K139="24H Day",K139="Couple Full Day")) ),1,0)</f>
        <v>0</v>
      </c>
      <c r="O139" s="1" t="n">
        <f aca="false">IF(OR( AND(MONTH(C139)=12,DAY(C139)&gt;=26), AND(MONTH(C139)=4,DAY(C139)&gt;=15), MONTH(C139)=5, AND(MONTH(C139)=6,DAY(C139)&lt;=10) ),1,0)</f>
        <v>1</v>
      </c>
      <c r="P139" s="1" t="str">
        <f aca="false">IF(OR(MONTH(C139)=3,MONTH(C139)=4,MONTH(C139)=5,MONTH(C139)=6), "Summer", IF(OR(MONTH(C139)=7,MONTH(C139)=8,MONTH(C139)=9,MONTH(C139)=10), "Monsoon", "Winter"))</f>
        <v>Summer</v>
      </c>
      <c r="Q139" s="1" t="n">
        <f aca="false">WEEKDAY(C139,2)</f>
        <v>4</v>
      </c>
      <c r="R139" s="0" t="n">
        <f aca="false">ROUNDDOWN(((INT(C139)+MOD(D139,1))-(INT(I139)+MOD(J139,1))),0)</f>
        <v>3</v>
      </c>
      <c r="S139" s="10"/>
    </row>
    <row r="140" customFormat="false" ht="133.05" hidden="false" customHeight="false" outlineLevel="0" collapsed="false">
      <c r="A140" s="8" t="s">
        <v>285</v>
      </c>
      <c r="B140" s="22" t="s">
        <v>286</v>
      </c>
      <c r="C140" s="18" t="n">
        <v>45443.7916666667</v>
      </c>
      <c r="D140" s="19" t="n">
        <v>45443.7916666667</v>
      </c>
      <c r="E140" s="18" t="n">
        <v>45444.75</v>
      </c>
      <c r="F140" s="19" t="n">
        <v>45444.75</v>
      </c>
      <c r="G140" s="20" t="n">
        <v>6000</v>
      </c>
      <c r="H140" s="8" t="n">
        <v>15</v>
      </c>
      <c r="I140" s="10" t="n">
        <v>45442</v>
      </c>
      <c r="J140" s="11" t="n">
        <v>0.768854166672095</v>
      </c>
      <c r="K140" s="1" t="str">
        <f aca="false">IF(L140&gt;24,     IF(H140=2,"Couple Extended Day","Extended Day"), IF(L140&lt;=12,     IF(AND(MOD(D140,1)&gt;=TIME(6,0,0),MOD(D140,1)&lt;TIME(18,0,0)),         IF(H140=2,"Couple Half Day","12H Day"),         IF(H140=2,"Couple Half Night","12H Night")), IF(L140&lt;=24,     IF(AND(MOD(D140,1)&gt;=TIME(6,0,0),MOD(D140,1)&lt;TIME(18,0,0)),         IF(H140=2,"Couple Full Day","24H Day"),         IF(H140=2,"Couple Full Night","24H Night")), "Check Data")))</f>
        <v>24H Night</v>
      </c>
      <c r="L140" s="12" t="n">
        <f aca="false">((INT(E140)+MOD(F140,1))-(INT(C140)+MOD(D140,1)))*24</f>
        <v>22.9999999990105</v>
      </c>
      <c r="M140" s="1" t="n">
        <f aca="false">IFERROR(INDEX(Sheet3!$B$2:$B$500,MATCH(1,(INT(C140)+MOD(D140,1)&lt;INT(Sheet3!$A$2:$A$500)+TIME(18,0,0))*(INT(E140)+MOD(F140,1)&gt;=INT(Sheet3!$A$2:$A$500)),0)),0)</f>
        <v>0</v>
      </c>
      <c r="N140" s="1" t="n">
        <f aca="false">IF(OR( AND(Q140=6,D140&gt;=TIME(17,0,0),OR(K140="12H Night",K140="Couple Half Night",K140="24H Night",K140="Couple Full Night")), AND(Q140=7,D140&gt;=TIME(6,0,0),D140&lt;TIME(12,0,0),OR(K140="12H Day",K140="Couple Half Day",K140="24H Day",K140="Couple Full Day")) ),1,0)</f>
        <v>0</v>
      </c>
      <c r="O140" s="1" t="n">
        <f aca="false">IF(OR( AND(MONTH(C140)=12,DAY(C140)&gt;=26), AND(MONTH(C140)=4,DAY(C140)&gt;=15), MONTH(C140)=5, AND(MONTH(C140)=6,DAY(C140)&lt;=10) ),1,0)</f>
        <v>1</v>
      </c>
      <c r="P140" s="1" t="str">
        <f aca="false">IF(OR(MONTH(C140)=3,MONTH(C140)=4,MONTH(C140)=5,MONTH(C140)=6), "Summer", IF(OR(MONTH(C140)=7,MONTH(C140)=8,MONTH(C140)=9,MONTH(C140)=10), "Monsoon", "Winter"))</f>
        <v>Summer</v>
      </c>
      <c r="Q140" s="1" t="n">
        <f aca="false">WEEKDAY(C140,2)</f>
        <v>5</v>
      </c>
      <c r="R140" s="0" t="n">
        <f aca="false">ROUNDDOWN(((INT(C140)+MOD(D140,1))-(INT(I140)+MOD(J140,1))),0)</f>
        <v>1</v>
      </c>
      <c r="S140" s="10"/>
    </row>
    <row r="141" customFormat="false" ht="109.15" hidden="false" customHeight="false" outlineLevel="0" collapsed="false">
      <c r="A141" s="8" t="s">
        <v>243</v>
      </c>
      <c r="B141" s="22" t="s">
        <v>287</v>
      </c>
      <c r="C141" s="18" t="n">
        <v>45444.7916666667</v>
      </c>
      <c r="D141" s="19" t="n">
        <v>45444.7916666667</v>
      </c>
      <c r="E141" s="18" t="n">
        <v>45445.75</v>
      </c>
      <c r="F141" s="19" t="n">
        <v>45445.75</v>
      </c>
      <c r="G141" s="20" t="n">
        <v>12000</v>
      </c>
      <c r="H141" s="8" t="n">
        <v>12</v>
      </c>
      <c r="I141" s="10" t="n">
        <v>45443</v>
      </c>
      <c r="J141" s="11" t="n">
        <v>0.539456018523195</v>
      </c>
      <c r="K141" s="1" t="str">
        <f aca="false">IF(L141&gt;24,     IF(H141=2,"Couple Extended Day","Extended Day"), IF(L141&lt;=12,     IF(AND(MOD(D141,1)&gt;=TIME(6,0,0),MOD(D141,1)&lt;TIME(18,0,0)),         IF(H141=2,"Couple Half Day","12H Day"),         IF(H141=2,"Couple Half Night","12H Night")), IF(L141&lt;=24,     IF(AND(MOD(D141,1)&gt;=TIME(6,0,0),MOD(D141,1)&lt;TIME(18,0,0)),         IF(H141=2,"Couple Full Day","24H Day"),         IF(H141=2,"Couple Full Night","24H Night")), "Check Data")))</f>
        <v>24H Night</v>
      </c>
      <c r="L141" s="12" t="n">
        <f aca="false">((INT(E141)+MOD(F141,1))-(INT(C141)+MOD(D141,1)))*24</f>
        <v>22.9999999990105</v>
      </c>
      <c r="M141" s="1" t="n">
        <f aca="false">IFERROR(INDEX(Sheet3!$B$2:$B$500,MATCH(1,(INT(C141)+MOD(D141,1)&lt;INT(Sheet3!$A$2:$A$500)+TIME(18,0,0))*(INT(E141)+MOD(F141,1)&gt;=INT(Sheet3!$A$2:$A$500)),0)),0)</f>
        <v>0</v>
      </c>
      <c r="N141" s="1" t="n">
        <f aca="false">IF(OR( AND(Q141=6,D141&gt;=TIME(17,0,0),OR(K141="12H Night",K141="Couple Half Night",K141="24H Night",K141="Couple Full Night")), AND(Q141=7,D141&gt;=TIME(6,0,0),D141&lt;TIME(12,0,0),OR(K141="12H Day",K141="Couple Half Day",K141="24H Day",K141="Couple Full Day")) ),1,0)</f>
        <v>1</v>
      </c>
      <c r="O141" s="1" t="n">
        <f aca="false">IF(OR( AND(MONTH(C141)=12,DAY(C141)&gt;=26), AND(MONTH(C141)=4,DAY(C141)&gt;=15), MONTH(C141)=5, AND(MONTH(C141)=6,DAY(C141)&lt;=10) ),1,0)</f>
        <v>1</v>
      </c>
      <c r="P141" s="1" t="str">
        <f aca="false">IF(OR(MONTH(C141)=3,MONTH(C141)=4,MONTH(C141)=5,MONTH(C141)=6), "Summer", IF(OR(MONTH(C141)=7,MONTH(C141)=8,MONTH(C141)=9,MONTH(C141)=10), "Monsoon", "Winter"))</f>
        <v>Summer</v>
      </c>
      <c r="Q141" s="1" t="n">
        <f aca="false">WEEKDAY(C141,2)</f>
        <v>6</v>
      </c>
      <c r="R141" s="0" t="n">
        <f aca="false">ROUNDDOWN(((INT(C141)+MOD(D141,1))-(INT(I141)+MOD(J141,1))),0)</f>
        <v>1</v>
      </c>
      <c r="S141" s="10"/>
    </row>
    <row r="142" customFormat="false" ht="180.95" hidden="false" customHeight="false" outlineLevel="0" collapsed="false">
      <c r="A142" s="8" t="s">
        <v>288</v>
      </c>
      <c r="B142" s="22" t="s">
        <v>289</v>
      </c>
      <c r="C142" s="18" t="n">
        <v>45445.7916666667</v>
      </c>
      <c r="D142" s="19" t="n">
        <v>45445.7916666667</v>
      </c>
      <c r="E142" s="18" t="n">
        <v>45446.75</v>
      </c>
      <c r="F142" s="19" t="n">
        <v>45446.75</v>
      </c>
      <c r="G142" s="20" t="n">
        <v>5500</v>
      </c>
      <c r="H142" s="8" t="n">
        <v>12</v>
      </c>
      <c r="I142" s="10" t="n">
        <v>45444</v>
      </c>
      <c r="J142" s="11" t="n">
        <v>0.764016203698704</v>
      </c>
      <c r="K142" s="1" t="str">
        <f aca="false">IF(L142&gt;24,     IF(H142=2,"Couple Extended Day","Extended Day"), IF(L142&lt;=12,     IF(AND(MOD(D142,1)&gt;=TIME(6,0,0),MOD(D142,1)&lt;TIME(18,0,0)),         IF(H142=2,"Couple Half Day","12H Day"),         IF(H142=2,"Couple Half Night","12H Night")), IF(L142&lt;=24,     IF(AND(MOD(D142,1)&gt;=TIME(6,0,0),MOD(D142,1)&lt;TIME(18,0,0)),         IF(H142=2,"Couple Full Day","24H Day"),         IF(H142=2,"Couple Full Night","24H Night")), "Check Data")))</f>
        <v>24H Night</v>
      </c>
      <c r="L142" s="12" t="n">
        <f aca="false">((INT(E142)+MOD(F142,1))-(INT(C142)+MOD(D142,1)))*24</f>
        <v>22.9999999990105</v>
      </c>
      <c r="M142" s="1" t="n">
        <f aca="false">IFERROR(INDEX(Sheet3!$B$2:$B$500,MATCH(1,(INT(C142)+MOD(D142,1)&lt;INT(Sheet3!$A$2:$A$500)+TIME(18,0,0))*(INT(E142)+MOD(F142,1)&gt;=INT(Sheet3!$A$2:$A$500)),0)),0)</f>
        <v>0</v>
      </c>
      <c r="N142" s="1" t="n">
        <f aca="false">IF(OR( AND(Q142=6,D142&gt;=TIME(17,0,0),OR(K142="12H Night",K142="Couple Half Night",K142="24H Night",K142="Couple Full Night")), AND(Q142=7,D142&gt;=TIME(6,0,0),D142&lt;TIME(12,0,0),OR(K142="12H Day",K142="Couple Half Day",K142="24H Day",K142="Couple Full Day")) ),1,0)</f>
        <v>0</v>
      </c>
      <c r="O142" s="1" t="n">
        <f aca="false">IF(OR( AND(MONTH(C142)=12,DAY(C142)&gt;=26), AND(MONTH(C142)=4,DAY(C142)&gt;=15), MONTH(C142)=5, AND(MONTH(C142)=6,DAY(C142)&lt;=10) ),1,0)</f>
        <v>1</v>
      </c>
      <c r="P142" s="1" t="str">
        <f aca="false">IF(OR(MONTH(C142)=3,MONTH(C142)=4,MONTH(C142)=5,MONTH(C142)=6), "Summer", IF(OR(MONTH(C142)=7,MONTH(C142)=8,MONTH(C142)=9,MONTH(C142)=10), "Monsoon", "Winter"))</f>
        <v>Summer</v>
      </c>
      <c r="Q142" s="1" t="n">
        <f aca="false">WEEKDAY(C142,2)</f>
        <v>7</v>
      </c>
      <c r="R142" s="0" t="n">
        <f aca="false">ROUNDDOWN(((INT(C142)+MOD(D142,1))-(INT(I142)+MOD(J142,1))),0)</f>
        <v>1</v>
      </c>
      <c r="S142" s="10"/>
    </row>
    <row r="143" customFormat="false" ht="133.05" hidden="false" customHeight="false" outlineLevel="0" collapsed="false">
      <c r="A143" s="8" t="s">
        <v>290</v>
      </c>
      <c r="B143" s="22" t="s">
        <v>291</v>
      </c>
      <c r="C143" s="18" t="n">
        <v>45446.7916666667</v>
      </c>
      <c r="D143" s="19" t="n">
        <v>45446.7916666667</v>
      </c>
      <c r="E143" s="18" t="n">
        <v>45447.75</v>
      </c>
      <c r="F143" s="19" t="n">
        <v>45447.75</v>
      </c>
      <c r="G143" s="20" t="n">
        <v>6000</v>
      </c>
      <c r="H143" s="8" t="n">
        <v>12</v>
      </c>
      <c r="I143" s="10" t="n">
        <v>45446</v>
      </c>
      <c r="J143" s="11" t="n">
        <v>0.330520833333137</v>
      </c>
      <c r="K143" s="1" t="str">
        <f aca="false">IF(L143&gt;24,     IF(H143=2,"Couple Extended Day","Extended Day"), IF(L143&lt;=12,     IF(AND(MOD(D143,1)&gt;=TIME(6,0,0),MOD(D143,1)&lt;TIME(18,0,0)),         IF(H143=2,"Couple Half Day","12H Day"),         IF(H143=2,"Couple Half Night","12H Night")), IF(L143&lt;=24,     IF(AND(MOD(D143,1)&gt;=TIME(6,0,0),MOD(D143,1)&lt;TIME(18,0,0)),         IF(H143=2,"Couple Full Day","24H Day"),         IF(H143=2,"Couple Full Night","24H Night")), "Check Data")))</f>
        <v>24H Night</v>
      </c>
      <c r="L143" s="12" t="n">
        <f aca="false">((INT(E143)+MOD(F143,1))-(INT(C143)+MOD(D143,1)))*24</f>
        <v>22.9999999990105</v>
      </c>
      <c r="M143" s="1" t="n">
        <f aca="false">IFERROR(INDEX(Sheet3!$B$2:$B$500,MATCH(1,(INT(C143)+MOD(D143,1)&lt;INT(Sheet3!$A$2:$A$500)+TIME(18,0,0))*(INT(E143)+MOD(F143,1)&gt;=INT(Sheet3!$A$2:$A$500)),0)),0)</f>
        <v>0</v>
      </c>
      <c r="N143" s="1" t="n">
        <f aca="false">IF(OR( AND(Q143=6,D143&gt;=TIME(17,0,0),OR(K143="12H Night",K143="Couple Half Night",K143="24H Night",K143="Couple Full Night")), AND(Q143=7,D143&gt;=TIME(6,0,0),D143&lt;TIME(12,0,0),OR(K143="12H Day",K143="Couple Half Day",K143="24H Day",K143="Couple Full Day")) ),1,0)</f>
        <v>0</v>
      </c>
      <c r="O143" s="1" t="n">
        <f aca="false">IF(OR( AND(MONTH(C143)=12,DAY(C143)&gt;=26), AND(MONTH(C143)=4,DAY(C143)&gt;=15), MONTH(C143)=5, AND(MONTH(C143)=6,DAY(C143)&lt;=10) ),1,0)</f>
        <v>1</v>
      </c>
      <c r="P143" s="1" t="str">
        <f aca="false">IF(OR(MONTH(C143)=3,MONTH(C143)=4,MONTH(C143)=5,MONTH(C143)=6), "Summer", IF(OR(MONTH(C143)=7,MONTH(C143)=8,MONTH(C143)=9,MONTH(C143)=10), "Monsoon", "Winter"))</f>
        <v>Summer</v>
      </c>
      <c r="Q143" s="1" t="n">
        <f aca="false">WEEKDAY(C143,2)</f>
        <v>1</v>
      </c>
      <c r="R143" s="0" t="n">
        <f aca="false">ROUNDDOWN(((INT(C143)+MOD(D143,1))-(INT(I143)+MOD(J143,1))),0)</f>
        <v>0</v>
      </c>
      <c r="S143" s="10"/>
    </row>
    <row r="144" customFormat="false" ht="180.95" hidden="false" customHeight="false" outlineLevel="0" collapsed="false">
      <c r="A144" s="8" t="s">
        <v>292</v>
      </c>
      <c r="B144" s="22" t="s">
        <v>293</v>
      </c>
      <c r="C144" s="18" t="n">
        <v>45447.7916666667</v>
      </c>
      <c r="D144" s="19" t="n">
        <v>45447.7916666667</v>
      </c>
      <c r="E144" s="18" t="n">
        <v>45448.75</v>
      </c>
      <c r="F144" s="19" t="n">
        <v>45448.75</v>
      </c>
      <c r="G144" s="20" t="n">
        <v>6000</v>
      </c>
      <c r="H144" s="8" t="n">
        <v>15</v>
      </c>
      <c r="I144" s="10" t="n">
        <v>45444</v>
      </c>
      <c r="J144" s="11" t="n">
        <v>0.656770833331389</v>
      </c>
      <c r="K144" s="1" t="str">
        <f aca="false">IF(L144&gt;24,     IF(H144=2,"Couple Extended Day","Extended Day"), IF(L144&lt;=12,     IF(AND(MOD(D144,1)&gt;=TIME(6,0,0),MOD(D144,1)&lt;TIME(18,0,0)),         IF(H144=2,"Couple Half Day","12H Day"),         IF(H144=2,"Couple Half Night","12H Night")), IF(L144&lt;=24,     IF(AND(MOD(D144,1)&gt;=TIME(6,0,0),MOD(D144,1)&lt;TIME(18,0,0)),         IF(H144=2,"Couple Full Day","24H Day"),         IF(H144=2,"Couple Full Night","24H Night")), "Check Data")))</f>
        <v>24H Night</v>
      </c>
      <c r="L144" s="12" t="n">
        <f aca="false">((INT(E144)+MOD(F144,1))-(INT(C144)+MOD(D144,1)))*24</f>
        <v>22.9999999990105</v>
      </c>
      <c r="M144" s="1" t="n">
        <f aca="false">IFERROR(INDEX(Sheet3!$B$2:$B$500,MATCH(1,(INT(C144)+MOD(D144,1)&lt;INT(Sheet3!$A$2:$A$500)+TIME(18,0,0))*(INT(E144)+MOD(F144,1)&gt;=INT(Sheet3!$A$2:$A$500)),0)),0)</f>
        <v>0</v>
      </c>
      <c r="N144" s="1" t="n">
        <f aca="false">IF(OR( AND(Q144=6,D144&gt;=TIME(17,0,0),OR(K144="12H Night",K144="Couple Half Night",K144="24H Night",K144="Couple Full Night")), AND(Q144=7,D144&gt;=TIME(6,0,0),D144&lt;TIME(12,0,0),OR(K144="12H Day",K144="Couple Half Day",K144="24H Day",K144="Couple Full Day")) ),1,0)</f>
        <v>0</v>
      </c>
      <c r="O144" s="1" t="n">
        <f aca="false">IF(OR( AND(MONTH(C144)=12,DAY(C144)&gt;=26), AND(MONTH(C144)=4,DAY(C144)&gt;=15), MONTH(C144)=5, AND(MONTH(C144)=6,DAY(C144)&lt;=10) ),1,0)</f>
        <v>1</v>
      </c>
      <c r="P144" s="1" t="str">
        <f aca="false">IF(OR(MONTH(C144)=3,MONTH(C144)=4,MONTH(C144)=5,MONTH(C144)=6), "Summer", IF(OR(MONTH(C144)=7,MONTH(C144)=8,MONTH(C144)=9,MONTH(C144)=10), "Monsoon", "Winter"))</f>
        <v>Summer</v>
      </c>
      <c r="Q144" s="1" t="n">
        <f aca="false">WEEKDAY(C144,2)</f>
        <v>2</v>
      </c>
      <c r="R144" s="0" t="n">
        <f aca="false">ROUNDDOWN(((INT(C144)+MOD(D144,1))-(INT(I144)+MOD(J144,1))),0)</f>
        <v>3</v>
      </c>
      <c r="S144" s="10"/>
    </row>
    <row r="145" customFormat="false" ht="180.95" hidden="false" customHeight="false" outlineLevel="0" collapsed="false">
      <c r="A145" s="8" t="s">
        <v>294</v>
      </c>
      <c r="B145" s="22" t="s">
        <v>295</v>
      </c>
      <c r="C145" s="18" t="n">
        <v>45448.7916666667</v>
      </c>
      <c r="D145" s="19" t="n">
        <v>45448.7916666667</v>
      </c>
      <c r="E145" s="18" t="n">
        <v>45449.75</v>
      </c>
      <c r="F145" s="19" t="n">
        <v>45449.75</v>
      </c>
      <c r="G145" s="20" t="n">
        <v>6000</v>
      </c>
      <c r="H145" s="8" t="n">
        <v>13</v>
      </c>
      <c r="I145" s="10" t="n">
        <v>45445</v>
      </c>
      <c r="J145" s="11" t="n">
        <v>0.814687499994757</v>
      </c>
      <c r="K145" s="1" t="str">
        <f aca="false">IF(L145&gt;24,     IF(H145=2,"Couple Extended Day","Extended Day"), IF(L145&lt;=12,     IF(AND(MOD(D145,1)&gt;=TIME(6,0,0),MOD(D145,1)&lt;TIME(18,0,0)),         IF(H145=2,"Couple Half Day","12H Day"),         IF(H145=2,"Couple Half Night","12H Night")), IF(L145&lt;=24,     IF(AND(MOD(D145,1)&gt;=TIME(6,0,0),MOD(D145,1)&lt;TIME(18,0,0)),         IF(H145=2,"Couple Full Day","24H Day"),         IF(H145=2,"Couple Full Night","24H Night")), "Check Data")))</f>
        <v>24H Night</v>
      </c>
      <c r="L145" s="12" t="n">
        <f aca="false">((INT(E145)+MOD(F145,1))-(INT(C145)+MOD(D145,1)))*24</f>
        <v>22.9999999990105</v>
      </c>
      <c r="M145" s="1" t="n">
        <f aca="false">IFERROR(INDEX(Sheet3!$B$2:$B$500,MATCH(1,(INT(C145)+MOD(D145,1)&lt;INT(Sheet3!$A$2:$A$500)+TIME(18,0,0))*(INT(E145)+MOD(F145,1)&gt;=INT(Sheet3!$A$2:$A$500)),0)),0)</f>
        <v>0</v>
      </c>
      <c r="N145" s="1" t="n">
        <f aca="false">IF(OR( AND(Q145=6,D145&gt;=TIME(17,0,0),OR(K145="12H Night",K145="Couple Half Night",K145="24H Night",K145="Couple Full Night")), AND(Q145=7,D145&gt;=TIME(6,0,0),D145&lt;TIME(12,0,0),OR(K145="12H Day",K145="Couple Half Day",K145="24H Day",K145="Couple Full Day")) ),1,0)</f>
        <v>0</v>
      </c>
      <c r="O145" s="1" t="n">
        <f aca="false">IF(OR( AND(MONTH(C145)=12,DAY(C145)&gt;=26), AND(MONTH(C145)=4,DAY(C145)&gt;=15), MONTH(C145)=5, AND(MONTH(C145)=6,DAY(C145)&lt;=10) ),1,0)</f>
        <v>1</v>
      </c>
      <c r="P145" s="1" t="str">
        <f aca="false">IF(OR(MONTH(C145)=3,MONTH(C145)=4,MONTH(C145)=5,MONTH(C145)=6), "Summer", IF(OR(MONTH(C145)=7,MONTH(C145)=8,MONTH(C145)=9,MONTH(C145)=10), "Monsoon", "Winter"))</f>
        <v>Summer</v>
      </c>
      <c r="Q145" s="1" t="n">
        <f aca="false">WEEKDAY(C145,2)</f>
        <v>3</v>
      </c>
      <c r="R145" s="0" t="n">
        <f aca="false">ROUNDDOWN(((INT(C145)+MOD(D145,1))-(INT(I145)+MOD(J145,1))),0)</f>
        <v>2</v>
      </c>
      <c r="S145" s="10"/>
    </row>
    <row r="146" customFormat="false" ht="180.95" hidden="false" customHeight="false" outlineLevel="0" collapsed="false">
      <c r="A146" s="8" t="s">
        <v>296</v>
      </c>
      <c r="B146" s="22" t="s">
        <v>297</v>
      </c>
      <c r="C146" s="18" t="n">
        <v>45449.7916666667</v>
      </c>
      <c r="D146" s="19" t="n">
        <v>45449.7916666667</v>
      </c>
      <c r="E146" s="18" t="n">
        <v>45450.75</v>
      </c>
      <c r="F146" s="19" t="n">
        <v>45450.75</v>
      </c>
      <c r="G146" s="20" t="n">
        <v>5500</v>
      </c>
      <c r="H146" s="8" t="n">
        <v>15</v>
      </c>
      <c r="I146" s="10" t="n">
        <v>45449</v>
      </c>
      <c r="J146" s="11" t="n">
        <v>0.704861111109491</v>
      </c>
      <c r="K146" s="1" t="str">
        <f aca="false">IF(L146&gt;24,     IF(H146=2,"Couple Extended Day","Extended Day"), IF(L146&lt;=12,     IF(AND(MOD(D146,1)&gt;=TIME(6,0,0),MOD(D146,1)&lt;TIME(18,0,0)),         IF(H146=2,"Couple Half Day","12H Day"),         IF(H146=2,"Couple Half Night","12H Night")), IF(L146&lt;=24,     IF(AND(MOD(D146,1)&gt;=TIME(6,0,0),MOD(D146,1)&lt;TIME(18,0,0)),         IF(H146=2,"Couple Full Day","24H Day"),         IF(H146=2,"Couple Full Night","24H Night")), "Check Data")))</f>
        <v>24H Night</v>
      </c>
      <c r="L146" s="12" t="n">
        <f aca="false">((INT(E146)+MOD(F146,1))-(INT(C146)+MOD(D146,1)))*24</f>
        <v>22.9999999990105</v>
      </c>
      <c r="M146" s="1" t="n">
        <f aca="false">IFERROR(INDEX(Sheet3!$B$2:$B$500,MATCH(1,(INT(C146)+MOD(D146,1)&lt;INT(Sheet3!$A$2:$A$500)+TIME(18,0,0))*(INT(E146)+MOD(F146,1)&gt;=INT(Sheet3!$A$2:$A$500)),0)),0)</f>
        <v>0</v>
      </c>
      <c r="N146" s="1" t="n">
        <f aca="false">IF(OR( AND(Q146=6,D146&gt;=TIME(17,0,0),OR(K146="12H Night",K146="Couple Half Night",K146="24H Night",K146="Couple Full Night")), AND(Q146=7,D146&gt;=TIME(6,0,0),D146&lt;TIME(12,0,0),OR(K146="12H Day",K146="Couple Half Day",K146="24H Day",K146="Couple Full Day")) ),1,0)</f>
        <v>0</v>
      </c>
      <c r="O146" s="1" t="n">
        <f aca="false">IF(OR( AND(MONTH(C146)=12,DAY(C146)&gt;=26), AND(MONTH(C146)=4,DAY(C146)&gt;=15), MONTH(C146)=5, AND(MONTH(C146)=6,DAY(C146)&lt;=10) ),1,0)</f>
        <v>1</v>
      </c>
      <c r="P146" s="1" t="str">
        <f aca="false">IF(OR(MONTH(C146)=3,MONTH(C146)=4,MONTH(C146)=5,MONTH(C146)=6), "Summer", IF(OR(MONTH(C146)=7,MONTH(C146)=8,MONTH(C146)=9,MONTH(C146)=10), "Monsoon", "Winter"))</f>
        <v>Summer</v>
      </c>
      <c r="Q146" s="1" t="n">
        <f aca="false">WEEKDAY(C146,2)</f>
        <v>4</v>
      </c>
      <c r="R146" s="0" t="n">
        <f aca="false">ROUNDDOWN(((INT(C146)+MOD(D146,1))-(INT(I146)+MOD(J146,1))),0)</f>
        <v>0</v>
      </c>
      <c r="S146" s="10"/>
    </row>
    <row r="147" customFormat="false" ht="133.05" hidden="false" customHeight="false" outlineLevel="0" collapsed="false">
      <c r="A147" s="8" t="s">
        <v>298</v>
      </c>
      <c r="B147" s="22" t="s">
        <v>299</v>
      </c>
      <c r="C147" s="18" t="n">
        <v>45450.7916666667</v>
      </c>
      <c r="D147" s="19" t="n">
        <v>45450.7916666667</v>
      </c>
      <c r="E147" s="18" t="n">
        <v>45451.75</v>
      </c>
      <c r="F147" s="19" t="n">
        <v>45451.75</v>
      </c>
      <c r="G147" s="20" t="n">
        <v>5000</v>
      </c>
      <c r="H147" s="8" t="n">
        <v>15</v>
      </c>
      <c r="I147" s="10" t="n">
        <v>45450</v>
      </c>
      <c r="J147" s="11" t="n">
        <v>0.551493055550961</v>
      </c>
      <c r="K147" s="1" t="str">
        <f aca="false">IF(L147&gt;24,     IF(H147=2,"Couple Extended Day","Extended Day"), IF(L147&lt;=12,     IF(AND(MOD(D147,1)&gt;=TIME(6,0,0),MOD(D147,1)&lt;TIME(18,0,0)),         IF(H147=2,"Couple Half Day","12H Day"),         IF(H147=2,"Couple Half Night","12H Night")), IF(L147&lt;=24,     IF(AND(MOD(D147,1)&gt;=TIME(6,0,0),MOD(D147,1)&lt;TIME(18,0,0)),         IF(H147=2,"Couple Full Day","24H Day"),         IF(H147=2,"Couple Full Night","24H Night")), "Check Data")))</f>
        <v>24H Night</v>
      </c>
      <c r="L147" s="12" t="n">
        <f aca="false">((INT(E147)+MOD(F147,1))-(INT(C147)+MOD(D147,1)))*24</f>
        <v>22.9999999990105</v>
      </c>
      <c r="M147" s="1" t="n">
        <f aca="false">IFERROR(INDEX(Sheet3!$B$2:$B$500,MATCH(1,(INT(C147)+MOD(D147,1)&lt;INT(Sheet3!$A$2:$A$500)+TIME(18,0,0))*(INT(E147)+MOD(F147,1)&gt;=INT(Sheet3!$A$2:$A$500)),0)),0)</f>
        <v>0</v>
      </c>
      <c r="N147" s="1" t="n">
        <f aca="false">IF(OR( AND(Q147=6,D147&gt;=TIME(17,0,0),OR(K147="12H Night",K147="Couple Half Night",K147="24H Night",K147="Couple Full Night")), AND(Q147=7,D147&gt;=TIME(6,0,0),D147&lt;TIME(12,0,0),OR(K147="12H Day",K147="Couple Half Day",K147="24H Day",K147="Couple Full Day")) ),1,0)</f>
        <v>0</v>
      </c>
      <c r="O147" s="1" t="n">
        <f aca="false">IF(OR( AND(MONTH(C147)=12,DAY(C147)&gt;=26), AND(MONTH(C147)=4,DAY(C147)&gt;=15), MONTH(C147)=5, AND(MONTH(C147)=6,DAY(C147)&lt;=10) ),1,0)</f>
        <v>1</v>
      </c>
      <c r="P147" s="1" t="str">
        <f aca="false">IF(OR(MONTH(C147)=3,MONTH(C147)=4,MONTH(C147)=5,MONTH(C147)=6), "Summer", IF(OR(MONTH(C147)=7,MONTH(C147)=8,MONTH(C147)=9,MONTH(C147)=10), "Monsoon", "Winter"))</f>
        <v>Summer</v>
      </c>
      <c r="Q147" s="1" t="n">
        <f aca="false">WEEKDAY(C147,2)</f>
        <v>5</v>
      </c>
      <c r="R147" s="0" t="n">
        <f aca="false">ROUNDDOWN(((INT(C147)+MOD(D147,1))-(INT(I147)+MOD(J147,1))),0)</f>
        <v>0</v>
      </c>
      <c r="S147" s="10"/>
    </row>
    <row r="148" customFormat="false" ht="180.95" hidden="false" customHeight="false" outlineLevel="0" collapsed="false">
      <c r="A148" s="8" t="s">
        <v>300</v>
      </c>
      <c r="B148" s="22" t="s">
        <v>301</v>
      </c>
      <c r="C148" s="18" t="n">
        <v>45451.7916666667</v>
      </c>
      <c r="D148" s="19" t="n">
        <v>45451.7916666667</v>
      </c>
      <c r="E148" s="18" t="n">
        <v>45452.75</v>
      </c>
      <c r="F148" s="19" t="n">
        <v>45452.75</v>
      </c>
      <c r="G148" s="20" t="n">
        <v>13000</v>
      </c>
      <c r="H148" s="8" t="n">
        <v>10</v>
      </c>
      <c r="I148" s="10" t="n">
        <v>45450</v>
      </c>
      <c r="J148" s="11" t="n">
        <v>0.917592592595613</v>
      </c>
      <c r="K148" s="1" t="str">
        <f aca="false">IF(L148&gt;24,     IF(H148=2,"Couple Extended Day","Extended Day"), IF(L148&lt;=12,     IF(AND(MOD(D148,1)&gt;=TIME(6,0,0),MOD(D148,1)&lt;TIME(18,0,0)),         IF(H148=2,"Couple Half Day","12H Day"),         IF(H148=2,"Couple Half Night","12H Night")), IF(L148&lt;=24,     IF(AND(MOD(D148,1)&gt;=TIME(6,0,0),MOD(D148,1)&lt;TIME(18,0,0)),         IF(H148=2,"Couple Full Day","24H Day"),         IF(H148=2,"Couple Full Night","24H Night")), "Check Data")))</f>
        <v>24H Night</v>
      </c>
      <c r="L148" s="12" t="n">
        <f aca="false">((INT(E148)+MOD(F148,1))-(INT(C148)+MOD(D148,1)))*24</f>
        <v>22.9999999990105</v>
      </c>
      <c r="M148" s="1" t="n">
        <f aca="false">IFERROR(INDEX(Sheet3!$B$2:$B$500,MATCH(1,(INT(C148)+MOD(D148,1)&lt;INT(Sheet3!$A$2:$A$500)+TIME(18,0,0))*(INT(E148)+MOD(F148,1)&gt;=INT(Sheet3!$A$2:$A$500)),0)),0)</f>
        <v>0</v>
      </c>
      <c r="N148" s="1" t="n">
        <f aca="false">IF(OR( AND(Q148=6,D148&gt;=TIME(17,0,0),OR(K148="12H Night",K148="Couple Half Night",K148="24H Night",K148="Couple Full Night")), AND(Q148=7,D148&gt;=TIME(6,0,0),D148&lt;TIME(12,0,0),OR(K148="12H Day",K148="Couple Half Day",K148="24H Day",K148="Couple Full Day")) ),1,0)</f>
        <v>1</v>
      </c>
      <c r="O148" s="1" t="n">
        <f aca="false">IF(OR( AND(MONTH(C148)=12,DAY(C148)&gt;=26), AND(MONTH(C148)=4,DAY(C148)&gt;=15), MONTH(C148)=5, AND(MONTH(C148)=6,DAY(C148)&lt;=10) ),1,0)</f>
        <v>1</v>
      </c>
      <c r="P148" s="1" t="str">
        <f aca="false">IF(OR(MONTH(C148)=3,MONTH(C148)=4,MONTH(C148)=5,MONTH(C148)=6), "Summer", IF(OR(MONTH(C148)=7,MONTH(C148)=8,MONTH(C148)=9,MONTH(C148)=10), "Monsoon", "Winter"))</f>
        <v>Summer</v>
      </c>
      <c r="Q148" s="1" t="n">
        <f aca="false">WEEKDAY(C148,2)</f>
        <v>6</v>
      </c>
      <c r="R148" s="0" t="n">
        <f aca="false">ROUNDDOWN(((INT(C148)+MOD(D148,1))-(INT(I148)+MOD(J148,1))),0)</f>
        <v>0</v>
      </c>
      <c r="S148" s="10"/>
    </row>
    <row r="149" customFormat="false" ht="192.95" hidden="false" customHeight="false" outlineLevel="0" collapsed="false">
      <c r="A149" s="8" t="s">
        <v>302</v>
      </c>
      <c r="B149" s="22" t="s">
        <v>303</v>
      </c>
      <c r="C149" s="18" t="n">
        <v>45452.8125</v>
      </c>
      <c r="D149" s="19" t="n">
        <v>45452.8125</v>
      </c>
      <c r="E149" s="18" t="n">
        <v>45453.75</v>
      </c>
      <c r="F149" s="19" t="n">
        <v>45453.75</v>
      </c>
      <c r="G149" s="20" t="n">
        <v>5500</v>
      </c>
      <c r="H149" s="8" t="n">
        <v>7</v>
      </c>
      <c r="I149" s="10" t="n">
        <v>45451</v>
      </c>
      <c r="J149" s="11" t="n">
        <v>0.802094907412535</v>
      </c>
      <c r="K149" s="1" t="str">
        <f aca="false">IF(L149&gt;24,     IF(H149=2,"Couple Extended Day","Extended Day"), IF(L149&lt;=12,     IF(AND(MOD(D149,1)&gt;=TIME(6,0,0),MOD(D149,1)&lt;TIME(18,0,0)),         IF(H149=2,"Couple Half Day","12H Day"),         IF(H149=2,"Couple Half Night","12H Night")), IF(L149&lt;=24,     IF(AND(MOD(D149,1)&gt;=TIME(6,0,0),MOD(D149,1)&lt;TIME(18,0,0)),         IF(H149=2,"Couple Full Day","24H Day"),         IF(H149=2,"Couple Full Night","24H Night")), "Check Data")))</f>
        <v>24H Night</v>
      </c>
      <c r="L149" s="12" t="n">
        <f aca="false">((INT(E149)+MOD(F149,1))-(INT(C149)+MOD(D149,1)))*24</f>
        <v>22.5</v>
      </c>
      <c r="M149" s="1" t="n">
        <f aca="false">IFERROR(INDEX(Sheet3!$B$2:$B$500,MATCH(1,(INT(C149)+MOD(D149,1)&lt;INT(Sheet3!$A$2:$A$500)+TIME(18,0,0))*(INT(E149)+MOD(F149,1)&gt;=INT(Sheet3!$A$2:$A$500)),0)),0)</f>
        <v>0</v>
      </c>
      <c r="N149" s="1" t="n">
        <f aca="false">IF(OR( AND(Q149=6,D149&gt;=TIME(17,0,0),OR(K149="12H Night",K149="Couple Half Night",K149="24H Night",K149="Couple Full Night")), AND(Q149=7,D149&gt;=TIME(6,0,0),D149&lt;TIME(12,0,0),OR(K149="12H Day",K149="Couple Half Day",K149="24H Day",K149="Couple Full Day")) ),1,0)</f>
        <v>0</v>
      </c>
      <c r="O149" s="1" t="n">
        <f aca="false">IF(OR( AND(MONTH(C149)=12,DAY(C149)&gt;=26), AND(MONTH(C149)=4,DAY(C149)&gt;=15), MONTH(C149)=5, AND(MONTH(C149)=6,DAY(C149)&lt;=10) ),1,0)</f>
        <v>1</v>
      </c>
      <c r="P149" s="1" t="str">
        <f aca="false">IF(OR(MONTH(C149)=3,MONTH(C149)=4,MONTH(C149)=5,MONTH(C149)=6), "Summer", IF(OR(MONTH(C149)=7,MONTH(C149)=8,MONTH(C149)=9,MONTH(C149)=10), "Monsoon", "Winter"))</f>
        <v>Summer</v>
      </c>
      <c r="Q149" s="1" t="n">
        <f aca="false">WEEKDAY(C149,2)</f>
        <v>7</v>
      </c>
      <c r="R149" s="0" t="n">
        <f aca="false">ROUNDDOWN(((INT(C149)+MOD(D149,1))-(INT(I149)+MOD(J149,1))),0)</f>
        <v>1</v>
      </c>
      <c r="S149" s="10"/>
    </row>
    <row r="150" customFormat="false" ht="13.8" hidden="false" customHeight="false" outlineLevel="0" collapsed="false">
      <c r="A150" s="8" t="s">
        <v>304</v>
      </c>
      <c r="B150" s="8" t="s">
        <v>305</v>
      </c>
      <c r="C150" s="18" t="n">
        <v>45454.5416666667</v>
      </c>
      <c r="D150" s="19" t="n">
        <v>45454.5416666667</v>
      </c>
      <c r="E150" s="18" t="n">
        <v>45454.75</v>
      </c>
      <c r="F150" s="19" t="n">
        <v>45454.75</v>
      </c>
      <c r="G150" s="20" t="n">
        <v>3000</v>
      </c>
      <c r="I150" s="10" t="n">
        <v>45454</v>
      </c>
      <c r="J150" s="11" t="n">
        <v>0.602476851854595</v>
      </c>
      <c r="K150" s="1" t="str">
        <f aca="false">IF(L150&gt;24,     IF(H150=2,"Couple Extended Day","Extended Day"), IF(L150&lt;=12,     IF(AND(MOD(D150,1)&gt;=TIME(6,0,0),MOD(D150,1)&lt;TIME(18,0,0)),         IF(H150=2,"Couple Half Day","12H Day"),         IF(H150=2,"Couple Half Night","12H Night")), IF(L150&lt;=24,     IF(AND(MOD(D150,1)&gt;=TIME(6,0,0),MOD(D150,1)&lt;TIME(18,0,0)),         IF(H150=2,"Couple Full Day","24H Day"),         IF(H150=2,"Couple Full Night","24H Night")), "Check Data")))</f>
        <v>12H Day</v>
      </c>
      <c r="L150" s="12" t="n">
        <f aca="false">((INT(E150)+MOD(F150,1))-(INT(C150)+MOD(D150,1)))*24</f>
        <v>4.99999999901047</v>
      </c>
      <c r="M150" s="1" t="n">
        <f aca="false">IFERROR(INDEX(Sheet3!$B$2:$B$500,MATCH(1,(INT(C150)+MOD(D150,1)&lt;INT(Sheet3!$A$2:$A$500)+TIME(18,0,0))*(INT(E150)+MOD(F150,1)&gt;=INT(Sheet3!$A$2:$A$500)),0)),0)</f>
        <v>0</v>
      </c>
      <c r="N150" s="1" t="n">
        <f aca="false">IF(OR( AND(Q150=6,D150&gt;=TIME(17,0,0),OR(K150="12H Night",K150="Couple Half Night",K150="24H Night",K150="Couple Full Night")), AND(Q150=7,D150&gt;=TIME(6,0,0),D150&lt;TIME(12,0,0),OR(K150="12H Day",K150="Couple Half Day",K150="24H Day",K150="Couple Full Day")) ),1,0)</f>
        <v>0</v>
      </c>
      <c r="O150" s="1" t="n">
        <f aca="false">IF(OR( AND(MONTH(C150)=12,DAY(C150)&gt;=26), AND(MONTH(C150)=4,DAY(C150)&gt;=15), MONTH(C150)=5, AND(MONTH(C150)=6,DAY(C150)&lt;=10) ),1,0)</f>
        <v>0</v>
      </c>
      <c r="P150" s="1" t="str">
        <f aca="false">IF(OR(MONTH(C150)=3,MONTH(C150)=4,MONTH(C150)=5,MONTH(C150)=6), "Summer", IF(OR(MONTH(C150)=7,MONTH(C150)=8,MONTH(C150)=9,MONTH(C150)=10), "Monsoon", "Winter"))</f>
        <v>Summer</v>
      </c>
      <c r="Q150" s="1" t="n">
        <f aca="false">WEEKDAY(C150,2)</f>
        <v>2</v>
      </c>
      <c r="R150" s="0" t="n">
        <f aca="false">ROUNDDOWN(((INT(C150)+MOD(D150,1))-(INT(I150)+MOD(J150,1))),0)</f>
        <v>-0</v>
      </c>
      <c r="S150" s="10"/>
    </row>
    <row r="151" customFormat="false" ht="192.95" hidden="false" customHeight="false" outlineLevel="0" collapsed="false">
      <c r="A151" s="8" t="s">
        <v>306</v>
      </c>
      <c r="B151" s="22" t="s">
        <v>307</v>
      </c>
      <c r="C151" s="18" t="n">
        <v>45454.7916666667</v>
      </c>
      <c r="D151" s="19" t="n">
        <v>45454.7916666667</v>
      </c>
      <c r="E151" s="18" t="n">
        <v>45455.75</v>
      </c>
      <c r="F151" s="19" t="n">
        <v>45455.75</v>
      </c>
      <c r="G151" s="20" t="n">
        <v>5500</v>
      </c>
      <c r="H151" s="8" t="n">
        <v>7</v>
      </c>
      <c r="I151" s="10" t="n">
        <v>45449</v>
      </c>
      <c r="J151" s="11" t="n">
        <v>0.876736111109491</v>
      </c>
      <c r="K151" s="1" t="str">
        <f aca="false">IF(L151&gt;24,     IF(H151=2,"Couple Extended Day","Extended Day"), IF(L151&lt;=12,     IF(AND(MOD(D151,1)&gt;=TIME(6,0,0),MOD(D151,1)&lt;TIME(18,0,0)),         IF(H151=2,"Couple Half Day","12H Day"),         IF(H151=2,"Couple Half Night","12H Night")), IF(L151&lt;=24,     IF(AND(MOD(D151,1)&gt;=TIME(6,0,0),MOD(D151,1)&lt;TIME(18,0,0)),         IF(H151=2,"Couple Full Day","24H Day"),         IF(H151=2,"Couple Full Night","24H Night")), "Check Data")))</f>
        <v>24H Night</v>
      </c>
      <c r="L151" s="12" t="n">
        <f aca="false">((INT(E151)+MOD(F151,1))-(INT(C151)+MOD(D151,1)))*24</f>
        <v>22.9999999990105</v>
      </c>
      <c r="M151" s="1" t="n">
        <f aca="false">IFERROR(INDEX(Sheet3!$B$2:$B$500,MATCH(1,(INT(C151)+MOD(D151,1)&lt;INT(Sheet3!$A$2:$A$500)+TIME(18,0,0))*(INT(E151)+MOD(F151,1)&gt;=INT(Sheet3!$A$2:$A$500)),0)),0)</f>
        <v>0</v>
      </c>
      <c r="N151" s="1" t="n">
        <f aca="false">IF(OR( AND(Q151=6,D151&gt;=TIME(17,0,0),OR(K151="12H Night",K151="Couple Half Night",K151="24H Night",K151="Couple Full Night")), AND(Q151=7,D151&gt;=TIME(6,0,0),D151&lt;TIME(12,0,0),OR(K151="12H Day",K151="Couple Half Day",K151="24H Day",K151="Couple Full Day")) ),1,0)</f>
        <v>0</v>
      </c>
      <c r="O151" s="1" t="n">
        <f aca="false">IF(OR( AND(MONTH(C151)=12,DAY(C151)&gt;=26), AND(MONTH(C151)=4,DAY(C151)&gt;=15), MONTH(C151)=5, AND(MONTH(C151)=6,DAY(C151)&lt;=10) ),1,0)</f>
        <v>0</v>
      </c>
      <c r="P151" s="1" t="str">
        <f aca="false">IF(OR(MONTH(C151)=3,MONTH(C151)=4,MONTH(C151)=5,MONTH(C151)=6), "Summer", IF(OR(MONTH(C151)=7,MONTH(C151)=8,MONTH(C151)=9,MONTH(C151)=10), "Monsoon", "Winter"))</f>
        <v>Summer</v>
      </c>
      <c r="Q151" s="1" t="n">
        <f aca="false">WEEKDAY(C151,2)</f>
        <v>2</v>
      </c>
      <c r="R151" s="0" t="n">
        <f aca="false">ROUNDDOWN(((INT(C151)+MOD(D151,1))-(INT(I151)+MOD(J151,1))),0)</f>
        <v>4</v>
      </c>
      <c r="S151" s="10"/>
    </row>
    <row r="152" customFormat="false" ht="145.05" hidden="false" customHeight="false" outlineLevel="0" collapsed="false">
      <c r="A152" s="8" t="s">
        <v>238</v>
      </c>
      <c r="B152" s="22" t="s">
        <v>308</v>
      </c>
      <c r="C152" s="18" t="n">
        <v>45455.7916666667</v>
      </c>
      <c r="D152" s="19" t="n">
        <v>45455.7916666667</v>
      </c>
      <c r="E152" s="18" t="n">
        <v>45456.75</v>
      </c>
      <c r="F152" s="19" t="n">
        <v>45456.75</v>
      </c>
      <c r="G152" s="20" t="n">
        <v>5000</v>
      </c>
      <c r="H152" s="8" t="n">
        <v>7</v>
      </c>
      <c r="I152" s="10" t="n">
        <v>45454</v>
      </c>
      <c r="J152" s="11" t="n">
        <v>0.43435185185081</v>
      </c>
      <c r="K152" s="1" t="str">
        <f aca="false">IF(L152&gt;24,     IF(H152=2,"Couple Extended Day","Extended Day"), IF(L152&lt;=12,     IF(AND(MOD(D152,1)&gt;=TIME(6,0,0),MOD(D152,1)&lt;TIME(18,0,0)),         IF(H152=2,"Couple Half Day","12H Day"),         IF(H152=2,"Couple Half Night","12H Night")), IF(L152&lt;=24,     IF(AND(MOD(D152,1)&gt;=TIME(6,0,0),MOD(D152,1)&lt;TIME(18,0,0)),         IF(H152=2,"Couple Full Day","24H Day"),         IF(H152=2,"Couple Full Night","24H Night")), "Check Data")))</f>
        <v>24H Night</v>
      </c>
      <c r="L152" s="12" t="n">
        <f aca="false">((INT(E152)+MOD(F152,1))-(INT(C152)+MOD(D152,1)))*24</f>
        <v>22.9999999990105</v>
      </c>
      <c r="M152" s="1" t="n">
        <f aca="false">IFERROR(INDEX(Sheet3!$B$2:$B$500,MATCH(1,(INT(C152)+MOD(D152,1)&lt;INT(Sheet3!$A$2:$A$500)+TIME(18,0,0))*(INT(E152)+MOD(F152,1)&gt;=INT(Sheet3!$A$2:$A$500)),0)),0)</f>
        <v>0</v>
      </c>
      <c r="N152" s="1" t="n">
        <f aca="false">IF(OR( AND(Q152=6,D152&gt;=TIME(17,0,0),OR(K152="12H Night",K152="Couple Half Night",K152="24H Night",K152="Couple Full Night")), AND(Q152=7,D152&gt;=TIME(6,0,0),D152&lt;TIME(12,0,0),OR(K152="12H Day",K152="Couple Half Day",K152="24H Day",K152="Couple Full Day")) ),1,0)</f>
        <v>0</v>
      </c>
      <c r="O152" s="1" t="n">
        <f aca="false">IF(OR( AND(MONTH(C152)=12,DAY(C152)&gt;=26), AND(MONTH(C152)=4,DAY(C152)&gt;=15), MONTH(C152)=5, AND(MONTH(C152)=6,DAY(C152)&lt;=10) ),1,0)</f>
        <v>0</v>
      </c>
      <c r="P152" s="1" t="str">
        <f aca="false">IF(OR(MONTH(C152)=3,MONTH(C152)=4,MONTH(C152)=5,MONTH(C152)=6), "Summer", IF(OR(MONTH(C152)=7,MONTH(C152)=8,MONTH(C152)=9,MONTH(C152)=10), "Monsoon", "Winter"))</f>
        <v>Summer</v>
      </c>
      <c r="Q152" s="1" t="n">
        <f aca="false">WEEKDAY(C152,2)</f>
        <v>3</v>
      </c>
      <c r="R152" s="0" t="n">
        <f aca="false">ROUNDDOWN(((INT(C152)+MOD(D152,1))-(INT(I152)+MOD(J152,1))),0)</f>
        <v>1</v>
      </c>
      <c r="S152" s="10"/>
    </row>
    <row r="153" customFormat="false" ht="192.95" hidden="false" customHeight="false" outlineLevel="0" collapsed="false">
      <c r="A153" s="8" t="s">
        <v>309</v>
      </c>
      <c r="B153" s="22" t="s">
        <v>310</v>
      </c>
      <c r="C153" s="18" t="n">
        <v>45456.7916666667</v>
      </c>
      <c r="D153" s="19" t="n">
        <v>45456.7916666667</v>
      </c>
      <c r="E153" s="18" t="n">
        <v>45457.75</v>
      </c>
      <c r="F153" s="19" t="n">
        <v>45457.75</v>
      </c>
      <c r="G153" s="20" t="n">
        <v>5500</v>
      </c>
      <c r="H153" s="8" t="n">
        <v>10</v>
      </c>
      <c r="I153" s="10" t="n">
        <v>45454</v>
      </c>
      <c r="J153" s="11" t="n">
        <v>0.600486111114155</v>
      </c>
      <c r="K153" s="1" t="str">
        <f aca="false">IF(L153&gt;24,     IF(H153=2,"Couple Extended Day","Extended Day"), IF(L153&lt;=12,     IF(AND(MOD(D153,1)&gt;=TIME(6,0,0),MOD(D153,1)&lt;TIME(18,0,0)),         IF(H153=2,"Couple Half Day","12H Day"),         IF(H153=2,"Couple Half Night","12H Night")), IF(L153&lt;=24,     IF(AND(MOD(D153,1)&gt;=TIME(6,0,0),MOD(D153,1)&lt;TIME(18,0,0)),         IF(H153=2,"Couple Full Day","24H Day"),         IF(H153=2,"Couple Full Night","24H Night")), "Check Data")))</f>
        <v>24H Night</v>
      </c>
      <c r="L153" s="12" t="n">
        <f aca="false">((INT(E153)+MOD(F153,1))-(INT(C153)+MOD(D153,1)))*24</f>
        <v>22.9999999990105</v>
      </c>
      <c r="M153" s="1" t="n">
        <f aca="false">IFERROR(INDEX(Sheet3!$B$2:$B$500,MATCH(1,(INT(C153)+MOD(D153,1)&lt;INT(Sheet3!$A$2:$A$500)+TIME(18,0,0))*(INT(E153)+MOD(F153,1)&gt;=INT(Sheet3!$A$2:$A$500)),0)),0)</f>
        <v>0</v>
      </c>
      <c r="N153" s="1" t="n">
        <f aca="false">IF(OR( AND(Q153=6,D153&gt;=TIME(17,0,0),OR(K153="12H Night",K153="Couple Half Night",K153="24H Night",K153="Couple Full Night")), AND(Q153=7,D153&gt;=TIME(6,0,0),D153&lt;TIME(12,0,0),OR(K153="12H Day",K153="Couple Half Day",K153="24H Day",K153="Couple Full Day")) ),1,0)</f>
        <v>0</v>
      </c>
      <c r="O153" s="1" t="n">
        <f aca="false">IF(OR( AND(MONTH(C153)=12,DAY(C153)&gt;=26), AND(MONTH(C153)=4,DAY(C153)&gt;=15), MONTH(C153)=5, AND(MONTH(C153)=6,DAY(C153)&lt;=10) ),1,0)</f>
        <v>0</v>
      </c>
      <c r="P153" s="1" t="str">
        <f aca="false">IF(OR(MONTH(C153)=3,MONTH(C153)=4,MONTH(C153)=5,MONTH(C153)=6), "Summer", IF(OR(MONTH(C153)=7,MONTH(C153)=8,MONTH(C153)=9,MONTH(C153)=10), "Monsoon", "Winter"))</f>
        <v>Summer</v>
      </c>
      <c r="Q153" s="1" t="n">
        <f aca="false">WEEKDAY(C153,2)</f>
        <v>4</v>
      </c>
      <c r="R153" s="0" t="n">
        <f aca="false">ROUNDDOWN(((INT(C153)+MOD(D153,1))-(INT(I153)+MOD(J153,1))),0)</f>
        <v>2</v>
      </c>
      <c r="S153" s="10"/>
    </row>
    <row r="154" customFormat="false" ht="192.95" hidden="false" customHeight="false" outlineLevel="0" collapsed="false">
      <c r="A154" s="8" t="s">
        <v>311</v>
      </c>
      <c r="B154" s="22" t="s">
        <v>312</v>
      </c>
      <c r="C154" s="18" t="n">
        <v>45457.7916666667</v>
      </c>
      <c r="D154" s="19" t="n">
        <v>45457.7916666667</v>
      </c>
      <c r="E154" s="18" t="n">
        <v>45458.75</v>
      </c>
      <c r="F154" s="19" t="n">
        <v>45458.75</v>
      </c>
      <c r="G154" s="20" t="n">
        <v>6000</v>
      </c>
      <c r="H154" s="8" t="n">
        <v>10</v>
      </c>
      <c r="I154" s="10" t="n">
        <v>45455</v>
      </c>
      <c r="J154" s="11" t="n">
        <v>0.585949074069502</v>
      </c>
      <c r="K154" s="1" t="str">
        <f aca="false">IF(L154&gt;24,     IF(H154=2,"Couple Extended Day","Extended Day"), IF(L154&lt;=12,     IF(AND(MOD(D154,1)&gt;=TIME(6,0,0),MOD(D154,1)&lt;TIME(18,0,0)),         IF(H154=2,"Couple Half Day","12H Day"),         IF(H154=2,"Couple Half Night","12H Night")), IF(L154&lt;=24,     IF(AND(MOD(D154,1)&gt;=TIME(6,0,0),MOD(D154,1)&lt;TIME(18,0,0)),         IF(H154=2,"Couple Full Day","24H Day"),         IF(H154=2,"Couple Full Night","24H Night")), "Check Data")))</f>
        <v>24H Night</v>
      </c>
      <c r="L154" s="12" t="n">
        <f aca="false">((INT(E154)+MOD(F154,1))-(INT(C154)+MOD(D154,1)))*24</f>
        <v>22.9999999990105</v>
      </c>
      <c r="M154" s="1" t="n">
        <f aca="false">IFERROR(INDEX(Sheet3!$B$2:$B$500,MATCH(1,(INT(C154)+MOD(D154,1)&lt;INT(Sheet3!$A$2:$A$500)+TIME(18,0,0))*(INT(E154)+MOD(F154,1)&gt;=INT(Sheet3!$A$2:$A$500)),0)),0)</f>
        <v>0</v>
      </c>
      <c r="N154" s="1" t="n">
        <f aca="false">IF(OR( AND(Q154=6,D154&gt;=TIME(17,0,0),OR(K154="12H Night",K154="Couple Half Night",K154="24H Night",K154="Couple Full Night")), AND(Q154=7,D154&gt;=TIME(6,0,0),D154&lt;TIME(12,0,0),OR(K154="12H Day",K154="Couple Half Day",K154="24H Day",K154="Couple Full Day")) ),1,0)</f>
        <v>0</v>
      </c>
      <c r="O154" s="1" t="n">
        <f aca="false">IF(OR( AND(MONTH(C154)=12,DAY(C154)&gt;=26), AND(MONTH(C154)=4,DAY(C154)&gt;=15), MONTH(C154)=5, AND(MONTH(C154)=6,DAY(C154)&lt;=10) ),1,0)</f>
        <v>0</v>
      </c>
      <c r="P154" s="1" t="str">
        <f aca="false">IF(OR(MONTH(C154)=3,MONTH(C154)=4,MONTH(C154)=5,MONTH(C154)=6), "Summer", IF(OR(MONTH(C154)=7,MONTH(C154)=8,MONTH(C154)=9,MONTH(C154)=10), "Monsoon", "Winter"))</f>
        <v>Summer</v>
      </c>
      <c r="Q154" s="1" t="n">
        <f aca="false">WEEKDAY(C154,2)</f>
        <v>5</v>
      </c>
      <c r="R154" s="0" t="n">
        <f aca="false">ROUNDDOWN(((INT(C154)+MOD(D154,1))-(INT(I154)+MOD(J154,1))),0)</f>
        <v>2</v>
      </c>
      <c r="S154" s="10"/>
    </row>
    <row r="155" customFormat="false" ht="121.1" hidden="false" customHeight="false" outlineLevel="0" collapsed="false">
      <c r="A155" s="8" t="s">
        <v>313</v>
      </c>
      <c r="B155" s="22" t="s">
        <v>314</v>
      </c>
      <c r="C155" s="18" t="n">
        <v>45458.7916666667</v>
      </c>
      <c r="D155" s="19" t="n">
        <v>45458.7916666667</v>
      </c>
      <c r="E155" s="18" t="n">
        <v>45459.2916666667</v>
      </c>
      <c r="F155" s="19" t="n">
        <v>45459.2916666667</v>
      </c>
      <c r="G155" s="20" t="n">
        <v>3000</v>
      </c>
      <c r="H155" s="8" t="n">
        <v>10</v>
      </c>
      <c r="I155" s="10" t="n">
        <v>45458</v>
      </c>
      <c r="J155" s="11" t="n">
        <v>0.633125000000289</v>
      </c>
      <c r="K155" s="1" t="str">
        <f aca="false">IF(L155&gt;24,     IF(H155=2,"Couple Extended Day","Extended Day"), IF(L155&lt;=12,     IF(AND(MOD(D155,1)&gt;=TIME(6,0,0),MOD(D155,1)&lt;TIME(18,0,0)),         IF(H155=2,"Couple Half Day","12H Day"),         IF(H155=2,"Couple Half Night","12H Night")), IF(L155&lt;=24,     IF(AND(MOD(D155,1)&gt;=TIME(6,0,0),MOD(D155,1)&lt;TIME(18,0,0)),         IF(H155=2,"Couple Full Day","24H Day"),         IF(H155=2,"Couple Full Night","24H Night")), "Check Data")))</f>
        <v>12H Night</v>
      </c>
      <c r="L155" s="12" t="n">
        <f aca="false">((INT(E155)+MOD(F155,1))-(INT(C155)+MOD(D155,1)))*24</f>
        <v>12</v>
      </c>
      <c r="M155" s="1" t="n">
        <f aca="false">IFERROR(INDEX(Sheet3!$B$2:$B$500,MATCH(1,(INT(C155)+MOD(D155,1)&lt;INT(Sheet3!$A$2:$A$500)+TIME(18,0,0))*(INT(E155)+MOD(F155,1)&gt;=INT(Sheet3!$A$2:$A$500)),0)),0)</f>
        <v>0</v>
      </c>
      <c r="N155" s="1" t="n">
        <f aca="false">IF(OR( AND(Q155=6,D155&gt;=TIME(17,0,0),OR(K155="12H Night",K155="Couple Half Night",K155="24H Night",K155="Couple Full Night")), AND(Q155=7,D155&gt;=TIME(6,0,0),D155&lt;TIME(12,0,0),OR(K155="12H Day",K155="Couple Half Day",K155="24H Day",K155="Couple Full Day")) ),1,0)</f>
        <v>1</v>
      </c>
      <c r="O155" s="1" t="n">
        <f aca="false">IF(OR( AND(MONTH(C155)=12,DAY(C155)&gt;=26), AND(MONTH(C155)=4,DAY(C155)&gt;=15), MONTH(C155)=5, AND(MONTH(C155)=6,DAY(C155)&lt;=10) ),1,0)</f>
        <v>0</v>
      </c>
      <c r="P155" s="1" t="str">
        <f aca="false">IF(OR(MONTH(C155)=3,MONTH(C155)=4,MONTH(C155)=5,MONTH(C155)=6), "Summer", IF(OR(MONTH(C155)=7,MONTH(C155)=8,MONTH(C155)=9,MONTH(C155)=10), "Monsoon", "Winter"))</f>
        <v>Summer</v>
      </c>
      <c r="Q155" s="1" t="n">
        <f aca="false">WEEKDAY(C155,2)</f>
        <v>6</v>
      </c>
      <c r="R155" s="0" t="n">
        <f aca="false">ROUNDDOWN(((INT(C155)+MOD(D155,1))-(INT(I155)+MOD(J155,1))),0)</f>
        <v>0</v>
      </c>
      <c r="S155" s="10"/>
    </row>
    <row r="156" customFormat="false" ht="192.95" hidden="false" customHeight="false" outlineLevel="0" collapsed="false">
      <c r="A156" s="8" t="s">
        <v>315</v>
      </c>
      <c r="B156" s="22" t="s">
        <v>316</v>
      </c>
      <c r="C156" s="18" t="n">
        <v>45459.3541666667</v>
      </c>
      <c r="D156" s="19" t="n">
        <v>45459.3541666667</v>
      </c>
      <c r="E156" s="18" t="n">
        <v>45459.8541666667</v>
      </c>
      <c r="F156" s="19" t="n">
        <v>45459.8541666667</v>
      </c>
      <c r="G156" s="20" t="n">
        <v>10000</v>
      </c>
      <c r="H156" s="8" t="n">
        <v>20</v>
      </c>
      <c r="I156" s="10" t="n">
        <v>45458</v>
      </c>
      <c r="J156" s="11" t="n">
        <v>0.536990740743935</v>
      </c>
      <c r="K156" s="1" t="str">
        <f aca="false">IF(L156&gt;24,     IF(H156=2,"Couple Extended Day","Extended Day"), IF(L156&lt;=12,     IF(AND(MOD(D156,1)&gt;=TIME(6,0,0),MOD(D156,1)&lt;TIME(18,0,0)),         IF(H156=2,"Couple Half Day","12H Day"),         IF(H156=2,"Couple Half Night","12H Night")), IF(L156&lt;=24,     IF(AND(MOD(D156,1)&gt;=TIME(6,0,0),MOD(D156,1)&lt;TIME(18,0,0)),         IF(H156=2,"Couple Full Day","24H Day"),         IF(H156=2,"Couple Full Night","24H Night")), "Check Data")))</f>
        <v>12H Day</v>
      </c>
      <c r="L156" s="12" t="n">
        <f aca="false">((INT(E156)+MOD(F156,1))-(INT(C156)+MOD(D156,1)))*24</f>
        <v>12</v>
      </c>
      <c r="M156" s="1" t="n">
        <f aca="false">IFERROR(INDEX(Sheet3!$B$2:$B$500,MATCH(1,(INT(C156)+MOD(D156,1)&lt;INT(Sheet3!$A$2:$A$500)+TIME(18,0,0))*(INT(E156)+MOD(F156,1)&gt;=INT(Sheet3!$A$2:$A$500)),0)),0)</f>
        <v>0</v>
      </c>
      <c r="N156" s="1" t="n">
        <f aca="false">IF(OR( AND(Q156=6,D156&gt;=TIME(17,0,0),OR(K156="12H Night",K156="Couple Half Night",K156="24H Night",K156="Couple Full Night")), AND(Q156=7,D156&gt;=TIME(6,0,0),D156&lt;TIME(12,0,0),OR(K156="12H Day",K156="Couple Half Day",K156="24H Day",K156="Couple Full Day")) ),1,0)</f>
        <v>0</v>
      </c>
      <c r="O156" s="1" t="n">
        <f aca="false">IF(OR( AND(MONTH(C156)=12,DAY(C156)&gt;=26), AND(MONTH(C156)=4,DAY(C156)&gt;=15), MONTH(C156)=5, AND(MONTH(C156)=6,DAY(C156)&lt;=10) ),1,0)</f>
        <v>0</v>
      </c>
      <c r="P156" s="1" t="str">
        <f aca="false">IF(OR(MONTH(C156)=3,MONTH(C156)=4,MONTH(C156)=5,MONTH(C156)=6), "Summer", IF(OR(MONTH(C156)=7,MONTH(C156)=8,MONTH(C156)=9,MONTH(C156)=10), "Monsoon", "Winter"))</f>
        <v>Summer</v>
      </c>
      <c r="Q156" s="1" t="n">
        <f aca="false">WEEKDAY(C156,2)</f>
        <v>7</v>
      </c>
      <c r="R156" s="0" t="n">
        <f aca="false">ROUNDDOWN(((INT(C156)+MOD(D156,1))-(INT(I156)+MOD(J156,1))),0)</f>
        <v>0</v>
      </c>
      <c r="S156" s="10"/>
    </row>
    <row r="157" customFormat="false" ht="204.9" hidden="false" customHeight="false" outlineLevel="0" collapsed="false">
      <c r="A157" s="8" t="s">
        <v>317</v>
      </c>
      <c r="B157" s="22" t="s">
        <v>318</v>
      </c>
      <c r="C157" s="18" t="n">
        <v>45459.7916666667</v>
      </c>
      <c r="D157" s="19" t="n">
        <v>45459.7916666667</v>
      </c>
      <c r="E157" s="18" t="n">
        <v>45460.75</v>
      </c>
      <c r="F157" s="19" t="n">
        <v>45460.75</v>
      </c>
      <c r="G157" s="20" t="n">
        <v>5500</v>
      </c>
      <c r="H157" s="8" t="n">
        <v>14</v>
      </c>
      <c r="I157" s="10" t="n">
        <v>45449</v>
      </c>
      <c r="J157" s="11" t="n">
        <v>0.395243055550961</v>
      </c>
      <c r="K157" s="1" t="str">
        <f aca="false">IF(L157&gt;24,     IF(H157=2,"Couple Extended Day","Extended Day"), IF(L157&lt;=12,     IF(AND(MOD(D157,1)&gt;=TIME(6,0,0),MOD(D157,1)&lt;TIME(18,0,0)),         IF(H157=2,"Couple Half Day","12H Day"),         IF(H157=2,"Couple Half Night","12H Night")), IF(L157&lt;=24,     IF(AND(MOD(D157,1)&gt;=TIME(6,0,0),MOD(D157,1)&lt;TIME(18,0,0)),         IF(H157=2,"Couple Full Day","24H Day"),         IF(H157=2,"Couple Full Night","24H Night")), "Check Data")))</f>
        <v>24H Night</v>
      </c>
      <c r="L157" s="12" t="n">
        <f aca="false">((INT(E157)+MOD(F157,1))-(INT(C157)+MOD(D157,1)))*24</f>
        <v>22.9999999990105</v>
      </c>
      <c r="M157" s="1" t="str">
        <f aca="false">IFERROR(INDEX(Sheet3!$B$2:$B$500,MATCH(1,(INT(C157)+MOD(D157,1)&lt;INT(Sheet3!$A$2:$A$500)+TIME(18,0,0))*(INT(E157)+MOD(F157,1)&gt;=INT(Sheet3!$A$2:$A$500)),0)),0)</f>
        <v>Bakrid</v>
      </c>
      <c r="N157" s="1" t="n">
        <f aca="false">IF(OR( AND(Q157=6,D157&gt;=TIME(17,0,0),OR(K157="12H Night",K157="Couple Half Night",K157="24H Night",K157="Couple Full Night")), AND(Q157=7,D157&gt;=TIME(6,0,0),D157&lt;TIME(12,0,0),OR(K157="12H Day",K157="Couple Half Day",K157="24H Day",K157="Couple Full Day")) ),1,0)</f>
        <v>0</v>
      </c>
      <c r="O157" s="1" t="n">
        <f aca="false">IF(OR( AND(MONTH(C157)=12,DAY(C157)&gt;=26), AND(MONTH(C157)=4,DAY(C157)&gt;=15), MONTH(C157)=5, AND(MONTH(C157)=6,DAY(C157)&lt;=10) ),1,0)</f>
        <v>0</v>
      </c>
      <c r="P157" s="1" t="str">
        <f aca="false">IF(OR(MONTH(C157)=3,MONTH(C157)=4,MONTH(C157)=5,MONTH(C157)=6), "Summer", IF(OR(MONTH(C157)=7,MONTH(C157)=8,MONTH(C157)=9,MONTH(C157)=10), "Monsoon", "Winter"))</f>
        <v>Summer</v>
      </c>
      <c r="Q157" s="1" t="n">
        <f aca="false">WEEKDAY(C157,2)</f>
        <v>7</v>
      </c>
      <c r="R157" s="0" t="n">
        <f aca="false">ROUNDDOWN(((INT(C157)+MOD(D157,1))-(INT(I157)+MOD(J157,1))),0)</f>
        <v>10</v>
      </c>
      <c r="S157" s="10"/>
    </row>
    <row r="158" customFormat="false" ht="13.8" hidden="false" customHeight="false" outlineLevel="0" collapsed="false">
      <c r="A158" s="8" t="s">
        <v>319</v>
      </c>
      <c r="B158" s="8" t="s">
        <v>320</v>
      </c>
      <c r="C158" s="18" t="n">
        <v>45463</v>
      </c>
      <c r="D158" s="19" t="n">
        <v>45463</v>
      </c>
      <c r="E158" s="18" t="n">
        <v>45463.0416666667</v>
      </c>
      <c r="F158" s="19" t="n">
        <v>45463.0416666667</v>
      </c>
      <c r="G158" s="20" t="n">
        <v>2000</v>
      </c>
      <c r="I158" s="10" t="n">
        <v>45464</v>
      </c>
      <c r="J158" s="11" t="n">
        <v>0.0075347222227662</v>
      </c>
      <c r="K158" s="1" t="str">
        <f aca="false">IF(L158&gt;24,     IF(H158=2,"Couple Extended Day","Extended Day"), IF(L158&lt;=12,     IF(AND(MOD(D158,1)&gt;=TIME(6,0,0),MOD(D158,1)&lt;TIME(18,0,0)),         IF(H158=2,"Couple Half Day","12H Day"),         IF(H158=2,"Couple Half Night","12H Night")), IF(L158&lt;=24,     IF(AND(MOD(D158,1)&gt;=TIME(6,0,0),MOD(D158,1)&lt;TIME(18,0,0)),         IF(H158=2,"Couple Full Day","24H Day"),         IF(H158=2,"Couple Full Night","24H Night")), "Check Data")))</f>
        <v>12H Night</v>
      </c>
      <c r="L158" s="12" t="n">
        <f aca="false">((INT(E158)+MOD(F158,1))-(INT(C158)+MOD(D158,1)))*24</f>
        <v>1.00000000098953</v>
      </c>
      <c r="M158" s="1" t="n">
        <f aca="false">IFERROR(INDEX(Sheet3!$B$2:$B$500,MATCH(1,(INT(C158)+MOD(D158,1)&lt;INT(Sheet3!$A$2:$A$500)+TIME(18,0,0))*(INT(E158)+MOD(F158,1)&gt;=INT(Sheet3!$A$2:$A$500)),0)),0)</f>
        <v>0</v>
      </c>
      <c r="N158" s="1" t="n">
        <f aca="false">IF(OR( AND(Q158=6,D158&gt;=TIME(17,0,0),OR(K158="12H Night",K158="Couple Half Night",K158="24H Night",K158="Couple Full Night")), AND(Q158=7,D158&gt;=TIME(6,0,0),D158&lt;TIME(12,0,0),OR(K158="12H Day",K158="Couple Half Day",K158="24H Day",K158="Couple Full Day")) ),1,0)</f>
        <v>0</v>
      </c>
      <c r="O158" s="1" t="n">
        <f aca="false">IF(OR( AND(MONTH(C158)=12,DAY(C158)&gt;=26), AND(MONTH(C158)=4,DAY(C158)&gt;=15), MONTH(C158)=5, AND(MONTH(C158)=6,DAY(C158)&lt;=10) ),1,0)</f>
        <v>0</v>
      </c>
      <c r="P158" s="1" t="str">
        <f aca="false">IF(OR(MONTH(C158)=3,MONTH(C158)=4,MONTH(C158)=5,MONTH(C158)=6), "Summer", IF(OR(MONTH(C158)=7,MONTH(C158)=8,MONTH(C158)=9,MONTH(C158)=10), "Monsoon", "Winter"))</f>
        <v>Summer</v>
      </c>
      <c r="Q158" s="1" t="n">
        <f aca="false">WEEKDAY(C158,2)</f>
        <v>4</v>
      </c>
      <c r="R158" s="0" t="n">
        <v>0</v>
      </c>
      <c r="S158" s="10"/>
    </row>
    <row r="159" customFormat="false" ht="216.9" hidden="false" customHeight="false" outlineLevel="0" collapsed="false">
      <c r="A159" s="8" t="s">
        <v>321</v>
      </c>
      <c r="B159" s="22" t="s">
        <v>322</v>
      </c>
      <c r="C159" s="18" t="n">
        <v>45464.2916666667</v>
      </c>
      <c r="D159" s="19" t="n">
        <v>45464.2916666667</v>
      </c>
      <c r="E159" s="18" t="n">
        <v>45464.75</v>
      </c>
      <c r="F159" s="19" t="n">
        <v>45464.75</v>
      </c>
      <c r="G159" s="20" t="n">
        <v>4000</v>
      </c>
      <c r="H159" s="8" t="n">
        <v>12</v>
      </c>
      <c r="I159" s="10" t="n">
        <v>45463</v>
      </c>
      <c r="J159" s="11" t="n">
        <v>0.823819444442049</v>
      </c>
      <c r="K159" s="1" t="str">
        <f aca="false">IF(L159&gt;24,     IF(H159=2,"Couple Extended Day","Extended Day"), IF(L159&lt;=12,     IF(AND(MOD(D159,1)&gt;=TIME(6,0,0),MOD(D159,1)&lt;TIME(18,0,0)),         IF(H159=2,"Couple Half Day","12H Day"),         IF(H159=2,"Couple Half Night","12H Night")), IF(L159&lt;=24,     IF(AND(MOD(D159,1)&gt;=TIME(6,0,0),MOD(D159,1)&lt;TIME(18,0,0)),         IF(H159=2,"Couple Full Day","24H Day"),         IF(H159=2,"Couple Full Night","24H Night")), "Check Data")))</f>
        <v>12H Day</v>
      </c>
      <c r="L159" s="12" t="n">
        <f aca="false">((INT(E159)+MOD(F159,1))-(INT(C159)+MOD(D159,1)))*24</f>
        <v>10.9999999990105</v>
      </c>
      <c r="M159" s="1" t="n">
        <f aca="false">IFERROR(INDEX(Sheet3!$B$2:$B$500,MATCH(1,(INT(C159)+MOD(D159,1)&lt;INT(Sheet3!$A$2:$A$500)+TIME(18,0,0))*(INT(E159)+MOD(F159,1)&gt;=INT(Sheet3!$A$2:$A$500)),0)),0)</f>
        <v>0</v>
      </c>
      <c r="N159" s="1" t="n">
        <f aca="false">IF(OR( AND(Q159=6,D159&gt;=TIME(17,0,0),OR(K159="12H Night",K159="Couple Half Night",K159="24H Night",K159="Couple Full Night")), AND(Q159=7,D159&gt;=TIME(6,0,0),D159&lt;TIME(12,0,0),OR(K159="12H Day",K159="Couple Half Day",K159="24H Day",K159="Couple Full Day")) ),1,0)</f>
        <v>0</v>
      </c>
      <c r="O159" s="1" t="n">
        <f aca="false">IF(OR( AND(MONTH(C159)=12,DAY(C159)&gt;=26), AND(MONTH(C159)=4,DAY(C159)&gt;=15), MONTH(C159)=5, AND(MONTH(C159)=6,DAY(C159)&lt;=10) ),1,0)</f>
        <v>0</v>
      </c>
      <c r="P159" s="1" t="str">
        <f aca="false">IF(OR(MONTH(C159)=3,MONTH(C159)=4,MONTH(C159)=5,MONTH(C159)=6), "Summer", IF(OR(MONTH(C159)=7,MONTH(C159)=8,MONTH(C159)=9,MONTH(C159)=10), "Monsoon", "Winter"))</f>
        <v>Summer</v>
      </c>
      <c r="Q159" s="1" t="n">
        <f aca="false">WEEKDAY(C159,2)</f>
        <v>5</v>
      </c>
      <c r="R159" s="0" t="n">
        <f aca="false">ROUNDDOWN(((INT(C159)+MOD(D159,1))-(INT(I159)+MOD(J159,1))),0)</f>
        <v>0</v>
      </c>
      <c r="S159" s="10"/>
    </row>
    <row r="160" customFormat="false" ht="192.95" hidden="false" customHeight="false" outlineLevel="0" collapsed="false">
      <c r="A160" s="8" t="s">
        <v>323</v>
      </c>
      <c r="B160" s="22" t="s">
        <v>324</v>
      </c>
      <c r="C160" s="18" t="n">
        <v>45465.2916666667</v>
      </c>
      <c r="D160" s="19" t="n">
        <v>45465.2916666667</v>
      </c>
      <c r="E160" s="18" t="n">
        <v>45465.75</v>
      </c>
      <c r="F160" s="19" t="n">
        <v>45465.75</v>
      </c>
      <c r="G160" s="20" t="n">
        <v>3200</v>
      </c>
      <c r="H160" s="8" t="n">
        <v>4</v>
      </c>
      <c r="I160" s="10" t="n">
        <v>45464</v>
      </c>
      <c r="J160" s="11" t="n">
        <v>0.740856481483206</v>
      </c>
      <c r="K160" s="1" t="str">
        <f aca="false">IF(L160&gt;24,     IF(H160=2,"Couple Extended Day","Extended Day"), IF(L160&lt;=12,     IF(AND(MOD(D160,1)&gt;=TIME(6,0,0),MOD(D160,1)&lt;TIME(18,0,0)),         IF(H160=2,"Couple Half Day","12H Day"),         IF(H160=2,"Couple Half Night","12H Night")), IF(L160&lt;=24,     IF(AND(MOD(D160,1)&gt;=TIME(6,0,0),MOD(D160,1)&lt;TIME(18,0,0)),         IF(H160=2,"Couple Full Day","24H Day"),         IF(H160=2,"Couple Full Night","24H Night")), "Check Data")))</f>
        <v>12H Day</v>
      </c>
      <c r="L160" s="12" t="n">
        <f aca="false">((INT(E160)+MOD(F160,1))-(INT(C160)+MOD(D160,1)))*24</f>
        <v>10.9999999990105</v>
      </c>
      <c r="M160" s="1" t="n">
        <f aca="false">IFERROR(INDEX(Sheet3!$B$2:$B$500,MATCH(1,(INT(C160)+MOD(D160,1)&lt;INT(Sheet3!$A$2:$A$500)+TIME(18,0,0))*(INT(E160)+MOD(F160,1)&gt;=INT(Sheet3!$A$2:$A$500)),0)),0)</f>
        <v>0</v>
      </c>
      <c r="N160" s="1" t="n">
        <f aca="false">IF(OR( AND(Q160=6,D160&gt;=TIME(17,0,0),OR(K160="12H Night",K160="Couple Half Night",K160="24H Night",K160="Couple Full Night")), AND(Q160=7,D160&gt;=TIME(6,0,0),D160&lt;TIME(12,0,0),OR(K160="12H Day",K160="Couple Half Day",K160="24H Day",K160="Couple Full Day")) ),1,0)</f>
        <v>0</v>
      </c>
      <c r="O160" s="1" t="n">
        <f aca="false">IF(OR( AND(MONTH(C160)=12,DAY(C160)&gt;=26), AND(MONTH(C160)=4,DAY(C160)&gt;=15), MONTH(C160)=5, AND(MONTH(C160)=6,DAY(C160)&lt;=10) ),1,0)</f>
        <v>0</v>
      </c>
      <c r="P160" s="1" t="str">
        <f aca="false">IF(OR(MONTH(C160)=3,MONTH(C160)=4,MONTH(C160)=5,MONTH(C160)=6), "Summer", IF(OR(MONTH(C160)=7,MONTH(C160)=8,MONTH(C160)=9,MONTH(C160)=10), "Monsoon", "Winter"))</f>
        <v>Summer</v>
      </c>
      <c r="Q160" s="1" t="n">
        <f aca="false">WEEKDAY(C160,2)</f>
        <v>6</v>
      </c>
      <c r="R160" s="0" t="n">
        <f aca="false">ROUNDDOWN(((INT(C160)+MOD(D160,1))-(INT(I160)+MOD(J160,1))),0)</f>
        <v>0</v>
      </c>
      <c r="S160" s="10"/>
    </row>
    <row r="161" customFormat="false" ht="192.95" hidden="false" customHeight="false" outlineLevel="0" collapsed="false">
      <c r="A161" s="8" t="s">
        <v>325</v>
      </c>
      <c r="B161" s="22" t="s">
        <v>326</v>
      </c>
      <c r="C161" s="18" t="n">
        <v>45465.7916666667</v>
      </c>
      <c r="D161" s="19" t="n">
        <v>45465.7916666667</v>
      </c>
      <c r="E161" s="18" t="n">
        <v>45466.75</v>
      </c>
      <c r="F161" s="19" t="n">
        <v>45466.75</v>
      </c>
      <c r="G161" s="20" t="n">
        <v>7000</v>
      </c>
      <c r="H161" s="8" t="n">
        <v>10</v>
      </c>
      <c r="I161" s="10" t="n">
        <v>45464</v>
      </c>
      <c r="J161" s="11" t="n">
        <v>0.519699074073287</v>
      </c>
      <c r="K161" s="1" t="str">
        <f aca="false">IF(L161&gt;24,     IF(H161=2,"Couple Extended Day","Extended Day"), IF(L161&lt;=12,     IF(AND(MOD(D161,1)&gt;=TIME(6,0,0),MOD(D161,1)&lt;TIME(18,0,0)),         IF(H161=2,"Couple Half Day","12H Day"),         IF(H161=2,"Couple Half Night","12H Night")), IF(L161&lt;=24,     IF(AND(MOD(D161,1)&gt;=TIME(6,0,0),MOD(D161,1)&lt;TIME(18,0,0)),         IF(H161=2,"Couple Full Day","24H Day"),         IF(H161=2,"Couple Full Night","24H Night")), "Check Data")))</f>
        <v>24H Night</v>
      </c>
      <c r="L161" s="12" t="n">
        <f aca="false">((INT(E161)+MOD(F161,1))-(INT(C161)+MOD(D161,1)))*24</f>
        <v>22.9999999990105</v>
      </c>
      <c r="M161" s="1" t="n">
        <f aca="false">IFERROR(INDEX(Sheet3!$B$2:$B$500,MATCH(1,(INT(C161)+MOD(D161,1)&lt;INT(Sheet3!$A$2:$A$500)+TIME(18,0,0))*(INT(E161)+MOD(F161,1)&gt;=INT(Sheet3!$A$2:$A$500)),0)),0)</f>
        <v>0</v>
      </c>
      <c r="N161" s="1" t="n">
        <f aca="false">IF(OR( AND(Q161=6,D161&gt;=TIME(17,0,0),OR(K161="12H Night",K161="Couple Half Night",K161="24H Night",K161="Couple Full Night")), AND(Q161=7,D161&gt;=TIME(6,0,0),D161&lt;TIME(12,0,0),OR(K161="12H Day",K161="Couple Half Day",K161="24H Day",K161="Couple Full Day")) ),1,0)</f>
        <v>1</v>
      </c>
      <c r="O161" s="1" t="n">
        <f aca="false">IF(OR( AND(MONTH(C161)=12,DAY(C161)&gt;=26), AND(MONTH(C161)=4,DAY(C161)&gt;=15), MONTH(C161)=5, AND(MONTH(C161)=6,DAY(C161)&lt;=10) ),1,0)</f>
        <v>0</v>
      </c>
      <c r="P161" s="1" t="str">
        <f aca="false">IF(OR(MONTH(C161)=3,MONTH(C161)=4,MONTH(C161)=5,MONTH(C161)=6), "Summer", IF(OR(MONTH(C161)=7,MONTH(C161)=8,MONTH(C161)=9,MONTH(C161)=10), "Monsoon", "Winter"))</f>
        <v>Summer</v>
      </c>
      <c r="Q161" s="1" t="n">
        <f aca="false">WEEKDAY(C161,2)</f>
        <v>6</v>
      </c>
      <c r="R161" s="0" t="n">
        <f aca="false">ROUNDDOWN(((INT(C161)+MOD(D161,1))-(INT(I161)+MOD(J161,1))),0)</f>
        <v>1</v>
      </c>
      <c r="S161" s="10"/>
    </row>
    <row r="162" customFormat="false" ht="192.95" hidden="false" customHeight="false" outlineLevel="0" collapsed="false">
      <c r="A162" s="8" t="s">
        <v>327</v>
      </c>
      <c r="B162" s="22" t="s">
        <v>328</v>
      </c>
      <c r="C162" s="18" t="n">
        <v>45466.8125</v>
      </c>
      <c r="D162" s="19" t="n">
        <v>45466.8125</v>
      </c>
      <c r="E162" s="18" t="n">
        <v>45467.8125</v>
      </c>
      <c r="F162" s="19" t="n">
        <v>45467.8125</v>
      </c>
      <c r="G162" s="20" t="n">
        <v>3300</v>
      </c>
      <c r="H162" s="8" t="n">
        <v>9</v>
      </c>
      <c r="I162" s="10" t="n">
        <v>45465</v>
      </c>
      <c r="J162" s="11" t="n">
        <v>0.551886574074155</v>
      </c>
      <c r="K162" s="1" t="str">
        <f aca="false">IF(L162&gt;24,     IF(H162=2,"Couple Extended Day","Extended Day"), IF(L162&lt;=12,     IF(AND(MOD(D162,1)&gt;=TIME(6,0,0),MOD(D162,1)&lt;TIME(18,0,0)),         IF(H162=2,"Couple Half Day","12H Day"),         IF(H162=2,"Couple Half Night","12H Night")), IF(L162&lt;=24,     IF(AND(MOD(D162,1)&gt;=TIME(6,0,0),MOD(D162,1)&lt;TIME(18,0,0)),         IF(H162=2,"Couple Full Day","24H Day"),         IF(H162=2,"Couple Full Night","24H Night")), "Check Data")))</f>
        <v>24H Night</v>
      </c>
      <c r="L162" s="12" t="n">
        <f aca="false">((INT(E162)+MOD(F162,1))-(INT(C162)+MOD(D162,1)))*24</f>
        <v>24</v>
      </c>
      <c r="M162" s="1" t="n">
        <f aca="false">IFERROR(INDEX(Sheet3!$B$2:$B$500,MATCH(1,(INT(C162)+MOD(D162,1)&lt;INT(Sheet3!$A$2:$A$500)+TIME(18,0,0))*(INT(E162)+MOD(F162,1)&gt;=INT(Sheet3!$A$2:$A$500)),0)),0)</f>
        <v>0</v>
      </c>
      <c r="N162" s="1" t="n">
        <f aca="false">IF(OR( AND(Q162=6,D162&gt;=TIME(17,0,0),OR(K162="12H Night",K162="Couple Half Night",K162="24H Night",K162="Couple Full Night")), AND(Q162=7,D162&gt;=TIME(6,0,0),D162&lt;TIME(12,0,0),OR(K162="12H Day",K162="Couple Half Day",K162="24H Day",K162="Couple Full Day")) ),1,0)</f>
        <v>0</v>
      </c>
      <c r="O162" s="1" t="n">
        <f aca="false">IF(OR( AND(MONTH(C162)=12,DAY(C162)&gt;=26), AND(MONTH(C162)=4,DAY(C162)&gt;=15), MONTH(C162)=5, AND(MONTH(C162)=6,DAY(C162)&lt;=10) ),1,0)</f>
        <v>0</v>
      </c>
      <c r="P162" s="1" t="str">
        <f aca="false">IF(OR(MONTH(C162)=3,MONTH(C162)=4,MONTH(C162)=5,MONTH(C162)=6), "Summer", IF(OR(MONTH(C162)=7,MONTH(C162)=8,MONTH(C162)=9,MONTH(C162)=10), "Monsoon", "Winter"))</f>
        <v>Summer</v>
      </c>
      <c r="Q162" s="1" t="n">
        <f aca="false">WEEKDAY(C162,2)</f>
        <v>7</v>
      </c>
      <c r="R162" s="0" t="n">
        <f aca="false">ROUNDDOWN(((INT(C162)+MOD(D162,1))-(INT(I162)+MOD(J162,1))),0)</f>
        <v>1</v>
      </c>
      <c r="S162" s="10"/>
    </row>
    <row r="163" customFormat="false" ht="192.95" hidden="false" customHeight="false" outlineLevel="0" collapsed="false">
      <c r="A163" s="8" t="s">
        <v>329</v>
      </c>
      <c r="B163" s="22" t="s">
        <v>330</v>
      </c>
      <c r="C163" s="18" t="n">
        <v>45467.8333333333</v>
      </c>
      <c r="D163" s="19" t="n">
        <v>0</v>
      </c>
      <c r="E163" s="18" t="n">
        <v>45468.3333333333</v>
      </c>
      <c r="F163" s="19" t="n">
        <v>0</v>
      </c>
      <c r="G163" s="20" t="n">
        <v>3000</v>
      </c>
      <c r="H163" s="8" t="n">
        <v>10</v>
      </c>
      <c r="I163" s="10" t="n">
        <v>45460</v>
      </c>
      <c r="J163" s="11" t="n">
        <v>0.453993055554745</v>
      </c>
      <c r="K163" s="1" t="str">
        <f aca="false">IF(L163&gt;24,     IF(H163=2,"Couple Extended Day","Extended Day"), IF(L163&lt;=12,     IF(AND(MOD(D163,1)&gt;=TIME(6,0,0),MOD(D163,1)&lt;TIME(18,0,0)),         IF(H163=2,"Couple Half Day","12H Day"),         IF(H163=2,"Couple Half Night","12H Night")), IF(L163&lt;=24,     IF(AND(MOD(D163,1)&gt;=TIME(6,0,0),MOD(D163,1)&lt;TIME(18,0,0)),         IF(H163=2,"Couple Full Day","24H Day"),         IF(H163=2,"Couple Full Night","24H Night")), "Check Data")))</f>
        <v>24H Night</v>
      </c>
      <c r="L163" s="12" t="n">
        <f aca="false">((INT(E163)+MOD(F163,1))-(INT(C163)+MOD(D163,1)))*24</f>
        <v>24</v>
      </c>
      <c r="M163" s="1" t="n">
        <f aca="false">IFERROR(INDEX(Sheet3!$B$2:$B$500,MATCH(1,(INT(C163)+MOD(D163,1)&lt;INT(Sheet3!$A$2:$A$500)+TIME(18,0,0))*(INT(E163)+MOD(F163,1)&gt;=INT(Sheet3!$A$2:$A$500)),0)),0)</f>
        <v>0</v>
      </c>
      <c r="N163" s="1" t="n">
        <f aca="false">IF(OR( AND(Q163=6,D163&gt;=TIME(17,0,0),OR(K163="12H Night",K163="Couple Half Night",K163="24H Night",K163="Couple Full Night")), AND(Q163=7,D163&gt;=TIME(6,0,0),D163&lt;TIME(12,0,0),OR(K163="12H Day",K163="Couple Half Day",K163="24H Day",K163="Couple Full Day")) ),1,0)</f>
        <v>0</v>
      </c>
      <c r="O163" s="1" t="n">
        <f aca="false">IF(OR( AND(MONTH(C163)=12,DAY(C163)&gt;=26), AND(MONTH(C163)=4,DAY(C163)&gt;=15), MONTH(C163)=5, AND(MONTH(C163)=6,DAY(C163)&lt;=10) ),1,0)</f>
        <v>0</v>
      </c>
      <c r="P163" s="1" t="str">
        <f aca="false">IF(OR(MONTH(C163)=3,MONTH(C163)=4,MONTH(C163)=5,MONTH(C163)=6), "Summer", IF(OR(MONTH(C163)=7,MONTH(C163)=8,MONTH(C163)=9,MONTH(C163)=10), "Monsoon", "Winter"))</f>
        <v>Summer</v>
      </c>
      <c r="Q163" s="1" t="n">
        <f aca="false">WEEKDAY(C163,2)</f>
        <v>1</v>
      </c>
      <c r="R163" s="0" t="n">
        <f aca="false">ROUNDDOWN(((INT(C163)+MOD(D163,1))-(INT(I163)+MOD(J163,1))),0)</f>
        <v>6</v>
      </c>
      <c r="S163" s="10"/>
    </row>
    <row r="164" customFormat="false" ht="13.8" hidden="false" customHeight="false" outlineLevel="0" collapsed="false">
      <c r="A164" s="8" t="s">
        <v>331</v>
      </c>
      <c r="B164" s="8" t="s">
        <v>332</v>
      </c>
      <c r="C164" s="18" t="n">
        <v>45471.5416666667</v>
      </c>
      <c r="D164" s="19" t="n">
        <v>45471.5416666667</v>
      </c>
      <c r="E164" s="18" t="n">
        <v>45471.75</v>
      </c>
      <c r="F164" s="19" t="n">
        <v>45471.75</v>
      </c>
      <c r="G164" s="20" t="n">
        <v>700</v>
      </c>
      <c r="I164" s="10" t="n">
        <v>45473</v>
      </c>
      <c r="J164" s="11" t="n">
        <v>0.0179513888870139</v>
      </c>
      <c r="K164" s="1" t="str">
        <f aca="false">IF(L164&gt;24,     IF(H164=2,"Couple Extended Day","Extended Day"), IF(L164&lt;=12,     IF(AND(MOD(D164,1)&gt;=TIME(6,0,0),MOD(D164,1)&lt;TIME(18,0,0)),         IF(H164=2,"Couple Half Day","12H Day"),         IF(H164=2,"Couple Half Night","12H Night")), IF(L164&lt;=24,     IF(AND(MOD(D164,1)&gt;=TIME(6,0,0),MOD(D164,1)&lt;TIME(18,0,0)),         IF(H164=2,"Couple Full Day","24H Day"),         IF(H164=2,"Couple Full Night","24H Night")), "Check Data")))</f>
        <v>12H Day</v>
      </c>
      <c r="L164" s="12" t="n">
        <f aca="false">((INT(E164)+MOD(F164,1))-(INT(C164)+MOD(D164,1)))*24</f>
        <v>4.99999999901047</v>
      </c>
      <c r="M164" s="1" t="n">
        <f aca="false">IFERROR(INDEX(Sheet3!$B$2:$B$500,MATCH(1,(INT(C164)+MOD(D164,1)&lt;INT(Sheet3!$A$2:$A$500)+TIME(18,0,0))*(INT(E164)+MOD(F164,1)&gt;=INT(Sheet3!$A$2:$A$500)),0)),0)</f>
        <v>0</v>
      </c>
      <c r="N164" s="1" t="n">
        <f aca="false">IF(OR( AND(Q164=6,D164&gt;=TIME(17,0,0),OR(K164="12H Night",K164="Couple Half Night",K164="24H Night",K164="Couple Full Night")), AND(Q164=7,D164&gt;=TIME(6,0,0),D164&lt;TIME(12,0,0),OR(K164="12H Day",K164="Couple Half Day",K164="24H Day",K164="Couple Full Day")) ),1,0)</f>
        <v>0</v>
      </c>
      <c r="O164" s="1" t="n">
        <f aca="false">IF(OR( AND(MONTH(C164)=12,DAY(C164)&gt;=26), AND(MONTH(C164)=4,DAY(C164)&gt;=15), MONTH(C164)=5, AND(MONTH(C164)=6,DAY(C164)&lt;=10) ),1,0)</f>
        <v>0</v>
      </c>
      <c r="P164" s="1" t="str">
        <f aca="false">IF(OR(MONTH(C164)=3,MONTH(C164)=4,MONTH(C164)=5,MONTH(C164)=6), "Summer", IF(OR(MONTH(C164)=7,MONTH(C164)=8,MONTH(C164)=9,MONTH(C164)=10), "Monsoon", "Winter"))</f>
        <v>Summer</v>
      </c>
      <c r="Q164" s="1" t="n">
        <f aca="false">WEEKDAY(C164,2)</f>
        <v>5</v>
      </c>
      <c r="R164" s="0" t="n">
        <v>0</v>
      </c>
      <c r="S164" s="10"/>
    </row>
    <row r="165" customFormat="false" ht="192.95" hidden="false" customHeight="false" outlineLevel="0" collapsed="false">
      <c r="A165" s="8" t="s">
        <v>285</v>
      </c>
      <c r="B165" s="22" t="s">
        <v>333</v>
      </c>
      <c r="C165" s="18" t="n">
        <v>45472.375</v>
      </c>
      <c r="D165" s="19" t="n">
        <v>45472.375</v>
      </c>
      <c r="E165" s="18" t="n">
        <v>45472.75</v>
      </c>
      <c r="F165" s="19" t="n">
        <v>45472.75</v>
      </c>
      <c r="G165" s="20" t="n">
        <v>3000</v>
      </c>
      <c r="H165" s="8" t="n">
        <v>4</v>
      </c>
      <c r="I165" s="10" t="n">
        <v>45471</v>
      </c>
      <c r="J165" s="11" t="n">
        <v>0.415000000000868</v>
      </c>
      <c r="K165" s="1" t="str">
        <f aca="false">IF(L165&gt;24,     IF(H165=2,"Couple Extended Day","Extended Day"), IF(L165&lt;=12,     IF(AND(MOD(D165,1)&gt;=TIME(6,0,0),MOD(D165,1)&lt;TIME(18,0,0)),         IF(H165=2,"Couple Half Day","12H Day"),         IF(H165=2,"Couple Half Night","12H Night")), IF(L165&lt;=24,     IF(AND(MOD(D165,1)&gt;=TIME(6,0,0),MOD(D165,1)&lt;TIME(18,0,0)),         IF(H165=2,"Couple Full Day","24H Day"),         IF(H165=2,"Couple Full Night","24H Night")), "Check Data")))</f>
        <v>12H Day</v>
      </c>
      <c r="L165" s="12" t="n">
        <f aca="false">((INT(E165)+MOD(F165,1))-(INT(C165)+MOD(D165,1)))*24</f>
        <v>9</v>
      </c>
      <c r="M165" s="1" t="n">
        <f aca="false">IFERROR(INDEX(Sheet3!$B$2:$B$500,MATCH(1,(INT(C165)+MOD(D165,1)&lt;INT(Sheet3!$A$2:$A$500)+TIME(18,0,0))*(INT(E165)+MOD(F165,1)&gt;=INT(Sheet3!$A$2:$A$500)),0)),0)</f>
        <v>0</v>
      </c>
      <c r="N165" s="1" t="n">
        <f aca="false">IF(OR( AND(Q165=6,D165&gt;=TIME(17,0,0),OR(K165="12H Night",K165="Couple Half Night",K165="24H Night",K165="Couple Full Night")), AND(Q165=7,D165&gt;=TIME(6,0,0),D165&lt;TIME(12,0,0),OR(K165="12H Day",K165="Couple Half Day",K165="24H Day",K165="Couple Full Day")) ),1,0)</f>
        <v>0</v>
      </c>
      <c r="O165" s="1" t="n">
        <f aca="false">IF(OR( AND(MONTH(C165)=12,DAY(C165)&gt;=26), AND(MONTH(C165)=4,DAY(C165)&gt;=15), MONTH(C165)=5, AND(MONTH(C165)=6,DAY(C165)&lt;=10) ),1,0)</f>
        <v>0</v>
      </c>
      <c r="P165" s="1" t="str">
        <f aca="false">IF(OR(MONTH(C165)=3,MONTH(C165)=4,MONTH(C165)=5,MONTH(C165)=6), "Summer", IF(OR(MONTH(C165)=7,MONTH(C165)=8,MONTH(C165)=9,MONTH(C165)=10), "Monsoon", "Winter"))</f>
        <v>Summer</v>
      </c>
      <c r="Q165" s="1" t="n">
        <f aca="false">WEEKDAY(C165,2)</f>
        <v>6</v>
      </c>
      <c r="R165" s="0" t="n">
        <f aca="false">ROUNDDOWN(((INT(C165)+MOD(D165,1))-(INT(I165)+MOD(J165,1))),0)</f>
        <v>0</v>
      </c>
      <c r="S165" s="10"/>
    </row>
    <row r="166" customFormat="false" ht="13.8" hidden="false" customHeight="false" outlineLevel="0" collapsed="false">
      <c r="A166" s="8" t="s">
        <v>334</v>
      </c>
      <c r="B166" s="8" t="s">
        <v>335</v>
      </c>
      <c r="C166" s="18" t="n">
        <v>45472.75</v>
      </c>
      <c r="D166" s="19" t="n">
        <v>45472.75</v>
      </c>
      <c r="E166" s="18" t="n">
        <v>45473.75</v>
      </c>
      <c r="F166" s="19" t="n">
        <v>45473.75</v>
      </c>
      <c r="G166" s="20" t="n">
        <v>6000</v>
      </c>
      <c r="I166" s="10" t="n">
        <v>45473</v>
      </c>
      <c r="J166" s="11" t="n">
        <v>0.0190509259264236</v>
      </c>
      <c r="K166" s="1" t="str">
        <f aca="false">IF(L166&gt;24,     IF(H166=2,"Couple Extended Day","Extended Day"), IF(L166&lt;=12,     IF(AND(MOD(D166,1)&gt;=TIME(6,0,0),MOD(D166,1)&lt;TIME(18,0,0)),         IF(H166=2,"Couple Half Day","12H Day"),         IF(H166=2,"Couple Half Night","12H Night")), IF(L166&lt;=24,     IF(AND(MOD(D166,1)&gt;=TIME(6,0,0),MOD(D166,1)&lt;TIME(18,0,0)),         IF(H166=2,"Couple Full Day","24H Day"),         IF(H166=2,"Couple Full Night","24H Night")), "Check Data")))</f>
        <v>24H Night</v>
      </c>
      <c r="L166" s="12" t="n">
        <f aca="false">((INT(E166)+MOD(F166,1))-(INT(C166)+MOD(D166,1)))*24</f>
        <v>24</v>
      </c>
      <c r="M166" s="1" t="n">
        <f aca="false">IFERROR(INDEX(Sheet3!$B$2:$B$500,MATCH(1,(INT(C166)+MOD(D166,1)&lt;INT(Sheet3!$A$2:$A$500)+TIME(18,0,0))*(INT(E166)+MOD(F166,1)&gt;=INT(Sheet3!$A$2:$A$500)),0)),0)</f>
        <v>0</v>
      </c>
      <c r="N166" s="1" t="n">
        <f aca="false">IF(OR( AND(Q166=6,D166&gt;=TIME(17,0,0),OR(K166="12H Night",K166="Couple Half Night",K166="24H Night",K166="Couple Full Night")), AND(Q166=7,D166&gt;=TIME(6,0,0),D166&lt;TIME(12,0,0),OR(K166="12H Day",K166="Couple Half Day",K166="24H Day",K166="Couple Full Day")) ),1,0)</f>
        <v>1</v>
      </c>
      <c r="O166" s="1" t="n">
        <f aca="false">IF(OR( AND(MONTH(C166)=12,DAY(C166)&gt;=26), AND(MONTH(C166)=4,DAY(C166)&gt;=15), MONTH(C166)=5, AND(MONTH(C166)=6,DAY(C166)&lt;=10) ),1,0)</f>
        <v>0</v>
      </c>
      <c r="P166" s="1" t="str">
        <f aca="false">IF(OR(MONTH(C166)=3,MONTH(C166)=4,MONTH(C166)=5,MONTH(C166)=6), "Summer", IF(OR(MONTH(C166)=7,MONTH(C166)=8,MONTH(C166)=9,MONTH(C166)=10), "Monsoon", "Winter"))</f>
        <v>Summer</v>
      </c>
      <c r="Q166" s="1" t="n">
        <f aca="false">WEEKDAY(C166,2)</f>
        <v>6</v>
      </c>
      <c r="R166" s="0" t="n">
        <f aca="false">ROUNDDOWN(((INT(C166)+MOD(D166,1))-(INT(I166)+MOD(J166,1))),0)</f>
        <v>-0</v>
      </c>
      <c r="S166" s="10"/>
    </row>
    <row r="167" customFormat="false" ht="192.95" hidden="false" customHeight="false" outlineLevel="0" collapsed="false">
      <c r="A167" s="8" t="s">
        <v>336</v>
      </c>
      <c r="B167" s="22" t="s">
        <v>337</v>
      </c>
      <c r="C167" s="18" t="n">
        <v>45474.4166666667</v>
      </c>
      <c r="D167" s="19" t="n">
        <v>45474.4166666667</v>
      </c>
      <c r="E167" s="18" t="n">
        <v>45474.875</v>
      </c>
      <c r="F167" s="19" t="n">
        <v>45474.875</v>
      </c>
      <c r="G167" s="20" t="n">
        <v>2500</v>
      </c>
      <c r="H167" s="8" t="n">
        <v>2</v>
      </c>
      <c r="I167" s="10" t="n">
        <v>45460</v>
      </c>
      <c r="J167" s="11" t="n">
        <v>0.562303240745683</v>
      </c>
      <c r="K167" s="1" t="str">
        <f aca="false">IF(L167&gt;24,     IF(H167=2,"Couple Extended Day","Extended Day"), IF(L167&lt;=12,     IF(AND(MOD(D167,1)&gt;=TIME(6,0,0),MOD(D167,1)&lt;TIME(18,0,0)),         IF(H167=2,"Couple Half Day","12H Day"),         IF(H167=2,"Couple Half Night","12H Night")), IF(L167&lt;=24,     IF(AND(MOD(D167,1)&gt;=TIME(6,0,0),MOD(D167,1)&lt;TIME(18,0,0)),         IF(H167=2,"Couple Full Day","24H Day"),         IF(H167=2,"Couple Full Night","24H Night")), "Check Data")))</f>
        <v>Couple Half Day</v>
      </c>
      <c r="L167" s="12" t="n">
        <f aca="false">((INT(E167)+MOD(F167,1))-(INT(C167)+MOD(D167,1)))*24</f>
        <v>10.9999999990105</v>
      </c>
      <c r="M167" s="1" t="n">
        <f aca="false">IFERROR(INDEX(Sheet3!$B$2:$B$500,MATCH(1,(INT(C167)+MOD(D167,1)&lt;INT(Sheet3!$A$2:$A$500)+TIME(18,0,0))*(INT(E167)+MOD(F167,1)&gt;=INT(Sheet3!$A$2:$A$500)),0)),0)</f>
        <v>0</v>
      </c>
      <c r="N167" s="1" t="n">
        <f aca="false">IF(OR( AND(Q167=6,D167&gt;=TIME(17,0,0),OR(K167="12H Night",K167="Couple Half Night",K167="24H Night",K167="Couple Full Night")), AND(Q167=7,D167&gt;=TIME(6,0,0),D167&lt;TIME(12,0,0),OR(K167="12H Day",K167="Couple Half Day",K167="24H Day",K167="Couple Full Day")) ),1,0)</f>
        <v>0</v>
      </c>
      <c r="O167" s="1" t="n">
        <f aca="false">IF(OR( AND(MONTH(C167)=12,DAY(C167)&gt;=26), AND(MONTH(C167)=4,DAY(C167)&gt;=15), MONTH(C167)=5, AND(MONTH(C167)=6,DAY(C167)&lt;=10) ),1,0)</f>
        <v>0</v>
      </c>
      <c r="P167" s="1" t="str">
        <f aca="false">IF(OR(MONTH(C167)=3,MONTH(C167)=4,MONTH(C167)=5,MONTH(C167)=6), "Summer", IF(OR(MONTH(C167)=7,MONTH(C167)=8,MONTH(C167)=9,MONTH(C167)=10), "Monsoon", "Winter"))</f>
        <v>Monsoon</v>
      </c>
      <c r="Q167" s="1" t="n">
        <f aca="false">WEEKDAY(C167,2)</f>
        <v>1</v>
      </c>
      <c r="R167" s="0" t="n">
        <f aca="false">ROUNDDOWN(((INT(C167)+MOD(D167,1))-(INT(I167)+MOD(J167,1))),0)</f>
        <v>13</v>
      </c>
      <c r="S167" s="10"/>
    </row>
    <row r="168" customFormat="false" ht="180.95" hidden="false" customHeight="false" outlineLevel="0" collapsed="false">
      <c r="A168" s="8" t="s">
        <v>338</v>
      </c>
      <c r="B168" s="22" t="s">
        <v>339</v>
      </c>
      <c r="C168" s="18" t="n">
        <v>45475.3333333333</v>
      </c>
      <c r="D168" s="19" t="n">
        <v>0</v>
      </c>
      <c r="E168" s="18" t="n">
        <v>45475.75</v>
      </c>
      <c r="F168" s="19" t="n">
        <v>45475.75</v>
      </c>
      <c r="G168" s="20" t="n">
        <v>3000</v>
      </c>
      <c r="H168" s="8" t="n">
        <v>6</v>
      </c>
      <c r="I168" s="10" t="n">
        <v>45472</v>
      </c>
      <c r="J168" s="11" t="n">
        <v>0.747002314819838</v>
      </c>
      <c r="K168" s="1" t="str">
        <f aca="false">IF(L168&gt;24,     IF(H168=2,"Couple Extended Day","Extended Day"), IF(L168&lt;=12,     IF(AND(MOD(D168,1)&gt;=TIME(6,0,0),MOD(D168,1)&lt;TIME(18,0,0)),         IF(H168=2,"Couple Half Day","12H Day"),         IF(H168=2,"Couple Half Night","12H Night")), IF(L168&lt;=24,     IF(AND(MOD(D168,1)&gt;=TIME(6,0,0),MOD(D168,1)&lt;TIME(18,0,0)),         IF(H168=2,"Couple Full Day","24H Day"),         IF(H168=2,"Couple Full Night","24H Night")), "Check Data")))</f>
        <v>24H Night</v>
      </c>
      <c r="L168" s="12" t="n">
        <f aca="false">((INT(E168)+MOD(F168,1))-(INT(C168)+MOD(D168,1)))*24</f>
        <v>18</v>
      </c>
      <c r="M168" s="1" t="n">
        <f aca="false">IFERROR(INDEX(Sheet3!$B$2:$B$500,MATCH(1,(INT(C168)+MOD(D168,1)&lt;INT(Sheet3!$A$2:$A$500)+TIME(18,0,0))*(INT(E168)+MOD(F168,1)&gt;=INT(Sheet3!$A$2:$A$500)),0)),0)</f>
        <v>0</v>
      </c>
      <c r="N168" s="1" t="n">
        <f aca="false">IF(OR( AND(Q168=6,D168&gt;=TIME(17,0,0),OR(K168="12H Night",K168="Couple Half Night",K168="24H Night",K168="Couple Full Night")), AND(Q168=7,D168&gt;=TIME(6,0,0),D168&lt;TIME(12,0,0),OR(K168="12H Day",K168="Couple Half Day",K168="24H Day",K168="Couple Full Day")) ),1,0)</f>
        <v>0</v>
      </c>
      <c r="O168" s="1" t="n">
        <f aca="false">IF(OR( AND(MONTH(C168)=12,DAY(C168)&gt;=26), AND(MONTH(C168)=4,DAY(C168)&gt;=15), MONTH(C168)=5, AND(MONTH(C168)=6,DAY(C168)&lt;=10) ),1,0)</f>
        <v>0</v>
      </c>
      <c r="P168" s="1" t="str">
        <f aca="false">IF(OR(MONTH(C168)=3,MONTH(C168)=4,MONTH(C168)=5,MONTH(C168)=6), "Summer", IF(OR(MONTH(C168)=7,MONTH(C168)=8,MONTH(C168)=9,MONTH(C168)=10), "Monsoon", "Winter"))</f>
        <v>Monsoon</v>
      </c>
      <c r="Q168" s="1" t="n">
        <f aca="false">WEEKDAY(C168,2)</f>
        <v>2</v>
      </c>
      <c r="R168" s="0" t="n">
        <f aca="false">ROUNDDOWN(((INT(C168)+MOD(D168,1))-(INT(I168)+MOD(J168,1))),0)</f>
        <v>2</v>
      </c>
      <c r="S168" s="10"/>
    </row>
    <row r="169" customFormat="false" ht="192.95" hidden="false" customHeight="false" outlineLevel="0" collapsed="false">
      <c r="A169" s="8" t="s">
        <v>172</v>
      </c>
      <c r="B169" s="22" t="s">
        <v>340</v>
      </c>
      <c r="C169" s="18" t="n">
        <v>45476.7916666667</v>
      </c>
      <c r="D169" s="19" t="n">
        <v>45476.7916666667</v>
      </c>
      <c r="E169" s="18" t="n">
        <v>45477.75</v>
      </c>
      <c r="F169" s="19" t="n">
        <v>45477.75</v>
      </c>
      <c r="G169" s="20" t="n">
        <v>3000</v>
      </c>
      <c r="H169" s="8" t="n">
        <v>10</v>
      </c>
      <c r="I169" s="10" t="n">
        <v>45475</v>
      </c>
      <c r="J169" s="11" t="n">
        <v>0.763414351851678</v>
      </c>
      <c r="K169" s="1" t="str">
        <f aca="false">IF(L169&gt;24,     IF(H169=2,"Couple Extended Day","Extended Day"), IF(L169&lt;=12,     IF(AND(MOD(D169,1)&gt;=TIME(6,0,0),MOD(D169,1)&lt;TIME(18,0,0)),         IF(H169=2,"Couple Half Day","12H Day"),         IF(H169=2,"Couple Half Night","12H Night")), IF(L169&lt;=24,     IF(AND(MOD(D169,1)&gt;=TIME(6,0,0),MOD(D169,1)&lt;TIME(18,0,0)),         IF(H169=2,"Couple Full Day","24H Day"),         IF(H169=2,"Couple Full Night","24H Night")), "Check Data")))</f>
        <v>24H Night</v>
      </c>
      <c r="L169" s="12" t="n">
        <f aca="false">((INT(E169)+MOD(F169,1))-(INT(C169)+MOD(D169,1)))*24</f>
        <v>22.9999999990105</v>
      </c>
      <c r="M169" s="1" t="n">
        <f aca="false">IFERROR(INDEX(Sheet3!$B$2:$B$500,MATCH(1,(INT(C169)+MOD(D169,1)&lt;INT(Sheet3!$A$2:$A$500)+TIME(18,0,0))*(INT(E169)+MOD(F169,1)&gt;=INT(Sheet3!$A$2:$A$500)),0)),0)</f>
        <v>0</v>
      </c>
      <c r="N169" s="1" t="n">
        <f aca="false">IF(OR( AND(Q169=6,D169&gt;=TIME(17,0,0),OR(K169="12H Night",K169="Couple Half Night",K169="24H Night",K169="Couple Full Night")), AND(Q169=7,D169&gt;=TIME(6,0,0),D169&lt;TIME(12,0,0),OR(K169="12H Day",K169="Couple Half Day",K169="24H Day",K169="Couple Full Day")) ),1,0)</f>
        <v>0</v>
      </c>
      <c r="O169" s="1" t="n">
        <f aca="false">IF(OR( AND(MONTH(C169)=12,DAY(C169)&gt;=26), AND(MONTH(C169)=4,DAY(C169)&gt;=15), MONTH(C169)=5, AND(MONTH(C169)=6,DAY(C169)&lt;=10) ),1,0)</f>
        <v>0</v>
      </c>
      <c r="P169" s="1" t="str">
        <f aca="false">IF(OR(MONTH(C169)=3,MONTH(C169)=4,MONTH(C169)=5,MONTH(C169)=6), "Summer", IF(OR(MONTH(C169)=7,MONTH(C169)=8,MONTH(C169)=9,MONTH(C169)=10), "Monsoon", "Winter"))</f>
        <v>Monsoon</v>
      </c>
      <c r="Q169" s="1" t="n">
        <f aca="false">WEEKDAY(C169,2)</f>
        <v>3</v>
      </c>
      <c r="R169" s="0" t="n">
        <f aca="false">ROUNDDOWN(((INT(C169)+MOD(D169,1))-(INT(I169)+MOD(J169,1))),0)</f>
        <v>1</v>
      </c>
      <c r="S169" s="10"/>
    </row>
    <row r="170" customFormat="false" ht="169" hidden="false" customHeight="false" outlineLevel="0" collapsed="false">
      <c r="A170" s="8" t="s">
        <v>341</v>
      </c>
      <c r="B170" s="22" t="s">
        <v>342</v>
      </c>
      <c r="C170" s="18" t="n">
        <v>45478.3333333333</v>
      </c>
      <c r="D170" s="19" t="n">
        <v>0</v>
      </c>
      <c r="E170" s="18" t="n">
        <v>45478.7083333333</v>
      </c>
      <c r="F170" s="19" t="n">
        <v>0</v>
      </c>
      <c r="G170" s="20" t="n">
        <v>2500</v>
      </c>
      <c r="H170" s="8" t="n">
        <v>2</v>
      </c>
      <c r="I170" s="10" t="n">
        <v>45467</v>
      </c>
      <c r="J170" s="11" t="n">
        <v>0.483344907406713</v>
      </c>
      <c r="K170" s="1" t="str">
        <f aca="false">IF(L170&gt;24,     IF(H170=2,"Couple Extended Day","Extended Day"), IF(L170&lt;=12,     IF(AND(MOD(D170,1)&gt;=TIME(6,0,0),MOD(D170,1)&lt;TIME(18,0,0)),         IF(H170=2,"Couple Half Day","12H Day"),         IF(H170=2,"Couple Half Night","12H Night")), IF(L170&lt;=24,     IF(AND(MOD(D170,1)&gt;=TIME(6,0,0),MOD(D170,1)&lt;TIME(18,0,0)),         IF(H170=2,"Couple Full Day","24H Day"),         IF(H170=2,"Couple Full Night","24H Night")), "Check Data")))</f>
        <v>Couple Half Night</v>
      </c>
      <c r="L170" s="12" t="n">
        <f aca="false">((INT(E170)+MOD(F170,1))-(INT(C170)+MOD(D170,1)))*24</f>
        <v>0</v>
      </c>
      <c r="M170" s="1" t="n">
        <f aca="false">IFERROR(INDEX(Sheet3!$B$2:$B$500,MATCH(1,(INT(C170)+MOD(D170,1)&lt;INT(Sheet3!$A$2:$A$500)+TIME(18,0,0))*(INT(E170)+MOD(F170,1)&gt;=INT(Sheet3!$A$2:$A$500)),0)),0)</f>
        <v>0</v>
      </c>
      <c r="N170" s="1" t="n">
        <f aca="false">IF(OR( AND(Q170=6,D170&gt;=TIME(17,0,0),OR(K170="12H Night",K170="Couple Half Night",K170="24H Night",K170="Couple Full Night")), AND(Q170=7,D170&gt;=TIME(6,0,0),D170&lt;TIME(12,0,0),OR(K170="12H Day",K170="Couple Half Day",K170="24H Day",K170="Couple Full Day")) ),1,0)</f>
        <v>0</v>
      </c>
      <c r="O170" s="1" t="n">
        <f aca="false">IF(OR( AND(MONTH(C170)=12,DAY(C170)&gt;=26), AND(MONTH(C170)=4,DAY(C170)&gt;=15), MONTH(C170)=5, AND(MONTH(C170)=6,DAY(C170)&lt;=10) ),1,0)</f>
        <v>0</v>
      </c>
      <c r="P170" s="1" t="str">
        <f aca="false">IF(OR(MONTH(C170)=3,MONTH(C170)=4,MONTH(C170)=5,MONTH(C170)=6), "Summer", IF(OR(MONTH(C170)=7,MONTH(C170)=8,MONTH(C170)=9,MONTH(C170)=10), "Monsoon", "Winter"))</f>
        <v>Monsoon</v>
      </c>
      <c r="Q170" s="1" t="n">
        <f aca="false">WEEKDAY(C170,2)</f>
        <v>5</v>
      </c>
      <c r="R170" s="0" t="n">
        <f aca="false">ROUNDDOWN(((INT(C170)+MOD(D170,1))-(INT(I170)+MOD(J170,1))),0)</f>
        <v>10</v>
      </c>
      <c r="S170" s="10"/>
    </row>
    <row r="171" customFormat="false" ht="180.95" hidden="false" customHeight="false" outlineLevel="0" collapsed="false">
      <c r="A171" s="8" t="s">
        <v>343</v>
      </c>
      <c r="B171" s="22" t="s">
        <v>344</v>
      </c>
      <c r="C171" s="18" t="n">
        <v>45479.7916666667</v>
      </c>
      <c r="D171" s="19" t="n">
        <v>45479.7916666667</v>
      </c>
      <c r="E171" s="18" t="n">
        <v>45480.75</v>
      </c>
      <c r="F171" s="19" t="n">
        <v>45480.75</v>
      </c>
      <c r="G171" s="20" t="n">
        <v>5500</v>
      </c>
      <c r="H171" s="8" t="n">
        <v>10</v>
      </c>
      <c r="I171" s="10" t="n">
        <v>45477</v>
      </c>
      <c r="J171" s="11" t="n">
        <v>0.795590277775776</v>
      </c>
      <c r="K171" s="1" t="str">
        <f aca="false">IF(L171&gt;24,     IF(H171=2,"Couple Extended Day","Extended Day"), IF(L171&lt;=12,     IF(AND(MOD(D171,1)&gt;=TIME(6,0,0),MOD(D171,1)&lt;TIME(18,0,0)),         IF(H171=2,"Couple Half Day","12H Day"),         IF(H171=2,"Couple Half Night","12H Night")), IF(L171&lt;=24,     IF(AND(MOD(D171,1)&gt;=TIME(6,0,0),MOD(D171,1)&lt;TIME(18,0,0)),         IF(H171=2,"Couple Full Day","24H Day"),         IF(H171=2,"Couple Full Night","24H Night")), "Check Data")))</f>
        <v>24H Night</v>
      </c>
      <c r="L171" s="12" t="n">
        <f aca="false">((INT(E171)+MOD(F171,1))-(INT(C171)+MOD(D171,1)))*24</f>
        <v>22.9999999990105</v>
      </c>
      <c r="M171" s="1" t="n">
        <f aca="false">IFERROR(INDEX(Sheet3!$B$2:$B$500,MATCH(1,(INT(C171)+MOD(D171,1)&lt;INT(Sheet3!$A$2:$A$500)+TIME(18,0,0))*(INT(E171)+MOD(F171,1)&gt;=INT(Sheet3!$A$2:$A$500)),0)),0)</f>
        <v>0</v>
      </c>
      <c r="N171" s="1" t="n">
        <f aca="false">IF(OR( AND(Q171=6,D171&gt;=TIME(17,0,0),OR(K171="12H Night",K171="Couple Half Night",K171="24H Night",K171="Couple Full Night")), AND(Q171=7,D171&gt;=TIME(6,0,0),D171&lt;TIME(12,0,0),OR(K171="12H Day",K171="Couple Half Day",K171="24H Day",K171="Couple Full Day")) ),1,0)</f>
        <v>1</v>
      </c>
      <c r="O171" s="1" t="n">
        <f aca="false">IF(OR( AND(MONTH(C171)=12,DAY(C171)&gt;=26), AND(MONTH(C171)=4,DAY(C171)&gt;=15), MONTH(C171)=5, AND(MONTH(C171)=6,DAY(C171)&lt;=10) ),1,0)</f>
        <v>0</v>
      </c>
      <c r="P171" s="1" t="str">
        <f aca="false">IF(OR(MONTH(C171)=3,MONTH(C171)=4,MONTH(C171)=5,MONTH(C171)=6), "Summer", IF(OR(MONTH(C171)=7,MONTH(C171)=8,MONTH(C171)=9,MONTH(C171)=10), "Monsoon", "Winter"))</f>
        <v>Monsoon</v>
      </c>
      <c r="Q171" s="1" t="n">
        <f aca="false">WEEKDAY(C171,2)</f>
        <v>6</v>
      </c>
      <c r="R171" s="0" t="n">
        <f aca="false">ROUNDDOWN(((INT(C171)+MOD(D171,1))-(INT(I171)+MOD(J171,1))),0)</f>
        <v>1</v>
      </c>
      <c r="S171" s="10"/>
    </row>
    <row r="172" customFormat="false" ht="192.95" hidden="false" customHeight="false" outlineLevel="0" collapsed="false">
      <c r="A172" s="8" t="s">
        <v>345</v>
      </c>
      <c r="B172" s="22" t="s">
        <v>346</v>
      </c>
      <c r="C172" s="18" t="n">
        <v>45483.2916666667</v>
      </c>
      <c r="D172" s="19" t="n">
        <v>45483.2916666667</v>
      </c>
      <c r="E172" s="18" t="n">
        <v>45483.75</v>
      </c>
      <c r="F172" s="19" t="n">
        <v>45483.75</v>
      </c>
      <c r="G172" s="20" t="n">
        <v>2500</v>
      </c>
      <c r="H172" s="8" t="n">
        <v>2</v>
      </c>
      <c r="I172" s="10" t="n">
        <v>45482</v>
      </c>
      <c r="J172" s="11" t="n">
        <v>0.527199074072998</v>
      </c>
      <c r="K172" s="1" t="str">
        <f aca="false">IF(L172&gt;24,     IF(H172=2,"Couple Extended Day","Extended Day"), IF(L172&lt;=12,     IF(AND(MOD(D172,1)&gt;=TIME(6,0,0),MOD(D172,1)&lt;TIME(18,0,0)),         IF(H172=2,"Couple Half Day","12H Day"),         IF(H172=2,"Couple Half Night","12H Night")), IF(L172&lt;=24,     IF(AND(MOD(D172,1)&gt;=TIME(6,0,0),MOD(D172,1)&lt;TIME(18,0,0)),         IF(H172=2,"Couple Full Day","24H Day"),         IF(H172=2,"Couple Full Night","24H Night")), "Check Data")))</f>
        <v>Couple Half Day</v>
      </c>
      <c r="L172" s="12" t="n">
        <f aca="false">((INT(E172)+MOD(F172,1))-(INT(C172)+MOD(D172,1)))*24</f>
        <v>10.9999999990105</v>
      </c>
      <c r="M172" s="1" t="n">
        <f aca="false">IFERROR(INDEX(Sheet3!$B$2:$B$500,MATCH(1,(INT(C172)+MOD(D172,1)&lt;INT(Sheet3!$A$2:$A$500)+TIME(18,0,0))*(INT(E172)+MOD(F172,1)&gt;=INT(Sheet3!$A$2:$A$500)),0)),0)</f>
        <v>0</v>
      </c>
      <c r="N172" s="1" t="n">
        <f aca="false">IF(OR( AND(Q172=6,D172&gt;=TIME(17,0,0),OR(K172="12H Night",K172="Couple Half Night",K172="24H Night",K172="Couple Full Night")), AND(Q172=7,D172&gt;=TIME(6,0,0),D172&lt;TIME(12,0,0),OR(K172="12H Day",K172="Couple Half Day",K172="24H Day",K172="Couple Full Day")) ),1,0)</f>
        <v>0</v>
      </c>
      <c r="O172" s="1" t="n">
        <f aca="false">IF(OR( AND(MONTH(C172)=12,DAY(C172)&gt;=26), AND(MONTH(C172)=4,DAY(C172)&gt;=15), MONTH(C172)=5, AND(MONTH(C172)=6,DAY(C172)&lt;=10) ),1,0)</f>
        <v>0</v>
      </c>
      <c r="P172" s="1" t="str">
        <f aca="false">IF(OR(MONTH(C172)=3,MONTH(C172)=4,MONTH(C172)=5,MONTH(C172)=6), "Summer", IF(OR(MONTH(C172)=7,MONTH(C172)=8,MONTH(C172)=9,MONTH(C172)=10), "Monsoon", "Winter"))</f>
        <v>Monsoon</v>
      </c>
      <c r="Q172" s="1" t="n">
        <f aca="false">WEEKDAY(C172,2)</f>
        <v>3</v>
      </c>
      <c r="R172" s="0" t="n">
        <f aca="false">ROUNDDOWN(((INT(C172)+MOD(D172,1))-(INT(I172)+MOD(J172,1))),0)</f>
        <v>0</v>
      </c>
      <c r="S172" s="10"/>
    </row>
    <row r="173" customFormat="false" ht="204.9" hidden="false" customHeight="false" outlineLevel="0" collapsed="false">
      <c r="A173" s="8" t="s">
        <v>347</v>
      </c>
      <c r="B173" s="22" t="s">
        <v>348</v>
      </c>
      <c r="C173" s="18" t="n">
        <v>45484.2916666667</v>
      </c>
      <c r="D173" s="19" t="n">
        <v>45484.2916666667</v>
      </c>
      <c r="E173" s="18" t="n">
        <v>45484.75</v>
      </c>
      <c r="F173" s="19" t="n">
        <v>45484.75</v>
      </c>
      <c r="G173" s="20" t="n">
        <v>2500</v>
      </c>
      <c r="H173" s="8" t="n">
        <v>2</v>
      </c>
      <c r="I173" s="10" t="n">
        <v>45482</v>
      </c>
      <c r="J173" s="11" t="n">
        <v>0.793611111112118</v>
      </c>
      <c r="K173" s="1" t="str">
        <f aca="false">IF(L173&gt;24,     IF(H173=2,"Couple Extended Day","Extended Day"), IF(L173&lt;=12,     IF(AND(MOD(D173,1)&gt;=TIME(6,0,0),MOD(D173,1)&lt;TIME(18,0,0)),         IF(H173=2,"Couple Half Day","12H Day"),         IF(H173=2,"Couple Half Night","12H Night")), IF(L173&lt;=24,     IF(AND(MOD(D173,1)&gt;=TIME(6,0,0),MOD(D173,1)&lt;TIME(18,0,0)),         IF(H173=2,"Couple Full Day","24H Day"),         IF(H173=2,"Couple Full Night","24H Night")), "Check Data")))</f>
        <v>Couple Half Day</v>
      </c>
      <c r="L173" s="12" t="n">
        <f aca="false">((INT(E173)+MOD(F173,1))-(INT(C173)+MOD(D173,1)))*24</f>
        <v>10.9999999990105</v>
      </c>
      <c r="M173" s="1" t="n">
        <f aca="false">IFERROR(INDEX(Sheet3!$B$2:$B$500,MATCH(1,(INT(C173)+MOD(D173,1)&lt;INT(Sheet3!$A$2:$A$500)+TIME(18,0,0))*(INT(E173)+MOD(F173,1)&gt;=INT(Sheet3!$A$2:$A$500)),0)),0)</f>
        <v>0</v>
      </c>
      <c r="N173" s="1" t="n">
        <f aca="false">IF(OR( AND(Q173=6,D173&gt;=TIME(17,0,0),OR(K173="12H Night",K173="Couple Half Night",K173="24H Night",K173="Couple Full Night")), AND(Q173=7,D173&gt;=TIME(6,0,0),D173&lt;TIME(12,0,0),OR(K173="12H Day",K173="Couple Half Day",K173="24H Day",K173="Couple Full Day")) ),1,0)</f>
        <v>0</v>
      </c>
      <c r="O173" s="1" t="n">
        <f aca="false">IF(OR( AND(MONTH(C173)=12,DAY(C173)&gt;=26), AND(MONTH(C173)=4,DAY(C173)&gt;=15), MONTH(C173)=5, AND(MONTH(C173)=6,DAY(C173)&lt;=10) ),1,0)</f>
        <v>0</v>
      </c>
      <c r="P173" s="1" t="str">
        <f aca="false">IF(OR(MONTH(C173)=3,MONTH(C173)=4,MONTH(C173)=5,MONTH(C173)=6), "Summer", IF(OR(MONTH(C173)=7,MONTH(C173)=8,MONTH(C173)=9,MONTH(C173)=10), "Monsoon", "Winter"))</f>
        <v>Monsoon</v>
      </c>
      <c r="Q173" s="1" t="n">
        <f aca="false">WEEKDAY(C173,2)</f>
        <v>4</v>
      </c>
      <c r="R173" s="0" t="n">
        <f aca="false">ROUNDDOWN(((INT(C173)+MOD(D173,1))-(INT(I173)+MOD(J173,1))),0)</f>
        <v>1</v>
      </c>
      <c r="S173" s="10"/>
    </row>
    <row r="174" customFormat="false" ht="13.8" hidden="false" customHeight="false" outlineLevel="0" collapsed="false">
      <c r="A174" s="8" t="s">
        <v>334</v>
      </c>
      <c r="B174" s="8" t="s">
        <v>320</v>
      </c>
      <c r="C174" s="18" t="n">
        <v>45484.9583333333</v>
      </c>
      <c r="D174" s="19" t="n">
        <v>0</v>
      </c>
      <c r="E174" s="18" t="n">
        <v>45485.4583333333</v>
      </c>
      <c r="F174" s="19" t="n">
        <v>0</v>
      </c>
      <c r="G174" s="20" t="n">
        <v>2000</v>
      </c>
      <c r="I174" s="10" t="n">
        <v>45489</v>
      </c>
      <c r="J174" s="11" t="n">
        <v>0.676689814819838</v>
      </c>
      <c r="K174" s="1" t="str">
        <f aca="false">IF(L174&gt;24,     IF(H174=2,"Couple Extended Day","Extended Day"), IF(L174&lt;=12,     IF(AND(MOD(D174,1)&gt;=TIME(6,0,0),MOD(D174,1)&lt;TIME(18,0,0)),         IF(H174=2,"Couple Half Day","12H Day"),         IF(H174=2,"Couple Half Night","12H Night")), IF(L174&lt;=24,     IF(AND(MOD(D174,1)&gt;=TIME(6,0,0),MOD(D174,1)&lt;TIME(18,0,0)),         IF(H174=2,"Couple Full Day","24H Day"),         IF(H174=2,"Couple Full Night","24H Night")), "Check Data")))</f>
        <v>24H Night</v>
      </c>
      <c r="L174" s="12" t="n">
        <f aca="false">((INT(E174)+MOD(F174,1))-(INT(C174)+MOD(D174,1)))*24</f>
        <v>24</v>
      </c>
      <c r="M174" s="1" t="n">
        <f aca="false">IFERROR(INDEX(Sheet3!$B$2:$B$500,MATCH(1,(INT(C174)+MOD(D174,1)&lt;INT(Sheet3!$A$2:$A$500)+TIME(18,0,0))*(INT(E174)+MOD(F174,1)&gt;=INT(Sheet3!$A$2:$A$500)),0)),0)</f>
        <v>0</v>
      </c>
      <c r="N174" s="1" t="n">
        <f aca="false">IF(OR( AND(Q174=6,D174&gt;=TIME(17,0,0),OR(K174="12H Night",K174="Couple Half Night",K174="24H Night",K174="Couple Full Night")), AND(Q174=7,D174&gt;=TIME(6,0,0),D174&lt;TIME(12,0,0),OR(K174="12H Day",K174="Couple Half Day",K174="24H Day",K174="Couple Full Day")) ),1,0)</f>
        <v>0</v>
      </c>
      <c r="O174" s="1" t="n">
        <f aca="false">IF(OR( AND(MONTH(C174)=12,DAY(C174)&gt;=26), AND(MONTH(C174)=4,DAY(C174)&gt;=15), MONTH(C174)=5, AND(MONTH(C174)=6,DAY(C174)&lt;=10) ),1,0)</f>
        <v>0</v>
      </c>
      <c r="P174" s="1" t="str">
        <f aca="false">IF(OR(MONTH(C174)=3,MONTH(C174)=4,MONTH(C174)=5,MONTH(C174)=6), "Summer", IF(OR(MONTH(C174)=7,MONTH(C174)=8,MONTH(C174)=9,MONTH(C174)=10), "Monsoon", "Winter"))</f>
        <v>Monsoon</v>
      </c>
      <c r="Q174" s="1" t="n">
        <f aca="false">WEEKDAY(C174,2)</f>
        <v>4</v>
      </c>
      <c r="R174" s="0" t="n">
        <v>0</v>
      </c>
      <c r="S174" s="10"/>
    </row>
    <row r="175" customFormat="false" ht="73.2" hidden="false" customHeight="false" outlineLevel="0" collapsed="false">
      <c r="A175" s="8" t="s">
        <v>349</v>
      </c>
      <c r="B175" s="22" t="s">
        <v>350</v>
      </c>
      <c r="C175" s="18" t="n">
        <v>45486.7916666667</v>
      </c>
      <c r="D175" s="19" t="n">
        <v>45486.7916666667</v>
      </c>
      <c r="E175" s="18" t="n">
        <v>45487.75</v>
      </c>
      <c r="F175" s="19" t="n">
        <v>45487.75</v>
      </c>
      <c r="G175" s="20" t="n">
        <v>4500</v>
      </c>
      <c r="H175" s="8" t="n">
        <v>10</v>
      </c>
      <c r="I175" s="10" t="n">
        <v>45485</v>
      </c>
      <c r="J175" s="11" t="n">
        <v>0.53135416666919</v>
      </c>
      <c r="K175" s="1" t="str">
        <f aca="false">IF(L175&gt;24,     IF(H175=2,"Couple Extended Day","Extended Day"), IF(L175&lt;=12,     IF(AND(MOD(D175,1)&gt;=TIME(6,0,0),MOD(D175,1)&lt;TIME(18,0,0)),         IF(H175=2,"Couple Half Day","12H Day"),         IF(H175=2,"Couple Half Night","12H Night")), IF(L175&lt;=24,     IF(AND(MOD(D175,1)&gt;=TIME(6,0,0),MOD(D175,1)&lt;TIME(18,0,0)),         IF(H175=2,"Couple Full Day","24H Day"),         IF(H175=2,"Couple Full Night","24H Night")), "Check Data")))</f>
        <v>24H Night</v>
      </c>
      <c r="L175" s="12" t="n">
        <f aca="false">((INT(E175)+MOD(F175,1))-(INT(C175)+MOD(D175,1)))*24</f>
        <v>22.9999999990105</v>
      </c>
      <c r="M175" s="1" t="n">
        <f aca="false">IFERROR(INDEX(Sheet3!$B$2:$B$500,MATCH(1,(INT(C175)+MOD(D175,1)&lt;INT(Sheet3!$A$2:$A$500)+TIME(18,0,0))*(INT(E175)+MOD(F175,1)&gt;=INT(Sheet3!$A$2:$A$500)),0)),0)</f>
        <v>0</v>
      </c>
      <c r="N175" s="1" t="n">
        <f aca="false">IF(OR( AND(Q175=6,D175&gt;=TIME(17,0,0),OR(K175="12H Night",K175="Couple Half Night",K175="24H Night",K175="Couple Full Night")), AND(Q175=7,D175&gt;=TIME(6,0,0),D175&lt;TIME(12,0,0),OR(K175="12H Day",K175="Couple Half Day",K175="24H Day",K175="Couple Full Day")) ),1,0)</f>
        <v>1</v>
      </c>
      <c r="O175" s="1" t="n">
        <f aca="false">IF(OR( AND(MONTH(C175)=12,DAY(C175)&gt;=26), AND(MONTH(C175)=4,DAY(C175)&gt;=15), MONTH(C175)=5, AND(MONTH(C175)=6,DAY(C175)&lt;=10) ),1,0)</f>
        <v>0</v>
      </c>
      <c r="P175" s="1" t="str">
        <f aca="false">IF(OR(MONTH(C175)=3,MONTH(C175)=4,MONTH(C175)=5,MONTH(C175)=6), "Summer", IF(OR(MONTH(C175)=7,MONTH(C175)=8,MONTH(C175)=9,MONTH(C175)=10), "Monsoon", "Winter"))</f>
        <v>Monsoon</v>
      </c>
      <c r="Q175" s="1" t="n">
        <f aca="false">WEEKDAY(C175,2)</f>
        <v>6</v>
      </c>
      <c r="R175" s="0" t="n">
        <f aca="false">ROUNDDOWN(((INT(C175)+MOD(D175,1))-(INT(I175)+MOD(J175,1))),0)</f>
        <v>1</v>
      </c>
      <c r="S175" s="10"/>
    </row>
    <row r="176" customFormat="false" ht="192.95" hidden="false" customHeight="false" outlineLevel="0" collapsed="false">
      <c r="A176" s="8" t="s">
        <v>351</v>
      </c>
      <c r="B176" s="22" t="s">
        <v>352</v>
      </c>
      <c r="C176" s="18" t="n">
        <v>45490.375</v>
      </c>
      <c r="D176" s="19" t="n">
        <v>45490.375</v>
      </c>
      <c r="E176" s="18" t="n">
        <v>45490.75</v>
      </c>
      <c r="F176" s="19" t="n">
        <v>45490.75</v>
      </c>
      <c r="G176" s="20" t="n">
        <v>3000</v>
      </c>
      <c r="H176" s="8" t="n">
        <v>4</v>
      </c>
      <c r="I176" s="10" t="n">
        <v>45489</v>
      </c>
      <c r="J176" s="11" t="n">
        <v>0.855624999996505</v>
      </c>
      <c r="K176" s="1" t="str">
        <f aca="false">IF(L176&gt;24,     IF(H176=2,"Couple Extended Day","Extended Day"), IF(L176&lt;=12,     IF(AND(MOD(D176,1)&gt;=TIME(6,0,0),MOD(D176,1)&lt;TIME(18,0,0)),         IF(H176=2,"Couple Half Day","12H Day"),         IF(H176=2,"Couple Half Night","12H Night")), IF(L176&lt;=24,     IF(AND(MOD(D176,1)&gt;=TIME(6,0,0),MOD(D176,1)&lt;TIME(18,0,0)),         IF(H176=2,"Couple Full Day","24H Day"),         IF(H176=2,"Couple Full Night","24H Night")), "Check Data")))</f>
        <v>12H Day</v>
      </c>
      <c r="L176" s="12" t="n">
        <f aca="false">((INT(E176)+MOD(F176,1))-(INT(C176)+MOD(D176,1)))*24</f>
        <v>9</v>
      </c>
      <c r="M176" s="1" t="str">
        <f aca="false">IFERROR(INDEX(Sheet3!$B$2:$B$500,MATCH(1,(INT(C176)+MOD(D176,1)&lt;INT(Sheet3!$A$2:$A$500)+TIME(18,0,0))*(INT(E176)+MOD(F176,1)&gt;=INT(Sheet3!$A$2:$A$500)),0)),0)</f>
        <v>Muharram</v>
      </c>
      <c r="N176" s="1" t="n">
        <f aca="false">IF(OR( AND(Q176=6,D176&gt;=TIME(17,0,0),OR(K176="12H Night",K176="Couple Half Night",K176="24H Night",K176="Couple Full Night")), AND(Q176=7,D176&gt;=TIME(6,0,0),D176&lt;TIME(12,0,0),OR(K176="12H Day",K176="Couple Half Day",K176="24H Day",K176="Couple Full Day")) ),1,0)</f>
        <v>0</v>
      </c>
      <c r="O176" s="1" t="n">
        <f aca="false">IF(OR( AND(MONTH(C176)=12,DAY(C176)&gt;=26), AND(MONTH(C176)=4,DAY(C176)&gt;=15), MONTH(C176)=5, AND(MONTH(C176)=6,DAY(C176)&lt;=10) ),1,0)</f>
        <v>0</v>
      </c>
      <c r="P176" s="1" t="str">
        <f aca="false">IF(OR(MONTH(C176)=3,MONTH(C176)=4,MONTH(C176)=5,MONTH(C176)=6), "Summer", IF(OR(MONTH(C176)=7,MONTH(C176)=8,MONTH(C176)=9,MONTH(C176)=10), "Monsoon", "Winter"))</f>
        <v>Monsoon</v>
      </c>
      <c r="Q176" s="1" t="n">
        <f aca="false">WEEKDAY(C176,2)</f>
        <v>3</v>
      </c>
      <c r="R176" s="0" t="n">
        <f aca="false">ROUNDDOWN(((INT(C176)+MOD(D176,1))-(INT(I176)+MOD(J176,1))),0)</f>
        <v>0</v>
      </c>
      <c r="S176" s="10"/>
    </row>
    <row r="177" customFormat="false" ht="192.95" hidden="false" customHeight="false" outlineLevel="0" collapsed="false">
      <c r="A177" s="8" t="s">
        <v>353</v>
      </c>
      <c r="B177" s="22" t="s">
        <v>354</v>
      </c>
      <c r="C177" s="18" t="n">
        <v>45491.375</v>
      </c>
      <c r="D177" s="19" t="n">
        <v>45491.375</v>
      </c>
      <c r="E177" s="18" t="n">
        <v>45491.75</v>
      </c>
      <c r="F177" s="19" t="n">
        <v>45491.75</v>
      </c>
      <c r="G177" s="20" t="n">
        <v>2000</v>
      </c>
      <c r="H177" s="8" t="n">
        <v>2</v>
      </c>
      <c r="I177" s="10" t="n">
        <v>45489</v>
      </c>
      <c r="J177" s="11" t="n">
        <v>0.581631944442049</v>
      </c>
      <c r="K177" s="1" t="str">
        <f aca="false">IF(L177&gt;24,     IF(H177=2,"Couple Extended Day","Extended Day"), IF(L177&lt;=12,     IF(AND(MOD(D177,1)&gt;=TIME(6,0,0),MOD(D177,1)&lt;TIME(18,0,0)),         IF(H177=2,"Couple Half Day","12H Day"),         IF(H177=2,"Couple Half Night","12H Night")), IF(L177&lt;=24,     IF(AND(MOD(D177,1)&gt;=TIME(6,0,0),MOD(D177,1)&lt;TIME(18,0,0)),         IF(H177=2,"Couple Full Day","24H Day"),         IF(H177=2,"Couple Full Night","24H Night")), "Check Data")))</f>
        <v>Couple Half Day</v>
      </c>
      <c r="L177" s="12" t="n">
        <f aca="false">((INT(E177)+MOD(F177,1))-(INT(C177)+MOD(D177,1)))*24</f>
        <v>9</v>
      </c>
      <c r="M177" s="1" t="n">
        <f aca="false">IFERROR(INDEX(Sheet3!$B$2:$B$500,MATCH(1,(INT(C177)+MOD(D177,1)&lt;INT(Sheet3!$A$2:$A$500)+TIME(18,0,0))*(INT(E177)+MOD(F177,1)&gt;=INT(Sheet3!$A$2:$A$500)),0)),0)</f>
        <v>0</v>
      </c>
      <c r="N177" s="1" t="n">
        <f aca="false">IF(OR( AND(Q177=6,D177&gt;=TIME(17,0,0),OR(K177="12H Night",K177="Couple Half Night",K177="24H Night",K177="Couple Full Night")), AND(Q177=7,D177&gt;=TIME(6,0,0),D177&lt;TIME(12,0,0),OR(K177="12H Day",K177="Couple Half Day",K177="24H Day",K177="Couple Full Day")) ),1,0)</f>
        <v>0</v>
      </c>
      <c r="O177" s="1" t="n">
        <f aca="false">IF(OR( AND(MONTH(C177)=12,DAY(C177)&gt;=26), AND(MONTH(C177)=4,DAY(C177)&gt;=15), MONTH(C177)=5, AND(MONTH(C177)=6,DAY(C177)&lt;=10) ),1,0)</f>
        <v>0</v>
      </c>
      <c r="P177" s="1" t="str">
        <f aca="false">IF(OR(MONTH(C177)=3,MONTH(C177)=4,MONTH(C177)=5,MONTH(C177)=6), "Summer", IF(OR(MONTH(C177)=7,MONTH(C177)=8,MONTH(C177)=9,MONTH(C177)=10), "Monsoon", "Winter"))</f>
        <v>Monsoon</v>
      </c>
      <c r="Q177" s="1" t="n">
        <f aca="false">WEEKDAY(C177,2)</f>
        <v>4</v>
      </c>
      <c r="R177" s="0" t="n">
        <f aca="false">ROUNDDOWN(((INT(C177)+MOD(D177,1))-(INT(I177)+MOD(J177,1))),0)</f>
        <v>1</v>
      </c>
      <c r="S177" s="10"/>
    </row>
    <row r="178" customFormat="false" ht="192.95" hidden="false" customHeight="false" outlineLevel="0" collapsed="false">
      <c r="A178" s="8" t="s">
        <v>355</v>
      </c>
      <c r="B178" s="22" t="s">
        <v>356</v>
      </c>
      <c r="C178" s="18" t="n">
        <v>45492.3333333333</v>
      </c>
      <c r="D178" s="19" t="n">
        <v>0</v>
      </c>
      <c r="E178" s="18" t="n">
        <v>45492.75</v>
      </c>
      <c r="F178" s="19" t="n">
        <v>45492.75</v>
      </c>
      <c r="G178" s="20" t="n">
        <v>3000</v>
      </c>
      <c r="H178" s="8" t="n">
        <v>7</v>
      </c>
      <c r="I178" s="10" t="n">
        <v>45489</v>
      </c>
      <c r="J178" s="11" t="n">
        <v>0.599861111113565</v>
      </c>
      <c r="K178" s="1" t="str">
        <f aca="false">IF(L178&gt;24,     IF(H178=2,"Couple Extended Day","Extended Day"), IF(L178&lt;=12,     IF(AND(MOD(D178,1)&gt;=TIME(6,0,0),MOD(D178,1)&lt;TIME(18,0,0)),         IF(H178=2,"Couple Half Day","12H Day"),         IF(H178=2,"Couple Half Night","12H Night")), IF(L178&lt;=24,     IF(AND(MOD(D178,1)&gt;=TIME(6,0,0),MOD(D178,1)&lt;TIME(18,0,0)),         IF(H178=2,"Couple Full Day","24H Day"),         IF(H178=2,"Couple Full Night","24H Night")), "Check Data")))</f>
        <v>24H Night</v>
      </c>
      <c r="L178" s="12" t="n">
        <f aca="false">((INT(E178)+MOD(F178,1))-(INT(C178)+MOD(D178,1)))*24</f>
        <v>18</v>
      </c>
      <c r="M178" s="1" t="n">
        <f aca="false">IFERROR(INDEX(Sheet3!$B$2:$B$500,MATCH(1,(INT(C178)+MOD(D178,1)&lt;INT(Sheet3!$A$2:$A$500)+TIME(18,0,0))*(INT(E178)+MOD(F178,1)&gt;=INT(Sheet3!$A$2:$A$500)),0)),0)</f>
        <v>0</v>
      </c>
      <c r="N178" s="1" t="n">
        <f aca="false">IF(OR( AND(Q178=6,D178&gt;=TIME(17,0,0),OR(K178="12H Night",K178="Couple Half Night",K178="24H Night",K178="Couple Full Night")), AND(Q178=7,D178&gt;=TIME(6,0,0),D178&lt;TIME(12,0,0),OR(K178="12H Day",K178="Couple Half Day",K178="24H Day",K178="Couple Full Day")) ),1,0)</f>
        <v>0</v>
      </c>
      <c r="O178" s="1" t="n">
        <f aca="false">IF(OR( AND(MONTH(C178)=12,DAY(C178)&gt;=26), AND(MONTH(C178)=4,DAY(C178)&gt;=15), MONTH(C178)=5, AND(MONTH(C178)=6,DAY(C178)&lt;=10) ),1,0)</f>
        <v>0</v>
      </c>
      <c r="P178" s="1" t="str">
        <f aca="false">IF(OR(MONTH(C178)=3,MONTH(C178)=4,MONTH(C178)=5,MONTH(C178)=6), "Summer", IF(OR(MONTH(C178)=7,MONTH(C178)=8,MONTH(C178)=9,MONTH(C178)=10), "Monsoon", "Winter"))</f>
        <v>Monsoon</v>
      </c>
      <c r="Q178" s="1" t="n">
        <f aca="false">WEEKDAY(C178,2)</f>
        <v>5</v>
      </c>
      <c r="R178" s="0" t="n">
        <f aca="false">ROUNDDOWN(((INT(C178)+MOD(D178,1))-(INT(I178)+MOD(J178,1))),0)</f>
        <v>2</v>
      </c>
      <c r="S178" s="10"/>
    </row>
    <row r="179" customFormat="false" ht="192.95" hidden="false" customHeight="false" outlineLevel="0" collapsed="false">
      <c r="A179" s="8" t="s">
        <v>357</v>
      </c>
      <c r="B179" s="22" t="s">
        <v>358</v>
      </c>
      <c r="C179" s="18" t="n">
        <v>45497.375</v>
      </c>
      <c r="D179" s="19" t="n">
        <v>45497.375</v>
      </c>
      <c r="E179" s="18" t="n">
        <v>45497.75</v>
      </c>
      <c r="F179" s="19" t="n">
        <v>45497.75</v>
      </c>
      <c r="G179" s="20" t="n">
        <v>2000</v>
      </c>
      <c r="H179" s="8" t="n">
        <v>2</v>
      </c>
      <c r="I179" s="10" t="n">
        <v>45495</v>
      </c>
      <c r="J179" s="11" t="n">
        <v>0.359236111107743</v>
      </c>
      <c r="K179" s="1" t="str">
        <f aca="false">IF(L179&gt;24,     IF(H179=2,"Couple Extended Day","Extended Day"), IF(L179&lt;=12,     IF(AND(MOD(D179,1)&gt;=TIME(6,0,0),MOD(D179,1)&lt;TIME(18,0,0)),         IF(H179=2,"Couple Half Day","12H Day"),         IF(H179=2,"Couple Half Night","12H Night")), IF(L179&lt;=24,     IF(AND(MOD(D179,1)&gt;=TIME(6,0,0),MOD(D179,1)&lt;TIME(18,0,0)),         IF(H179=2,"Couple Full Day","24H Day"),         IF(H179=2,"Couple Full Night","24H Night")), "Check Data")))</f>
        <v>Couple Half Day</v>
      </c>
      <c r="L179" s="12" t="n">
        <f aca="false">((INT(E179)+MOD(F179,1))-(INT(C179)+MOD(D179,1)))*24</f>
        <v>9</v>
      </c>
      <c r="M179" s="1" t="n">
        <f aca="false">IFERROR(INDEX(Sheet3!$B$2:$B$500,MATCH(1,(INT(C179)+MOD(D179,1)&lt;INT(Sheet3!$A$2:$A$500)+TIME(18,0,0))*(INT(E179)+MOD(F179,1)&gt;=INT(Sheet3!$A$2:$A$500)),0)),0)</f>
        <v>0</v>
      </c>
      <c r="N179" s="1" t="n">
        <f aca="false">IF(OR( AND(Q179=6,D179&gt;=TIME(17,0,0),OR(K179="12H Night",K179="Couple Half Night",K179="24H Night",K179="Couple Full Night")), AND(Q179=7,D179&gt;=TIME(6,0,0),D179&lt;TIME(12,0,0),OR(K179="12H Day",K179="Couple Half Day",K179="24H Day",K179="Couple Full Day")) ),1,0)</f>
        <v>0</v>
      </c>
      <c r="O179" s="1" t="n">
        <f aca="false">IF(OR( AND(MONTH(C179)=12,DAY(C179)&gt;=26), AND(MONTH(C179)=4,DAY(C179)&gt;=15), MONTH(C179)=5, AND(MONTH(C179)=6,DAY(C179)&lt;=10) ),1,0)</f>
        <v>0</v>
      </c>
      <c r="P179" s="1" t="str">
        <f aca="false">IF(OR(MONTH(C179)=3,MONTH(C179)=4,MONTH(C179)=5,MONTH(C179)=6), "Summer", IF(OR(MONTH(C179)=7,MONTH(C179)=8,MONTH(C179)=9,MONTH(C179)=10), "Monsoon", "Winter"))</f>
        <v>Monsoon</v>
      </c>
      <c r="Q179" s="1" t="n">
        <f aca="false">WEEKDAY(C179,2)</f>
        <v>3</v>
      </c>
      <c r="R179" s="0" t="n">
        <f aca="false">ROUNDDOWN(((INT(C179)+MOD(D179,1))-(INT(I179)+MOD(J179,1))),0)</f>
        <v>2</v>
      </c>
      <c r="S179" s="10"/>
    </row>
    <row r="180" customFormat="false" ht="192.95" hidden="false" customHeight="false" outlineLevel="0" collapsed="false">
      <c r="A180" s="8" t="s">
        <v>359</v>
      </c>
      <c r="B180" s="22" t="s">
        <v>360</v>
      </c>
      <c r="C180" s="18" t="n">
        <v>45499.4166666667</v>
      </c>
      <c r="D180" s="19" t="n">
        <v>45499.4166666667</v>
      </c>
      <c r="E180" s="18" t="n">
        <v>45499.9166666667</v>
      </c>
      <c r="F180" s="19" t="n">
        <v>45499.9166666667</v>
      </c>
      <c r="G180" s="20" t="n">
        <v>3500</v>
      </c>
      <c r="H180" s="8" t="n">
        <v>22</v>
      </c>
      <c r="I180" s="10" t="n">
        <v>45494</v>
      </c>
      <c r="J180" s="11" t="n">
        <v>0.937824074077072</v>
      </c>
      <c r="K180" s="1" t="str">
        <f aca="false">IF(L180&gt;24,     IF(H180=2,"Couple Extended Day","Extended Day"), IF(L180&lt;=12,     IF(AND(MOD(D180,1)&gt;=TIME(6,0,0),MOD(D180,1)&lt;TIME(18,0,0)),         IF(H180=2,"Couple Half Day","12H Day"),         IF(H180=2,"Couple Half Night","12H Night")), IF(L180&lt;=24,     IF(AND(MOD(D180,1)&gt;=TIME(6,0,0),MOD(D180,1)&lt;TIME(18,0,0)),         IF(H180=2,"Couple Full Day","24H Day"),         IF(H180=2,"Couple Full Night","24H Night")), "Check Data")))</f>
        <v>12H Day</v>
      </c>
      <c r="L180" s="12" t="n">
        <f aca="false">((INT(E180)+MOD(F180,1))-(INT(C180)+MOD(D180,1)))*24</f>
        <v>12</v>
      </c>
      <c r="M180" s="1" t="n">
        <f aca="false">IFERROR(INDEX(Sheet3!$B$2:$B$500,MATCH(1,(INT(C180)+MOD(D180,1)&lt;INT(Sheet3!$A$2:$A$500)+TIME(18,0,0))*(INT(E180)+MOD(F180,1)&gt;=INT(Sheet3!$A$2:$A$500)),0)),0)</f>
        <v>0</v>
      </c>
      <c r="N180" s="1" t="n">
        <f aca="false">IF(OR( AND(Q180=6,D180&gt;=TIME(17,0,0),OR(K180="12H Night",K180="Couple Half Night",K180="24H Night",K180="Couple Full Night")), AND(Q180=7,D180&gt;=TIME(6,0,0),D180&lt;TIME(12,0,0),OR(K180="12H Day",K180="Couple Half Day",K180="24H Day",K180="Couple Full Day")) ),1,0)</f>
        <v>0</v>
      </c>
      <c r="O180" s="1" t="n">
        <f aca="false">IF(OR( AND(MONTH(C180)=12,DAY(C180)&gt;=26), AND(MONTH(C180)=4,DAY(C180)&gt;=15), MONTH(C180)=5, AND(MONTH(C180)=6,DAY(C180)&lt;=10) ),1,0)</f>
        <v>0</v>
      </c>
      <c r="P180" s="1" t="str">
        <f aca="false">IF(OR(MONTH(C180)=3,MONTH(C180)=4,MONTH(C180)=5,MONTH(C180)=6), "Summer", IF(OR(MONTH(C180)=7,MONTH(C180)=8,MONTH(C180)=9,MONTH(C180)=10), "Monsoon", "Winter"))</f>
        <v>Monsoon</v>
      </c>
      <c r="Q180" s="1" t="n">
        <f aca="false">WEEKDAY(C180,2)</f>
        <v>5</v>
      </c>
      <c r="R180" s="0" t="n">
        <f aca="false">ROUNDDOWN(((INT(C180)+MOD(D180,1))-(INT(I180)+MOD(J180,1))),0)</f>
        <v>4</v>
      </c>
      <c r="S180" s="10"/>
    </row>
    <row r="181" customFormat="false" ht="216.9" hidden="false" customHeight="false" outlineLevel="0" collapsed="false">
      <c r="A181" s="8" t="s">
        <v>361</v>
      </c>
      <c r="B181" s="22" t="s">
        <v>362</v>
      </c>
      <c r="C181" s="18" t="n">
        <v>45500.375</v>
      </c>
      <c r="D181" s="19" t="n">
        <v>45500.375</v>
      </c>
      <c r="E181" s="18" t="n">
        <v>45500.75</v>
      </c>
      <c r="F181" s="19" t="n">
        <v>45500.75</v>
      </c>
      <c r="G181" s="20" t="n">
        <v>2500</v>
      </c>
      <c r="H181" s="8" t="n">
        <v>4</v>
      </c>
      <c r="I181" s="10" t="n">
        <v>45495</v>
      </c>
      <c r="J181" s="11" t="n">
        <v>0.674351851848773</v>
      </c>
      <c r="K181" s="1" t="str">
        <f aca="false">IF(L181&gt;24,     IF(H181=2,"Couple Extended Day","Extended Day"), IF(L181&lt;=12,     IF(AND(MOD(D181,1)&gt;=TIME(6,0,0),MOD(D181,1)&lt;TIME(18,0,0)),         IF(H181=2,"Couple Half Day","12H Day"),         IF(H181=2,"Couple Half Night","12H Night")), IF(L181&lt;=24,     IF(AND(MOD(D181,1)&gt;=TIME(6,0,0),MOD(D181,1)&lt;TIME(18,0,0)),         IF(H181=2,"Couple Full Day","24H Day"),         IF(H181=2,"Couple Full Night","24H Night")), "Check Data")))</f>
        <v>12H Day</v>
      </c>
      <c r="L181" s="12" t="n">
        <f aca="false">((INT(E181)+MOD(F181,1))-(INT(C181)+MOD(D181,1)))*24</f>
        <v>9</v>
      </c>
      <c r="M181" s="1" t="n">
        <f aca="false">IFERROR(INDEX(Sheet3!$B$2:$B$500,MATCH(1,(INT(C181)+MOD(D181,1)&lt;INT(Sheet3!$A$2:$A$500)+TIME(18,0,0))*(INT(E181)+MOD(F181,1)&gt;=INT(Sheet3!$A$2:$A$500)),0)),0)</f>
        <v>0</v>
      </c>
      <c r="N181" s="1" t="n">
        <f aca="false">IF(OR( AND(Q181=6,D181&gt;=TIME(17,0,0),OR(K181="12H Night",K181="Couple Half Night",K181="24H Night",K181="Couple Full Night")), AND(Q181=7,D181&gt;=TIME(6,0,0),D181&lt;TIME(12,0,0),OR(K181="12H Day",K181="Couple Half Day",K181="24H Day",K181="Couple Full Day")) ),1,0)</f>
        <v>0</v>
      </c>
      <c r="O181" s="1" t="n">
        <f aca="false">IF(OR( AND(MONTH(C181)=12,DAY(C181)&gt;=26), AND(MONTH(C181)=4,DAY(C181)&gt;=15), MONTH(C181)=5, AND(MONTH(C181)=6,DAY(C181)&lt;=10) ),1,0)</f>
        <v>0</v>
      </c>
      <c r="P181" s="1" t="str">
        <f aca="false">IF(OR(MONTH(C181)=3,MONTH(C181)=4,MONTH(C181)=5,MONTH(C181)=6), "Summer", IF(OR(MONTH(C181)=7,MONTH(C181)=8,MONTH(C181)=9,MONTH(C181)=10), "Monsoon", "Winter"))</f>
        <v>Monsoon</v>
      </c>
      <c r="Q181" s="1" t="n">
        <f aca="false">WEEKDAY(C181,2)</f>
        <v>6</v>
      </c>
      <c r="R181" s="0" t="n">
        <f aca="false">ROUNDDOWN(((INT(C181)+MOD(D181,1))-(INT(I181)+MOD(J181,1))),0)</f>
        <v>4</v>
      </c>
      <c r="S181" s="10"/>
    </row>
    <row r="182" customFormat="false" ht="192.95" hidden="false" customHeight="false" outlineLevel="0" collapsed="false">
      <c r="A182" s="8" t="s">
        <v>188</v>
      </c>
      <c r="B182" s="22" t="s">
        <v>363</v>
      </c>
      <c r="C182" s="18" t="n">
        <v>45500.7916666667</v>
      </c>
      <c r="D182" s="19" t="n">
        <v>45500.7916666667</v>
      </c>
      <c r="E182" s="18" t="n">
        <v>45501.75</v>
      </c>
      <c r="F182" s="19" t="n">
        <v>45501.75</v>
      </c>
      <c r="G182" s="20" t="n">
        <v>5000</v>
      </c>
      <c r="H182" s="8" t="n">
        <v>4</v>
      </c>
      <c r="I182" s="10" t="n">
        <v>45494</v>
      </c>
      <c r="J182" s="11" t="n">
        <v>0.935659722221319</v>
      </c>
      <c r="K182" s="1" t="str">
        <f aca="false">IF(L182&gt;24,     IF(H182=2,"Couple Extended Day","Extended Day"), IF(L182&lt;=12,     IF(AND(MOD(D182,1)&gt;=TIME(6,0,0),MOD(D182,1)&lt;TIME(18,0,0)),         IF(H182=2,"Couple Half Day","12H Day"),         IF(H182=2,"Couple Half Night","12H Night")), IF(L182&lt;=24,     IF(AND(MOD(D182,1)&gt;=TIME(6,0,0),MOD(D182,1)&lt;TIME(18,0,0)),         IF(H182=2,"Couple Full Day","24H Day"),         IF(H182=2,"Couple Full Night","24H Night")), "Check Data")))</f>
        <v>24H Night</v>
      </c>
      <c r="L182" s="12" t="n">
        <f aca="false">((INT(E182)+MOD(F182,1))-(INT(C182)+MOD(D182,1)))*24</f>
        <v>22.9999999990105</v>
      </c>
      <c r="M182" s="1" t="n">
        <f aca="false">IFERROR(INDEX(Sheet3!$B$2:$B$500,MATCH(1,(INT(C182)+MOD(D182,1)&lt;INT(Sheet3!$A$2:$A$500)+TIME(18,0,0))*(INT(E182)+MOD(F182,1)&gt;=INT(Sheet3!$A$2:$A$500)),0)),0)</f>
        <v>0</v>
      </c>
      <c r="N182" s="1" t="n">
        <f aca="false">IF(OR( AND(Q182=6,D182&gt;=TIME(17,0,0),OR(K182="12H Night",K182="Couple Half Night",K182="24H Night",K182="Couple Full Night")), AND(Q182=7,D182&gt;=TIME(6,0,0),D182&lt;TIME(12,0,0),OR(K182="12H Day",K182="Couple Half Day",K182="24H Day",K182="Couple Full Day")) ),1,0)</f>
        <v>1</v>
      </c>
      <c r="O182" s="1" t="n">
        <f aca="false">IF(OR( AND(MONTH(C182)=12,DAY(C182)&gt;=26), AND(MONTH(C182)=4,DAY(C182)&gt;=15), MONTH(C182)=5, AND(MONTH(C182)=6,DAY(C182)&lt;=10) ),1,0)</f>
        <v>0</v>
      </c>
      <c r="P182" s="1" t="str">
        <f aca="false">IF(OR(MONTH(C182)=3,MONTH(C182)=4,MONTH(C182)=5,MONTH(C182)=6), "Summer", IF(OR(MONTH(C182)=7,MONTH(C182)=8,MONTH(C182)=9,MONTH(C182)=10), "Monsoon", "Winter"))</f>
        <v>Monsoon</v>
      </c>
      <c r="Q182" s="1" t="n">
        <f aca="false">WEEKDAY(C182,2)</f>
        <v>6</v>
      </c>
      <c r="R182" s="0" t="n">
        <f aca="false">ROUNDDOWN(((INT(C182)+MOD(D182,1))-(INT(I182)+MOD(J182,1))),0)</f>
        <v>5</v>
      </c>
      <c r="S182" s="10"/>
    </row>
    <row r="183" customFormat="false" ht="13.8" hidden="false" customHeight="false" outlineLevel="0" collapsed="false">
      <c r="A183" s="8" t="s">
        <v>304</v>
      </c>
      <c r="B183" s="8" t="s">
        <v>364</v>
      </c>
      <c r="C183" s="18" t="n">
        <v>45502.5416666667</v>
      </c>
      <c r="D183" s="19" t="n">
        <v>45502.5416666667</v>
      </c>
      <c r="E183" s="18" t="n">
        <v>45502.75</v>
      </c>
      <c r="F183" s="19" t="n">
        <v>45502.75</v>
      </c>
      <c r="G183" s="20" t="n">
        <v>1000</v>
      </c>
      <c r="I183" s="10" t="n">
        <v>45502</v>
      </c>
      <c r="J183" s="11" t="n">
        <v>0.53303240740206</v>
      </c>
      <c r="K183" s="1" t="str">
        <f aca="false">IF(L183&gt;24,     IF(H183=2,"Couple Extended Day","Extended Day"), IF(L183&lt;=12,     IF(AND(MOD(D183,1)&gt;=TIME(6,0,0),MOD(D183,1)&lt;TIME(18,0,0)),         IF(H183=2,"Couple Half Day","12H Day"),         IF(H183=2,"Couple Half Night","12H Night")), IF(L183&lt;=24,     IF(AND(MOD(D183,1)&gt;=TIME(6,0,0),MOD(D183,1)&lt;TIME(18,0,0)),         IF(H183=2,"Couple Full Day","24H Day"),         IF(H183=2,"Couple Full Night","24H Night")), "Check Data")))</f>
        <v>12H Day</v>
      </c>
      <c r="L183" s="12" t="n">
        <f aca="false">((INT(E183)+MOD(F183,1))-(INT(C183)+MOD(D183,1)))*24</f>
        <v>4.99999999901047</v>
      </c>
      <c r="M183" s="1" t="n">
        <f aca="false">IFERROR(INDEX(Sheet3!$B$2:$B$500,MATCH(1,(INT(C183)+MOD(D183,1)&lt;INT(Sheet3!$A$2:$A$500)+TIME(18,0,0))*(INT(E183)+MOD(F183,1)&gt;=INT(Sheet3!$A$2:$A$500)),0)),0)</f>
        <v>0</v>
      </c>
      <c r="N183" s="1" t="n">
        <f aca="false">IF(OR( AND(Q183=6,D183&gt;=TIME(17,0,0),OR(K183="12H Night",K183="Couple Half Night",K183="24H Night",K183="Couple Full Night")), AND(Q183=7,D183&gt;=TIME(6,0,0),D183&lt;TIME(12,0,0),OR(K183="12H Day",K183="Couple Half Day",K183="24H Day",K183="Couple Full Day")) ),1,0)</f>
        <v>0</v>
      </c>
      <c r="O183" s="1" t="n">
        <f aca="false">IF(OR( AND(MONTH(C183)=12,DAY(C183)&gt;=26), AND(MONTH(C183)=4,DAY(C183)&gt;=15), MONTH(C183)=5, AND(MONTH(C183)=6,DAY(C183)&lt;=10) ),1,0)</f>
        <v>0</v>
      </c>
      <c r="P183" s="1" t="str">
        <f aca="false">IF(OR(MONTH(C183)=3,MONTH(C183)=4,MONTH(C183)=5,MONTH(C183)=6), "Summer", IF(OR(MONTH(C183)=7,MONTH(C183)=8,MONTH(C183)=9,MONTH(C183)=10), "Monsoon", "Winter"))</f>
        <v>Monsoon</v>
      </c>
      <c r="Q183" s="1" t="n">
        <f aca="false">WEEKDAY(C183,2)</f>
        <v>1</v>
      </c>
      <c r="R183" s="0" t="n">
        <f aca="false">ROUNDDOWN(((INT(C183)+MOD(D183,1))-(INT(I183)+MOD(J183,1))),0)</f>
        <v>0</v>
      </c>
      <c r="S183" s="10"/>
    </row>
    <row r="184" customFormat="false" ht="121.1" hidden="false" customHeight="false" outlineLevel="0" collapsed="false">
      <c r="A184" s="8" t="s">
        <v>365</v>
      </c>
      <c r="B184" s="22" t="s">
        <v>366</v>
      </c>
      <c r="C184" s="18" t="n">
        <v>45503.3333333333</v>
      </c>
      <c r="D184" s="19" t="n">
        <v>0</v>
      </c>
      <c r="E184" s="18" t="n">
        <v>45503.75</v>
      </c>
      <c r="F184" s="19" t="n">
        <v>45503.75</v>
      </c>
      <c r="G184" s="20" t="n">
        <v>1500</v>
      </c>
      <c r="H184" s="8" t="n">
        <v>2</v>
      </c>
      <c r="I184" s="10" t="n">
        <v>45503</v>
      </c>
      <c r="J184" s="11" t="n">
        <v>0.631087962960012</v>
      </c>
      <c r="K184" s="1" t="str">
        <f aca="false">IF(L184&gt;24,     IF(H184=2,"Couple Extended Day","Extended Day"), IF(L184&lt;=12,     IF(AND(MOD(D184,1)&gt;=TIME(6,0,0),MOD(D184,1)&lt;TIME(18,0,0)),         IF(H184=2,"Couple Half Day","12H Day"),         IF(H184=2,"Couple Half Night","12H Night")), IF(L184&lt;=24,     IF(AND(MOD(D184,1)&gt;=TIME(6,0,0),MOD(D184,1)&lt;TIME(18,0,0)),         IF(H184=2,"Couple Full Day","24H Day"),         IF(H184=2,"Couple Full Night","24H Night")), "Check Data")))</f>
        <v>Couple Full Night</v>
      </c>
      <c r="L184" s="12" t="n">
        <f aca="false">((INT(E184)+MOD(F184,1))-(INT(C184)+MOD(D184,1)))*24</f>
        <v>18</v>
      </c>
      <c r="M184" s="1" t="n">
        <f aca="false">IFERROR(INDEX(Sheet3!$B$2:$B$500,MATCH(1,(INT(C184)+MOD(D184,1)&lt;INT(Sheet3!$A$2:$A$500)+TIME(18,0,0))*(INT(E184)+MOD(F184,1)&gt;=INT(Sheet3!$A$2:$A$500)),0)),0)</f>
        <v>0</v>
      </c>
      <c r="N184" s="1" t="n">
        <f aca="false">IF(OR( AND(Q184=6,D184&gt;=TIME(17,0,0),OR(K184="12H Night",K184="Couple Half Night",K184="24H Night",K184="Couple Full Night")), AND(Q184=7,D184&gt;=TIME(6,0,0),D184&lt;TIME(12,0,0),OR(K184="12H Day",K184="Couple Half Day",K184="24H Day",K184="Couple Full Day")) ),1,0)</f>
        <v>0</v>
      </c>
      <c r="O184" s="1" t="n">
        <f aca="false">IF(OR( AND(MONTH(C184)=12,DAY(C184)&gt;=26), AND(MONTH(C184)=4,DAY(C184)&gt;=15), MONTH(C184)=5, AND(MONTH(C184)=6,DAY(C184)&lt;=10) ),1,0)</f>
        <v>0</v>
      </c>
      <c r="P184" s="1" t="str">
        <f aca="false">IF(OR(MONTH(C184)=3,MONTH(C184)=4,MONTH(C184)=5,MONTH(C184)=6), "Summer", IF(OR(MONTH(C184)=7,MONTH(C184)=8,MONTH(C184)=9,MONTH(C184)=10), "Monsoon", "Winter"))</f>
        <v>Monsoon</v>
      </c>
      <c r="Q184" s="1" t="n">
        <f aca="false">WEEKDAY(C184,2)</f>
        <v>2</v>
      </c>
      <c r="R184" s="0" t="n">
        <f aca="false">ROUNDDOWN(((INT(C184)+MOD(D184,1))-(INT(I184)+MOD(J184,1))),0)</f>
        <v>-0</v>
      </c>
      <c r="S184" s="10"/>
    </row>
    <row r="185" customFormat="false" ht="192.95" hidden="false" customHeight="false" outlineLevel="0" collapsed="false">
      <c r="A185" s="8" t="s">
        <v>338</v>
      </c>
      <c r="B185" s="22" t="s">
        <v>367</v>
      </c>
      <c r="C185" s="18" t="n">
        <v>45504.7916666667</v>
      </c>
      <c r="D185" s="19" t="n">
        <v>45504.7916666667</v>
      </c>
      <c r="E185" s="18" t="n">
        <v>45505.25</v>
      </c>
      <c r="F185" s="19" t="n">
        <v>45505.25</v>
      </c>
      <c r="G185" s="20" t="n">
        <v>2000</v>
      </c>
      <c r="H185" s="8" t="n">
        <v>3</v>
      </c>
      <c r="I185" s="10" t="n">
        <v>45504</v>
      </c>
      <c r="J185" s="11" t="n">
        <v>0.824826388889051</v>
      </c>
      <c r="K185" s="1" t="str">
        <f aca="false">IF(L185&gt;24,     IF(H185=2,"Couple Extended Day","Extended Day"), IF(L185&lt;=12,     IF(AND(MOD(D185,1)&gt;=TIME(6,0,0),MOD(D185,1)&lt;TIME(18,0,0)),         IF(H185=2,"Couple Half Day","12H Day"),         IF(H185=2,"Couple Half Night","12H Night")), IF(L185&lt;=24,     IF(AND(MOD(D185,1)&gt;=TIME(6,0,0),MOD(D185,1)&lt;TIME(18,0,0)),         IF(H185=2,"Couple Full Day","24H Day"),         IF(H185=2,"Couple Full Night","24H Night")), "Check Data")))</f>
        <v>12H Night</v>
      </c>
      <c r="L185" s="12" t="n">
        <f aca="false">((INT(E185)+MOD(F185,1))-(INT(C185)+MOD(D185,1)))*24</f>
        <v>10.9999999990105</v>
      </c>
      <c r="M185" s="1" t="n">
        <f aca="false">IFERROR(INDEX(Sheet3!$B$2:$B$500,MATCH(1,(INT(C185)+MOD(D185,1)&lt;INT(Sheet3!$A$2:$A$500)+TIME(18,0,0))*(INT(E185)+MOD(F185,1)&gt;=INT(Sheet3!$A$2:$A$500)),0)),0)</f>
        <v>0</v>
      </c>
      <c r="N185" s="1" t="n">
        <f aca="false">IF(OR( AND(Q185=6,D185&gt;=TIME(17,0,0),OR(K185="12H Night",K185="Couple Half Night",K185="24H Night",K185="Couple Full Night")), AND(Q185=7,D185&gt;=TIME(6,0,0),D185&lt;TIME(12,0,0),OR(K185="12H Day",K185="Couple Half Day",K185="24H Day",K185="Couple Full Day")) ),1,0)</f>
        <v>0</v>
      </c>
      <c r="O185" s="1" t="n">
        <f aca="false">IF(OR( AND(MONTH(C185)=12,DAY(C185)&gt;=26), AND(MONTH(C185)=4,DAY(C185)&gt;=15), MONTH(C185)=5, AND(MONTH(C185)=6,DAY(C185)&lt;=10) ),1,0)</f>
        <v>0</v>
      </c>
      <c r="P185" s="1" t="str">
        <f aca="false">IF(OR(MONTH(C185)=3,MONTH(C185)=4,MONTH(C185)=5,MONTH(C185)=6), "Summer", IF(OR(MONTH(C185)=7,MONTH(C185)=8,MONTH(C185)=9,MONTH(C185)=10), "Monsoon", "Winter"))</f>
        <v>Monsoon</v>
      </c>
      <c r="Q185" s="1" t="n">
        <f aca="false">WEEKDAY(C185,2)</f>
        <v>3</v>
      </c>
      <c r="R185" s="0" t="n">
        <f aca="false">ROUNDDOWN(((INT(C185)+MOD(D185,1))-(INT(I185)+MOD(J185,1))),0)</f>
        <v>-0</v>
      </c>
      <c r="S185" s="10"/>
    </row>
    <row r="186" customFormat="false" ht="180.95" hidden="false" customHeight="false" outlineLevel="0" collapsed="false">
      <c r="A186" s="8" t="s">
        <v>336</v>
      </c>
      <c r="B186" s="22" t="s">
        <v>368</v>
      </c>
      <c r="C186" s="18" t="n">
        <v>45505.3333333333</v>
      </c>
      <c r="D186" s="19" t="n">
        <v>0</v>
      </c>
      <c r="E186" s="18" t="n">
        <v>45505.75</v>
      </c>
      <c r="F186" s="19" t="n">
        <v>45505.75</v>
      </c>
      <c r="G186" s="20" t="n">
        <v>2500</v>
      </c>
      <c r="H186" s="8" t="n">
        <v>2</v>
      </c>
      <c r="I186" s="10" t="n">
        <v>45500</v>
      </c>
      <c r="J186" s="11" t="n">
        <v>0.618506944447292</v>
      </c>
      <c r="K186" s="1" t="str">
        <f aca="false">IF(L186&gt;24,     IF(H186=2,"Couple Extended Day","Extended Day"), IF(L186&lt;=12,     IF(AND(MOD(D186,1)&gt;=TIME(6,0,0),MOD(D186,1)&lt;TIME(18,0,0)),         IF(H186=2,"Couple Half Day","12H Day"),         IF(H186=2,"Couple Half Night","12H Night")), IF(L186&lt;=24,     IF(AND(MOD(D186,1)&gt;=TIME(6,0,0),MOD(D186,1)&lt;TIME(18,0,0)),         IF(H186=2,"Couple Full Day","24H Day"),         IF(H186=2,"Couple Full Night","24H Night")), "Check Data")))</f>
        <v>Couple Full Night</v>
      </c>
      <c r="L186" s="12" t="n">
        <f aca="false">((INT(E186)+MOD(F186,1))-(INT(C186)+MOD(D186,1)))*24</f>
        <v>18</v>
      </c>
      <c r="M186" s="1" t="n">
        <f aca="false">IFERROR(INDEX(Sheet3!$B$2:$B$500,MATCH(1,(INT(C186)+MOD(D186,1)&lt;INT(Sheet3!$A$2:$A$500)+TIME(18,0,0))*(INT(E186)+MOD(F186,1)&gt;=INT(Sheet3!$A$2:$A$500)),0)),0)</f>
        <v>0</v>
      </c>
      <c r="N186" s="1" t="n">
        <f aca="false">IF(OR( AND(Q186=6,D186&gt;=TIME(17,0,0),OR(K186="12H Night",K186="Couple Half Night",K186="24H Night",K186="Couple Full Night")), AND(Q186=7,D186&gt;=TIME(6,0,0),D186&lt;TIME(12,0,0),OR(K186="12H Day",K186="Couple Half Day",K186="24H Day",K186="Couple Full Day")) ),1,0)</f>
        <v>0</v>
      </c>
      <c r="O186" s="1" t="n">
        <f aca="false">IF(OR( AND(MONTH(C186)=12,DAY(C186)&gt;=26), AND(MONTH(C186)=4,DAY(C186)&gt;=15), MONTH(C186)=5, AND(MONTH(C186)=6,DAY(C186)&lt;=10) ),1,0)</f>
        <v>0</v>
      </c>
      <c r="P186" s="1" t="str">
        <f aca="false">IF(OR(MONTH(C186)=3,MONTH(C186)=4,MONTH(C186)=5,MONTH(C186)=6), "Summer", IF(OR(MONTH(C186)=7,MONTH(C186)=8,MONTH(C186)=9,MONTH(C186)=10), "Monsoon", "Winter"))</f>
        <v>Monsoon</v>
      </c>
      <c r="Q186" s="1" t="n">
        <f aca="false">WEEKDAY(C186,2)</f>
        <v>4</v>
      </c>
      <c r="R186" s="0" t="n">
        <f aca="false">ROUNDDOWN(((INT(C186)+MOD(D186,1))-(INT(I186)+MOD(J186,1))),0)</f>
        <v>4</v>
      </c>
      <c r="S186" s="10"/>
    </row>
    <row r="187" customFormat="false" ht="13.8" hidden="false" customHeight="false" outlineLevel="0" collapsed="false">
      <c r="A187" s="8" t="s">
        <v>304</v>
      </c>
      <c r="B187" s="8" t="s">
        <v>369</v>
      </c>
      <c r="C187" s="18" t="n">
        <v>45505.7916666667</v>
      </c>
      <c r="D187" s="19" t="n">
        <v>45505.7916666667</v>
      </c>
      <c r="E187" s="18" t="n">
        <v>45506.2916666667</v>
      </c>
      <c r="F187" s="19" t="n">
        <v>45506.2916666667</v>
      </c>
      <c r="G187" s="20" t="n">
        <v>1500</v>
      </c>
      <c r="I187" s="10" t="n">
        <v>45505</v>
      </c>
      <c r="J187" s="11" t="n">
        <v>0.888692129628912</v>
      </c>
      <c r="K187" s="1" t="str">
        <f aca="false">IF(L187&gt;24,     IF(H187=2,"Couple Extended Day","Extended Day"), IF(L187&lt;=12,     IF(AND(MOD(D187,1)&gt;=TIME(6,0,0),MOD(D187,1)&lt;TIME(18,0,0)),         IF(H187=2,"Couple Half Day","12H Day"),         IF(H187=2,"Couple Half Night","12H Night")), IF(L187&lt;=24,     IF(AND(MOD(D187,1)&gt;=TIME(6,0,0),MOD(D187,1)&lt;TIME(18,0,0)),         IF(H187=2,"Couple Full Day","24H Day"),         IF(H187=2,"Couple Full Night","24H Night")), "Check Data")))</f>
        <v>12H Night</v>
      </c>
      <c r="L187" s="12" t="n">
        <f aca="false">((INT(E187)+MOD(F187,1))-(INT(C187)+MOD(D187,1)))*24</f>
        <v>12</v>
      </c>
      <c r="M187" s="1" t="n">
        <f aca="false">IFERROR(INDEX(Sheet3!$B$2:$B$500,MATCH(1,(INT(C187)+MOD(D187,1)&lt;INT(Sheet3!$A$2:$A$500)+TIME(18,0,0))*(INT(E187)+MOD(F187,1)&gt;=INT(Sheet3!$A$2:$A$500)),0)),0)</f>
        <v>0</v>
      </c>
      <c r="N187" s="1" t="n">
        <f aca="false">IF(OR( AND(Q187=6,D187&gt;=TIME(17,0,0),OR(K187="12H Night",K187="Couple Half Night",K187="24H Night",K187="Couple Full Night")), AND(Q187=7,D187&gt;=TIME(6,0,0),D187&lt;TIME(12,0,0),OR(K187="12H Day",K187="Couple Half Day",K187="24H Day",K187="Couple Full Day")) ),1,0)</f>
        <v>0</v>
      </c>
      <c r="O187" s="1" t="n">
        <f aca="false">IF(OR( AND(MONTH(C187)=12,DAY(C187)&gt;=26), AND(MONTH(C187)=4,DAY(C187)&gt;=15), MONTH(C187)=5, AND(MONTH(C187)=6,DAY(C187)&lt;=10) ),1,0)</f>
        <v>0</v>
      </c>
      <c r="P187" s="1" t="str">
        <f aca="false">IF(OR(MONTH(C187)=3,MONTH(C187)=4,MONTH(C187)=5,MONTH(C187)=6), "Summer", IF(OR(MONTH(C187)=7,MONTH(C187)=8,MONTH(C187)=9,MONTH(C187)=10), "Monsoon", "Winter"))</f>
        <v>Monsoon</v>
      </c>
      <c r="Q187" s="1" t="n">
        <f aca="false">WEEKDAY(C187,2)</f>
        <v>4</v>
      </c>
      <c r="R187" s="0" t="n">
        <f aca="false">ROUNDDOWN(((INT(C187)+MOD(D187,1))-(INT(I187)+MOD(J187,1))),0)</f>
        <v>-0</v>
      </c>
      <c r="S187" s="10"/>
    </row>
    <row r="188" customFormat="false" ht="180.95" hidden="false" customHeight="false" outlineLevel="0" collapsed="false">
      <c r="A188" s="8" t="s">
        <v>338</v>
      </c>
      <c r="B188" s="22" t="s">
        <v>370</v>
      </c>
      <c r="C188" s="18" t="n">
        <v>45507.3333333333</v>
      </c>
      <c r="D188" s="19" t="n">
        <v>0</v>
      </c>
      <c r="E188" s="18" t="n">
        <v>45507.75</v>
      </c>
      <c r="F188" s="19" t="n">
        <v>45507.75</v>
      </c>
      <c r="G188" s="20" t="n">
        <v>3000</v>
      </c>
      <c r="H188" s="8" t="n">
        <v>6</v>
      </c>
      <c r="I188" s="10" t="n">
        <v>45505</v>
      </c>
      <c r="J188" s="11" t="n">
        <v>0.658750000002326</v>
      </c>
      <c r="K188" s="1" t="str">
        <f aca="false">IF(L188&gt;24,     IF(H188=2,"Couple Extended Day","Extended Day"), IF(L188&lt;=12,     IF(AND(MOD(D188,1)&gt;=TIME(6,0,0),MOD(D188,1)&lt;TIME(18,0,0)),         IF(H188=2,"Couple Half Day","12H Day"),         IF(H188=2,"Couple Half Night","12H Night")), IF(L188&lt;=24,     IF(AND(MOD(D188,1)&gt;=TIME(6,0,0),MOD(D188,1)&lt;TIME(18,0,0)),         IF(H188=2,"Couple Full Day","24H Day"),         IF(H188=2,"Couple Full Night","24H Night")), "Check Data")))</f>
        <v>24H Night</v>
      </c>
      <c r="L188" s="12" t="n">
        <f aca="false">((INT(E188)+MOD(F188,1))-(INT(C188)+MOD(D188,1)))*24</f>
        <v>18</v>
      </c>
      <c r="M188" s="1" t="n">
        <f aca="false">IFERROR(INDEX(Sheet3!$B$2:$B$500,MATCH(1,(INT(C188)+MOD(D188,1)&lt;INT(Sheet3!$A$2:$A$500)+TIME(18,0,0))*(INT(E188)+MOD(F188,1)&gt;=INT(Sheet3!$A$2:$A$500)),0)),0)</f>
        <v>0</v>
      </c>
      <c r="N188" s="1" t="n">
        <f aca="false">IF(OR( AND(Q188=6,D188&gt;=TIME(17,0,0),OR(K188="12H Night",K188="Couple Half Night",K188="24H Night",K188="Couple Full Night")), AND(Q188=7,D188&gt;=TIME(6,0,0),D188&lt;TIME(12,0,0),OR(K188="12H Day",K188="Couple Half Day",K188="24H Day",K188="Couple Full Day")) ),1,0)</f>
        <v>0</v>
      </c>
      <c r="O188" s="1" t="n">
        <f aca="false">IF(OR( AND(MONTH(C188)=12,DAY(C188)&gt;=26), AND(MONTH(C188)=4,DAY(C188)&gt;=15), MONTH(C188)=5, AND(MONTH(C188)=6,DAY(C188)&lt;=10) ),1,0)</f>
        <v>0</v>
      </c>
      <c r="P188" s="1" t="str">
        <f aca="false">IF(OR(MONTH(C188)=3,MONTH(C188)=4,MONTH(C188)=5,MONTH(C188)=6), "Summer", IF(OR(MONTH(C188)=7,MONTH(C188)=8,MONTH(C188)=9,MONTH(C188)=10), "Monsoon", "Winter"))</f>
        <v>Monsoon</v>
      </c>
      <c r="Q188" s="1" t="n">
        <f aca="false">WEEKDAY(C188,2)</f>
        <v>6</v>
      </c>
      <c r="R188" s="0" t="n">
        <f aca="false">ROUNDDOWN(((INT(C188)+MOD(D188,1))-(INT(I188)+MOD(J188,1))),0)</f>
        <v>1</v>
      </c>
      <c r="S188" s="10"/>
    </row>
    <row r="189" customFormat="false" ht="204.9" hidden="false" customHeight="false" outlineLevel="0" collapsed="false">
      <c r="A189" s="8" t="s">
        <v>371</v>
      </c>
      <c r="B189" s="22" t="s">
        <v>372</v>
      </c>
      <c r="C189" s="18" t="n">
        <v>45507.7916666667</v>
      </c>
      <c r="D189" s="19" t="n">
        <v>45507.7916666667</v>
      </c>
      <c r="E189" s="18" t="n">
        <v>45508.75</v>
      </c>
      <c r="F189" s="19" t="n">
        <v>45508.75</v>
      </c>
      <c r="G189" s="20" t="n">
        <v>3000</v>
      </c>
      <c r="H189" s="8" t="n">
        <v>7</v>
      </c>
      <c r="I189" s="10" t="n">
        <v>45498</v>
      </c>
      <c r="J189" s="11" t="n">
        <v>0.402094907403808</v>
      </c>
      <c r="K189" s="1" t="str">
        <f aca="false">IF(L189&gt;24,     IF(H189=2,"Couple Extended Day","Extended Day"), IF(L189&lt;=12,     IF(AND(MOD(D189,1)&gt;=TIME(6,0,0),MOD(D189,1)&lt;TIME(18,0,0)),         IF(H189=2,"Couple Half Day","12H Day"),         IF(H189=2,"Couple Half Night","12H Night")), IF(L189&lt;=24,     IF(AND(MOD(D189,1)&gt;=TIME(6,0,0),MOD(D189,1)&lt;TIME(18,0,0)),         IF(H189=2,"Couple Full Day","24H Day"),         IF(H189=2,"Couple Full Night","24H Night")), "Check Data")))</f>
        <v>24H Night</v>
      </c>
      <c r="L189" s="12" t="n">
        <f aca="false">((INT(E189)+MOD(F189,1))-(INT(C189)+MOD(D189,1)))*24</f>
        <v>22.9999999990105</v>
      </c>
      <c r="M189" s="1" t="n">
        <f aca="false">IFERROR(INDEX(Sheet3!$B$2:$B$500,MATCH(1,(INT(C189)+MOD(D189,1)&lt;INT(Sheet3!$A$2:$A$500)+TIME(18,0,0))*(INT(E189)+MOD(F189,1)&gt;=INT(Sheet3!$A$2:$A$500)),0)),0)</f>
        <v>0</v>
      </c>
      <c r="N189" s="1" t="n">
        <f aca="false">IF(OR( AND(Q189=6,D189&gt;=TIME(17,0,0),OR(K189="12H Night",K189="Couple Half Night",K189="24H Night",K189="Couple Full Night")), AND(Q189=7,D189&gt;=TIME(6,0,0),D189&lt;TIME(12,0,0),OR(K189="12H Day",K189="Couple Half Day",K189="24H Day",K189="Couple Full Day")) ),1,0)</f>
        <v>1</v>
      </c>
      <c r="O189" s="1" t="n">
        <f aca="false">IF(OR( AND(MONTH(C189)=12,DAY(C189)&gt;=26), AND(MONTH(C189)=4,DAY(C189)&gt;=15), MONTH(C189)=5, AND(MONTH(C189)=6,DAY(C189)&lt;=10) ),1,0)</f>
        <v>0</v>
      </c>
      <c r="P189" s="1" t="str">
        <f aca="false">IF(OR(MONTH(C189)=3,MONTH(C189)=4,MONTH(C189)=5,MONTH(C189)=6), "Summer", IF(OR(MONTH(C189)=7,MONTH(C189)=8,MONTH(C189)=9,MONTH(C189)=10), "Monsoon", "Winter"))</f>
        <v>Monsoon</v>
      </c>
      <c r="Q189" s="1" t="n">
        <f aca="false">WEEKDAY(C189,2)</f>
        <v>6</v>
      </c>
      <c r="R189" s="0" t="n">
        <f aca="false">ROUNDDOWN(((INT(C189)+MOD(D189,1))-(INT(I189)+MOD(J189,1))),0)</f>
        <v>9</v>
      </c>
      <c r="S189" s="10"/>
    </row>
    <row r="190" customFormat="false" ht="13.8" hidden="false" customHeight="false" outlineLevel="0" collapsed="false">
      <c r="A190" s="8" t="s">
        <v>373</v>
      </c>
      <c r="B190" s="8" t="s">
        <v>276</v>
      </c>
      <c r="C190" s="18" t="n">
        <v>45510.4583333333</v>
      </c>
      <c r="D190" s="19" t="n">
        <v>0</v>
      </c>
      <c r="E190" s="18" t="n">
        <v>45511.4583333333</v>
      </c>
      <c r="F190" s="19" t="n">
        <v>0</v>
      </c>
      <c r="G190" s="20" t="n">
        <v>3000</v>
      </c>
      <c r="I190" s="10" t="n">
        <v>45510</v>
      </c>
      <c r="J190" s="11" t="n">
        <v>0.568958333329653</v>
      </c>
      <c r="K190" s="1" t="str">
        <f aca="false">IF(L190&gt;24,     IF(H190=2,"Couple Extended Day","Extended Day"), IF(L190&lt;=12,     IF(AND(MOD(D190,1)&gt;=TIME(6,0,0),MOD(D190,1)&lt;TIME(18,0,0)),         IF(H190=2,"Couple Half Day","12H Day"),         IF(H190=2,"Couple Half Night","12H Night")), IF(L190&lt;=24,     IF(AND(MOD(D190,1)&gt;=TIME(6,0,0),MOD(D190,1)&lt;TIME(18,0,0)),         IF(H190=2,"Couple Full Day","24H Day"),         IF(H190=2,"Couple Full Night","24H Night")), "Check Data")))</f>
        <v>24H Night</v>
      </c>
      <c r="L190" s="12" t="n">
        <f aca="false">((INT(E190)+MOD(F190,1))-(INT(C190)+MOD(D190,1)))*24</f>
        <v>24</v>
      </c>
      <c r="M190" s="1" t="n">
        <f aca="false">IFERROR(INDEX(Sheet3!$B$2:$B$500,MATCH(1,(INT(C190)+MOD(D190,1)&lt;INT(Sheet3!$A$2:$A$500)+TIME(18,0,0))*(INT(E190)+MOD(F190,1)&gt;=INT(Sheet3!$A$2:$A$500)),0)),0)</f>
        <v>0</v>
      </c>
      <c r="N190" s="1" t="n">
        <f aca="false">IF(OR( AND(Q190=6,D190&gt;=TIME(17,0,0),OR(K190="12H Night",K190="Couple Half Night",K190="24H Night",K190="Couple Full Night")), AND(Q190=7,D190&gt;=TIME(6,0,0),D190&lt;TIME(12,0,0),OR(K190="12H Day",K190="Couple Half Day",K190="24H Day",K190="Couple Full Day")) ),1,0)</f>
        <v>0</v>
      </c>
      <c r="O190" s="1" t="n">
        <f aca="false">IF(OR( AND(MONTH(C190)=12,DAY(C190)&gt;=26), AND(MONTH(C190)=4,DAY(C190)&gt;=15), MONTH(C190)=5, AND(MONTH(C190)=6,DAY(C190)&lt;=10) ),1,0)</f>
        <v>0</v>
      </c>
      <c r="P190" s="1" t="str">
        <f aca="false">IF(OR(MONTH(C190)=3,MONTH(C190)=4,MONTH(C190)=5,MONTH(C190)=6), "Summer", IF(OR(MONTH(C190)=7,MONTH(C190)=8,MONTH(C190)=9,MONTH(C190)=10), "Monsoon", "Winter"))</f>
        <v>Monsoon</v>
      </c>
      <c r="Q190" s="1" t="n">
        <f aca="false">WEEKDAY(C190,2)</f>
        <v>2</v>
      </c>
      <c r="R190" s="0" t="n">
        <f aca="false">ROUNDDOWN(((INT(C190)+MOD(D190,1))-(INT(I190)+MOD(J190,1))),0)</f>
        <v>-0</v>
      </c>
      <c r="S190" s="10"/>
    </row>
    <row r="191" customFormat="false" ht="192.95" hidden="false" customHeight="false" outlineLevel="0" collapsed="false">
      <c r="A191" s="8" t="s">
        <v>374</v>
      </c>
      <c r="B191" s="22" t="s">
        <v>375</v>
      </c>
      <c r="C191" s="18" t="n">
        <v>45511.5</v>
      </c>
      <c r="D191" s="19" t="n">
        <v>45511.5</v>
      </c>
      <c r="E191" s="18" t="n">
        <v>45512.4583333333</v>
      </c>
      <c r="F191" s="19" t="n">
        <v>0</v>
      </c>
      <c r="G191" s="20" t="n">
        <v>3500</v>
      </c>
      <c r="H191" s="8" t="n">
        <v>10</v>
      </c>
      <c r="I191" s="10" t="n">
        <v>45511</v>
      </c>
      <c r="J191" s="11" t="n">
        <v>0.345416666663368</v>
      </c>
      <c r="K191" s="1" t="str">
        <f aca="false">IF(L191&gt;24,     IF(H191=2,"Couple Extended Day","Extended Day"), IF(L191&lt;=12,     IF(AND(MOD(D191,1)&gt;=TIME(6,0,0),MOD(D191,1)&lt;TIME(18,0,0)),         IF(H191=2,"Couple Half Day","12H Day"),         IF(H191=2,"Couple Half Night","12H Night")), IF(L191&lt;=24,     IF(AND(MOD(D191,1)&gt;=TIME(6,0,0),MOD(D191,1)&lt;TIME(18,0,0)),         IF(H191=2,"Couple Full Day","24H Day"),         IF(H191=2,"Couple Full Night","24H Night")), "Check Data")))</f>
        <v>12H Day</v>
      </c>
      <c r="L191" s="12" t="n">
        <f aca="false">((INT(E191)+MOD(F191,1))-(INT(C191)+MOD(D191,1)))*24</f>
        <v>12</v>
      </c>
      <c r="M191" s="1" t="n">
        <f aca="false">IFERROR(INDEX(Sheet3!$B$2:$B$500,MATCH(1,(INT(C191)+MOD(D191,1)&lt;INT(Sheet3!$A$2:$A$500)+TIME(18,0,0))*(INT(E191)+MOD(F191,1)&gt;=INT(Sheet3!$A$2:$A$500)),0)),0)</f>
        <v>0</v>
      </c>
      <c r="N191" s="1" t="n">
        <f aca="false">IF(OR( AND(Q191=6,D191&gt;=TIME(17,0,0),OR(K191="12H Night",K191="Couple Half Night",K191="24H Night",K191="Couple Full Night")), AND(Q191=7,D191&gt;=TIME(6,0,0),D191&lt;TIME(12,0,0),OR(K191="12H Day",K191="Couple Half Day",K191="24H Day",K191="Couple Full Day")) ),1,0)</f>
        <v>0</v>
      </c>
      <c r="O191" s="1" t="n">
        <f aca="false">IF(OR( AND(MONTH(C191)=12,DAY(C191)&gt;=26), AND(MONTH(C191)=4,DAY(C191)&gt;=15), MONTH(C191)=5, AND(MONTH(C191)=6,DAY(C191)&lt;=10) ),1,0)</f>
        <v>0</v>
      </c>
      <c r="P191" s="1" t="str">
        <f aca="false">IF(OR(MONTH(C191)=3,MONTH(C191)=4,MONTH(C191)=5,MONTH(C191)=6), "Summer", IF(OR(MONTH(C191)=7,MONTH(C191)=8,MONTH(C191)=9,MONTH(C191)=10), "Monsoon", "Winter"))</f>
        <v>Monsoon</v>
      </c>
      <c r="Q191" s="1" t="n">
        <f aca="false">WEEKDAY(C191,2)</f>
        <v>3</v>
      </c>
      <c r="R191" s="0" t="n">
        <f aca="false">ROUNDDOWN(((INT(C191)+MOD(D191,1))-(INT(I191)+MOD(J191,1))),0)</f>
        <v>0</v>
      </c>
      <c r="S191" s="10"/>
    </row>
    <row r="192" customFormat="false" ht="192.95" hidden="false" customHeight="false" outlineLevel="0" collapsed="false">
      <c r="A192" s="8" t="s">
        <v>376</v>
      </c>
      <c r="B192" s="22" t="s">
        <v>377</v>
      </c>
      <c r="C192" s="18" t="n">
        <v>45515.9166666667</v>
      </c>
      <c r="D192" s="19" t="n">
        <v>45515.9166666667</v>
      </c>
      <c r="E192" s="18" t="n">
        <v>45516.4166666667</v>
      </c>
      <c r="F192" s="19" t="n">
        <v>45516.4166666667</v>
      </c>
      <c r="G192" s="20" t="n">
        <v>3000</v>
      </c>
      <c r="H192" s="8" t="n">
        <v>12</v>
      </c>
      <c r="I192" s="10" t="n">
        <v>45515</v>
      </c>
      <c r="J192" s="11" t="n">
        <v>0.965358796296644</v>
      </c>
      <c r="K192" s="1" t="str">
        <f aca="false">IF(L192&gt;24,     IF(H192=2,"Couple Extended Day","Extended Day"), IF(L192&lt;=12,     IF(AND(MOD(D192,1)&gt;=TIME(6,0,0),MOD(D192,1)&lt;TIME(18,0,0)),         IF(H192=2,"Couple Half Day","12H Day"),         IF(H192=2,"Couple Half Night","12H Night")), IF(L192&lt;=24,     IF(AND(MOD(D192,1)&gt;=TIME(6,0,0),MOD(D192,1)&lt;TIME(18,0,0)),         IF(H192=2,"Couple Full Day","24H Day"),         IF(H192=2,"Couple Full Night","24H Night")), "Check Data")))</f>
        <v>12H Night</v>
      </c>
      <c r="L192" s="12" t="n">
        <f aca="false">((INT(E192)+MOD(F192,1))-(INT(C192)+MOD(D192,1)))*24</f>
        <v>12</v>
      </c>
      <c r="M192" s="1" t="n">
        <f aca="false">IFERROR(INDEX(Sheet3!$B$2:$B$500,MATCH(1,(INT(C192)+MOD(D192,1)&lt;INT(Sheet3!$A$2:$A$500)+TIME(18,0,0))*(INT(E192)+MOD(F192,1)&gt;=INT(Sheet3!$A$2:$A$500)),0)),0)</f>
        <v>0</v>
      </c>
      <c r="N192" s="1" t="n">
        <f aca="false">IF(OR( AND(Q192=6,D192&gt;=TIME(17,0,0),OR(K192="12H Night",K192="Couple Half Night",K192="24H Night",K192="Couple Full Night")), AND(Q192=7,D192&gt;=TIME(6,0,0),D192&lt;TIME(12,0,0),OR(K192="12H Day",K192="Couple Half Day",K192="24H Day",K192="Couple Full Day")) ),1,0)</f>
        <v>0</v>
      </c>
      <c r="O192" s="1" t="n">
        <f aca="false">IF(OR( AND(MONTH(C192)=12,DAY(C192)&gt;=26), AND(MONTH(C192)=4,DAY(C192)&gt;=15), MONTH(C192)=5, AND(MONTH(C192)=6,DAY(C192)&lt;=10) ),1,0)</f>
        <v>0</v>
      </c>
      <c r="P192" s="1" t="str">
        <f aca="false">IF(OR(MONTH(C192)=3,MONTH(C192)=4,MONTH(C192)=5,MONTH(C192)=6), "Summer", IF(OR(MONTH(C192)=7,MONTH(C192)=8,MONTH(C192)=9,MONTH(C192)=10), "Monsoon", "Winter"))</f>
        <v>Monsoon</v>
      </c>
      <c r="Q192" s="1" t="n">
        <f aca="false">WEEKDAY(C192,2)</f>
        <v>7</v>
      </c>
      <c r="R192" s="0" t="n">
        <f aca="false">ROUNDDOWN(((INT(C192)+MOD(D192,1))-(INT(I192)+MOD(J192,1))),0)</f>
        <v>-0</v>
      </c>
      <c r="S192" s="10"/>
    </row>
    <row r="193" customFormat="false" ht="13.8" hidden="false" customHeight="false" outlineLevel="0" collapsed="false">
      <c r="A193" s="8" t="s">
        <v>378</v>
      </c>
      <c r="B193" s="8" t="s">
        <v>379</v>
      </c>
      <c r="C193" s="18" t="n">
        <v>45516.5833333333</v>
      </c>
      <c r="D193" s="19" t="n">
        <v>0</v>
      </c>
      <c r="E193" s="18" t="n">
        <v>45516.75</v>
      </c>
      <c r="F193" s="19" t="n">
        <v>45516.75</v>
      </c>
      <c r="G193" s="20" t="n">
        <v>1000</v>
      </c>
      <c r="I193" s="10" t="n">
        <v>45516</v>
      </c>
      <c r="J193" s="11" t="n">
        <v>0.570925925931076</v>
      </c>
      <c r="K193" s="1" t="str">
        <f aca="false">IF(L193&gt;24,     IF(H193=2,"Couple Extended Day","Extended Day"), IF(L193&lt;=12,     IF(AND(MOD(D193,1)&gt;=TIME(6,0,0),MOD(D193,1)&lt;TIME(18,0,0)),         IF(H193=2,"Couple Half Day","12H Day"),         IF(H193=2,"Couple Half Night","12H Night")), IF(L193&lt;=24,     IF(AND(MOD(D193,1)&gt;=TIME(6,0,0),MOD(D193,1)&lt;TIME(18,0,0)),         IF(H193=2,"Couple Full Day","24H Day"),         IF(H193=2,"Couple Full Night","24H Night")), "Check Data")))</f>
        <v>24H Night</v>
      </c>
      <c r="L193" s="12" t="n">
        <f aca="false">((INT(E193)+MOD(F193,1))-(INT(C193)+MOD(D193,1)))*24</f>
        <v>18</v>
      </c>
      <c r="M193" s="1" t="n">
        <f aca="false">IFERROR(INDEX(Sheet3!$B$2:$B$500,MATCH(1,(INT(C193)+MOD(D193,1)&lt;INT(Sheet3!$A$2:$A$500)+TIME(18,0,0))*(INT(E193)+MOD(F193,1)&gt;=INT(Sheet3!$A$2:$A$500)),0)),0)</f>
        <v>0</v>
      </c>
      <c r="N193" s="1" t="n">
        <f aca="false">IF(OR( AND(Q193=6,D193&gt;=TIME(17,0,0),OR(K193="12H Night",K193="Couple Half Night",K193="24H Night",K193="Couple Full Night")), AND(Q193=7,D193&gt;=TIME(6,0,0),D193&lt;TIME(12,0,0),OR(K193="12H Day",K193="Couple Half Day",K193="24H Day",K193="Couple Full Day")) ),1,0)</f>
        <v>0</v>
      </c>
      <c r="O193" s="1" t="n">
        <f aca="false">IF(OR( AND(MONTH(C193)=12,DAY(C193)&gt;=26), AND(MONTH(C193)=4,DAY(C193)&gt;=15), MONTH(C193)=5, AND(MONTH(C193)=6,DAY(C193)&lt;=10) ),1,0)</f>
        <v>0</v>
      </c>
      <c r="P193" s="1" t="str">
        <f aca="false">IF(OR(MONTH(C193)=3,MONTH(C193)=4,MONTH(C193)=5,MONTH(C193)=6), "Summer", IF(OR(MONTH(C193)=7,MONTH(C193)=8,MONTH(C193)=9,MONTH(C193)=10), "Monsoon", "Winter"))</f>
        <v>Monsoon</v>
      </c>
      <c r="Q193" s="1" t="n">
        <f aca="false">WEEKDAY(C193,2)</f>
        <v>1</v>
      </c>
      <c r="R193" s="0" t="n">
        <f aca="false">ROUNDDOWN(((INT(C193)+MOD(D193,1))-(INT(I193)+MOD(J193,1))),0)</f>
        <v>-0</v>
      </c>
      <c r="S193" s="10"/>
    </row>
    <row r="194" customFormat="false" ht="192.95" hidden="false" customHeight="false" outlineLevel="0" collapsed="false">
      <c r="A194" s="8" t="s">
        <v>374</v>
      </c>
      <c r="B194" s="22" t="s">
        <v>380</v>
      </c>
      <c r="C194" s="18" t="n">
        <v>45518.3333333333</v>
      </c>
      <c r="D194" s="19" t="n">
        <v>0</v>
      </c>
      <c r="E194" s="18" t="n">
        <v>45518.78125</v>
      </c>
      <c r="F194" s="19" t="n">
        <v>45518.78125</v>
      </c>
      <c r="G194" s="20" t="n">
        <v>3000</v>
      </c>
      <c r="H194" s="8" t="n">
        <v>15</v>
      </c>
      <c r="I194" s="10" t="n">
        <v>45516</v>
      </c>
      <c r="J194" s="11" t="n">
        <v>0.588055555555914</v>
      </c>
      <c r="K194" s="1" t="str">
        <f aca="false">IF(L194&gt;24,     IF(H194=2,"Couple Extended Day","Extended Day"), IF(L194&lt;=12,     IF(AND(MOD(D194,1)&gt;=TIME(6,0,0),MOD(D194,1)&lt;TIME(18,0,0)),         IF(H194=2,"Couple Half Day","12H Day"),         IF(H194=2,"Couple Half Night","12H Night")), IF(L194&lt;=24,     IF(AND(MOD(D194,1)&gt;=TIME(6,0,0),MOD(D194,1)&lt;TIME(18,0,0)),         IF(H194=2,"Couple Full Day","24H Day"),         IF(H194=2,"Couple Full Night","24H Night")), "Check Data")))</f>
        <v>24H Night</v>
      </c>
      <c r="L194" s="12" t="n">
        <f aca="false">((INT(E194)+MOD(F194,1))-(INT(C194)+MOD(D194,1)))*24</f>
        <v>18.75</v>
      </c>
      <c r="M194" s="1" t="n">
        <f aca="false">IFERROR(INDEX(Sheet3!$B$2:$B$500,MATCH(1,(INT(C194)+MOD(D194,1)&lt;INT(Sheet3!$A$2:$A$500)+TIME(18,0,0))*(INT(E194)+MOD(F194,1)&gt;=INT(Sheet3!$A$2:$A$500)),0)),0)</f>
        <v>0</v>
      </c>
      <c r="N194" s="1" t="n">
        <f aca="false">IF(OR( AND(Q194=6,D194&gt;=TIME(17,0,0),OR(K194="12H Night",K194="Couple Half Night",K194="24H Night",K194="Couple Full Night")), AND(Q194=7,D194&gt;=TIME(6,0,0),D194&lt;TIME(12,0,0),OR(K194="12H Day",K194="Couple Half Day",K194="24H Day",K194="Couple Full Day")) ),1,0)</f>
        <v>0</v>
      </c>
      <c r="O194" s="1" t="n">
        <f aca="false">IF(OR( AND(MONTH(C194)=12,DAY(C194)&gt;=26), AND(MONTH(C194)=4,DAY(C194)&gt;=15), MONTH(C194)=5, AND(MONTH(C194)=6,DAY(C194)&lt;=10) ),1,0)</f>
        <v>0</v>
      </c>
      <c r="P194" s="1" t="str">
        <f aca="false">IF(OR(MONTH(C194)=3,MONTH(C194)=4,MONTH(C194)=5,MONTH(C194)=6), "Summer", IF(OR(MONTH(C194)=7,MONTH(C194)=8,MONTH(C194)=9,MONTH(C194)=10), "Monsoon", "Winter"))</f>
        <v>Monsoon</v>
      </c>
      <c r="Q194" s="1" t="n">
        <f aca="false">WEEKDAY(C194,2)</f>
        <v>3</v>
      </c>
      <c r="R194" s="0" t="n">
        <f aca="false">ROUNDDOWN(((INT(C194)+MOD(D194,1))-(INT(I194)+MOD(J194,1))),0)</f>
        <v>1</v>
      </c>
      <c r="S194" s="10"/>
    </row>
    <row r="195" customFormat="false" ht="204.9" hidden="false" customHeight="false" outlineLevel="0" collapsed="false">
      <c r="A195" s="8" t="s">
        <v>381</v>
      </c>
      <c r="B195" s="22" t="s">
        <v>382</v>
      </c>
      <c r="C195" s="18" t="n">
        <v>45518.7916666667</v>
      </c>
      <c r="D195" s="19" t="n">
        <v>45518.7916666667</v>
      </c>
      <c r="E195" s="18" t="n">
        <v>45519.2916666667</v>
      </c>
      <c r="F195" s="19" t="n">
        <v>45519.2916666667</v>
      </c>
      <c r="G195" s="20" t="n">
        <v>500</v>
      </c>
      <c r="H195" s="8" t="n">
        <v>12</v>
      </c>
      <c r="I195" s="10" t="n">
        <v>45504</v>
      </c>
      <c r="J195" s="11" t="n">
        <v>0.680567129631528</v>
      </c>
      <c r="K195" s="1" t="str">
        <f aca="false">IF(L195&gt;24,     IF(H195=2,"Couple Extended Day","Extended Day"), IF(L195&lt;=12,     IF(AND(MOD(D195,1)&gt;=TIME(6,0,0),MOD(D195,1)&lt;TIME(18,0,0)),         IF(H195=2,"Couple Half Day","12H Day"),         IF(H195=2,"Couple Half Night","12H Night")), IF(L195&lt;=24,     IF(AND(MOD(D195,1)&gt;=TIME(6,0,0),MOD(D195,1)&lt;TIME(18,0,0)),         IF(H195=2,"Couple Full Day","24H Day"),         IF(H195=2,"Couple Full Night","24H Night")), "Check Data")))</f>
        <v>12H Night</v>
      </c>
      <c r="L195" s="12" t="n">
        <f aca="false">((INT(E195)+MOD(F195,1))-(INT(C195)+MOD(D195,1)))*24</f>
        <v>12</v>
      </c>
      <c r="M195" s="1" t="str">
        <f aca="false">IFERROR(INDEX(Sheet3!$B$2:$B$500,MATCH(1,(INT(C195)+MOD(D195,1)&lt;INT(Sheet3!$A$2:$A$500)+TIME(18,0,0))*(INT(E195)+MOD(F195,1)&gt;=INT(Sheet3!$A$2:$A$500)),0)),0)</f>
        <v>Independence Day</v>
      </c>
      <c r="N195" s="1" t="n">
        <f aca="false">IF(OR( AND(Q195=6,D195&gt;=TIME(17,0,0),OR(K195="12H Night",K195="Couple Half Night",K195="24H Night",K195="Couple Full Night")), AND(Q195=7,D195&gt;=TIME(6,0,0),D195&lt;TIME(12,0,0),OR(K195="12H Day",K195="Couple Half Day",K195="24H Day",K195="Couple Full Day")) ),1,0)</f>
        <v>0</v>
      </c>
      <c r="O195" s="1" t="n">
        <f aca="false">IF(OR( AND(MONTH(C195)=12,DAY(C195)&gt;=26), AND(MONTH(C195)=4,DAY(C195)&gt;=15), MONTH(C195)=5, AND(MONTH(C195)=6,DAY(C195)&lt;=10) ),1,0)</f>
        <v>0</v>
      </c>
      <c r="P195" s="1" t="str">
        <f aca="false">IF(OR(MONTH(C195)=3,MONTH(C195)=4,MONTH(C195)=5,MONTH(C195)=6), "Summer", IF(OR(MONTH(C195)=7,MONTH(C195)=8,MONTH(C195)=9,MONTH(C195)=10), "Monsoon", "Winter"))</f>
        <v>Monsoon</v>
      </c>
      <c r="Q195" s="1" t="n">
        <f aca="false">WEEKDAY(C195,2)</f>
        <v>3</v>
      </c>
      <c r="R195" s="0" t="n">
        <f aca="false">ROUNDDOWN(((INT(C195)+MOD(D195,1))-(INT(I195)+MOD(J195,1))),0)</f>
        <v>14</v>
      </c>
      <c r="S195" s="10"/>
    </row>
    <row r="196" customFormat="false" ht="13.8" hidden="false" customHeight="false" outlineLevel="0" collapsed="false">
      <c r="A196" s="8" t="s">
        <v>383</v>
      </c>
      <c r="B196" s="8" t="s">
        <v>379</v>
      </c>
      <c r="C196" s="18" t="n">
        <v>45520.4583333333</v>
      </c>
      <c r="D196" s="19" t="n">
        <v>0</v>
      </c>
      <c r="E196" s="18" t="n">
        <v>45520.9583333333</v>
      </c>
      <c r="F196" s="19" t="n">
        <v>0</v>
      </c>
      <c r="G196" s="20" t="n">
        <v>1000</v>
      </c>
      <c r="I196" s="10" t="n">
        <v>45521</v>
      </c>
      <c r="J196" s="11" t="n">
        <v>0.274502314816343</v>
      </c>
      <c r="K196" s="1" t="str">
        <f aca="false">IF(L196&gt;24,     IF(H196=2,"Couple Extended Day","Extended Day"), IF(L196&lt;=12,     IF(AND(MOD(D196,1)&gt;=TIME(6,0,0),MOD(D196,1)&lt;TIME(18,0,0)),         IF(H196=2,"Couple Half Day","12H Day"),         IF(H196=2,"Couple Half Night","12H Night")), IF(L196&lt;=24,     IF(AND(MOD(D196,1)&gt;=TIME(6,0,0),MOD(D196,1)&lt;TIME(18,0,0)),         IF(H196=2,"Couple Full Day","24H Day"),         IF(H196=2,"Couple Full Night","24H Night")), "Check Data")))</f>
        <v>12H Night</v>
      </c>
      <c r="L196" s="12" t="n">
        <f aca="false">((INT(E196)+MOD(F196,1))-(INT(C196)+MOD(D196,1)))*24</f>
        <v>0</v>
      </c>
      <c r="M196" s="1" t="n">
        <f aca="false">IFERROR(INDEX(Sheet3!$B$2:$B$500,MATCH(1,(INT(C196)+MOD(D196,1)&lt;INT(Sheet3!$A$2:$A$500)+TIME(18,0,0))*(INT(E196)+MOD(F196,1)&gt;=INT(Sheet3!$A$2:$A$500)),0)),0)</f>
        <v>0</v>
      </c>
      <c r="N196" s="1" t="n">
        <f aca="false">IF(OR( AND(Q196=6,D196&gt;=TIME(17,0,0),OR(K196="12H Night",K196="Couple Half Night",K196="24H Night",K196="Couple Full Night")), AND(Q196=7,D196&gt;=TIME(6,0,0),D196&lt;TIME(12,0,0),OR(K196="12H Day",K196="Couple Half Day",K196="24H Day",K196="Couple Full Day")) ),1,0)</f>
        <v>0</v>
      </c>
      <c r="O196" s="1" t="n">
        <f aca="false">IF(OR( AND(MONTH(C196)=12,DAY(C196)&gt;=26), AND(MONTH(C196)=4,DAY(C196)&gt;=15), MONTH(C196)=5, AND(MONTH(C196)=6,DAY(C196)&lt;=10) ),1,0)</f>
        <v>0</v>
      </c>
      <c r="P196" s="1" t="str">
        <f aca="false">IF(OR(MONTH(C196)=3,MONTH(C196)=4,MONTH(C196)=5,MONTH(C196)=6), "Summer", IF(OR(MONTH(C196)=7,MONTH(C196)=8,MONTH(C196)=9,MONTH(C196)=10), "Monsoon", "Winter"))</f>
        <v>Monsoon</v>
      </c>
      <c r="Q196" s="1" t="n">
        <f aca="false">WEEKDAY(C196,2)</f>
        <v>5</v>
      </c>
      <c r="R196" s="0" t="n">
        <f aca="false">ROUNDDOWN(((INT(C196)+MOD(D196,1))-(INT(I196)+MOD(J196,1))),0)</f>
        <v>-1</v>
      </c>
      <c r="S196" s="10"/>
    </row>
    <row r="197" customFormat="false" ht="145.05" hidden="false" customHeight="false" outlineLevel="0" collapsed="false">
      <c r="A197" s="8" t="s">
        <v>306</v>
      </c>
      <c r="B197" s="22" t="s">
        <v>384</v>
      </c>
      <c r="C197" s="18" t="n">
        <v>45521.5</v>
      </c>
      <c r="D197" s="19" t="n">
        <v>45521.5</v>
      </c>
      <c r="E197" s="18" t="n">
        <v>45521.75</v>
      </c>
      <c r="F197" s="19" t="n">
        <v>45521.75</v>
      </c>
      <c r="G197" s="20" t="n">
        <v>1200</v>
      </c>
      <c r="H197" s="8" t="n">
        <v>2</v>
      </c>
      <c r="I197" s="10" t="n">
        <v>45521</v>
      </c>
      <c r="J197" s="11" t="n">
        <v>0.276099537033588</v>
      </c>
      <c r="K197" s="1" t="str">
        <f aca="false">IF(L197&gt;24,     IF(H197=2,"Couple Extended Day","Extended Day"), IF(L197&lt;=12,     IF(AND(MOD(D197,1)&gt;=TIME(6,0,0),MOD(D197,1)&lt;TIME(18,0,0)),         IF(H197=2,"Couple Half Day","12H Day"),         IF(H197=2,"Couple Half Night","12H Night")), IF(L197&lt;=24,     IF(AND(MOD(D197,1)&gt;=TIME(6,0,0),MOD(D197,1)&lt;TIME(18,0,0)),         IF(H197=2,"Couple Full Day","24H Day"),         IF(H197=2,"Couple Full Night","24H Night")), "Check Data")))</f>
        <v>Couple Half Day</v>
      </c>
      <c r="L197" s="12" t="n">
        <f aca="false">((INT(E197)+MOD(F197,1))-(INT(C197)+MOD(D197,1)))*24</f>
        <v>6</v>
      </c>
      <c r="M197" s="1" t="n">
        <f aca="false">IFERROR(INDEX(Sheet3!$B$2:$B$500,MATCH(1,(INT(C197)+MOD(D197,1)&lt;INT(Sheet3!$A$2:$A$500)+TIME(18,0,0))*(INT(E197)+MOD(F197,1)&gt;=INT(Sheet3!$A$2:$A$500)),0)),0)</f>
        <v>0</v>
      </c>
      <c r="N197" s="1" t="n">
        <f aca="false">IF(OR( AND(Q197=6,D197&gt;=TIME(17,0,0),OR(K197="12H Night",K197="Couple Half Night",K197="24H Night",K197="Couple Full Night")), AND(Q197=7,D197&gt;=TIME(6,0,0),D197&lt;TIME(12,0,0),OR(K197="12H Day",K197="Couple Half Day",K197="24H Day",K197="Couple Full Day")) ),1,0)</f>
        <v>0</v>
      </c>
      <c r="O197" s="1" t="n">
        <f aca="false">IF(OR( AND(MONTH(C197)=12,DAY(C197)&gt;=26), AND(MONTH(C197)=4,DAY(C197)&gt;=15), MONTH(C197)=5, AND(MONTH(C197)=6,DAY(C197)&lt;=10) ),1,0)</f>
        <v>0</v>
      </c>
      <c r="P197" s="1" t="str">
        <f aca="false">IF(OR(MONTH(C197)=3,MONTH(C197)=4,MONTH(C197)=5,MONTH(C197)=6), "Summer", IF(OR(MONTH(C197)=7,MONTH(C197)=8,MONTH(C197)=9,MONTH(C197)=10), "Monsoon", "Winter"))</f>
        <v>Monsoon</v>
      </c>
      <c r="Q197" s="1" t="n">
        <f aca="false">WEEKDAY(C197,2)</f>
        <v>6</v>
      </c>
      <c r="R197" s="0" t="n">
        <f aca="false">ROUNDDOWN(((INT(C197)+MOD(D197,1))-(INT(I197)+MOD(J197,1))),0)</f>
        <v>0</v>
      </c>
      <c r="S197" s="10"/>
    </row>
    <row r="198" customFormat="false" ht="192.95" hidden="false" customHeight="false" outlineLevel="0" collapsed="false">
      <c r="A198" s="8" t="s">
        <v>385</v>
      </c>
      <c r="B198" s="22" t="s">
        <v>386</v>
      </c>
      <c r="C198" s="18" t="n">
        <v>45522.7916666667</v>
      </c>
      <c r="D198" s="19" t="n">
        <v>45522.7916666667</v>
      </c>
      <c r="E198" s="18" t="n">
        <v>45523.75</v>
      </c>
      <c r="F198" s="19" t="n">
        <v>45523.75</v>
      </c>
      <c r="G198" s="20" t="n">
        <v>4500</v>
      </c>
      <c r="H198" s="8" t="n">
        <v>15</v>
      </c>
      <c r="I198" s="10" t="n">
        <v>45521</v>
      </c>
      <c r="J198" s="11" t="n">
        <v>0.765671296292569</v>
      </c>
      <c r="K198" s="1" t="str">
        <f aca="false">IF(L198&gt;24,     IF(H198=2,"Couple Extended Day","Extended Day"), IF(L198&lt;=12,     IF(AND(MOD(D198,1)&gt;=TIME(6,0,0),MOD(D198,1)&lt;TIME(18,0,0)),         IF(H198=2,"Couple Half Day","12H Day"),         IF(H198=2,"Couple Half Night","12H Night")), IF(L198&lt;=24,     IF(AND(MOD(D198,1)&gt;=TIME(6,0,0),MOD(D198,1)&lt;TIME(18,0,0)),         IF(H198=2,"Couple Full Day","24H Day"),         IF(H198=2,"Couple Full Night","24H Night")), "Check Data")))</f>
        <v>24H Night</v>
      </c>
      <c r="L198" s="12" t="n">
        <f aca="false">((INT(E198)+MOD(F198,1))-(INT(C198)+MOD(D198,1)))*24</f>
        <v>22.9999999990105</v>
      </c>
      <c r="M198" s="1" t="str">
        <f aca="false">IFERROR(INDEX(Sheet3!$B$2:$B$500,MATCH(1,(INT(C198)+MOD(D198,1)&lt;INT(Sheet3!$A$2:$A$500)+TIME(18,0,0))*(INT(E198)+MOD(F198,1)&gt;=INT(Sheet3!$A$2:$A$500)),0)),0)</f>
        <v>Raksha Bandhan</v>
      </c>
      <c r="N198" s="1" t="n">
        <f aca="false">IF(OR( AND(Q198=6,D198&gt;=TIME(17,0,0),OR(K198="12H Night",K198="Couple Half Night",K198="24H Night",K198="Couple Full Night")), AND(Q198=7,D198&gt;=TIME(6,0,0),D198&lt;TIME(12,0,0),OR(K198="12H Day",K198="Couple Half Day",K198="24H Day",K198="Couple Full Day")) ),1,0)</f>
        <v>0</v>
      </c>
      <c r="O198" s="1" t="n">
        <f aca="false">IF(OR( AND(MONTH(C198)=12,DAY(C198)&gt;=26), AND(MONTH(C198)=4,DAY(C198)&gt;=15), MONTH(C198)=5, AND(MONTH(C198)=6,DAY(C198)&lt;=10) ),1,0)</f>
        <v>0</v>
      </c>
      <c r="P198" s="1" t="str">
        <f aca="false">IF(OR(MONTH(C198)=3,MONTH(C198)=4,MONTH(C198)=5,MONTH(C198)=6), "Summer", IF(OR(MONTH(C198)=7,MONTH(C198)=8,MONTH(C198)=9,MONTH(C198)=10), "Monsoon", "Winter"))</f>
        <v>Monsoon</v>
      </c>
      <c r="Q198" s="1" t="n">
        <f aca="false">WEEKDAY(C198,2)</f>
        <v>7</v>
      </c>
      <c r="R198" s="0" t="n">
        <f aca="false">ROUNDDOWN(((INT(C198)+MOD(D198,1))-(INT(I198)+MOD(J198,1))),0)</f>
        <v>1</v>
      </c>
      <c r="S198" s="10"/>
    </row>
    <row r="199" customFormat="false" ht="13.8" hidden="false" customHeight="false" outlineLevel="0" collapsed="false">
      <c r="A199" s="8" t="s">
        <v>383</v>
      </c>
      <c r="B199" s="8" t="s">
        <v>379</v>
      </c>
      <c r="C199" s="18" t="n">
        <v>45524.4583333333</v>
      </c>
      <c r="D199" s="19" t="n">
        <v>0</v>
      </c>
      <c r="E199" s="18" t="n">
        <v>45524.75</v>
      </c>
      <c r="F199" s="19" t="n">
        <v>45524.75</v>
      </c>
      <c r="G199" s="20" t="n">
        <v>1000</v>
      </c>
      <c r="I199" s="10" t="n">
        <v>45524</v>
      </c>
      <c r="J199" s="11" t="n">
        <v>0.825219907404965</v>
      </c>
      <c r="K199" s="1" t="str">
        <f aca="false">IF(L199&gt;24,     IF(H199=2,"Couple Extended Day","Extended Day"), IF(L199&lt;=12,     IF(AND(MOD(D199,1)&gt;=TIME(6,0,0),MOD(D199,1)&lt;TIME(18,0,0)),         IF(H199=2,"Couple Half Day","12H Day"),         IF(H199=2,"Couple Half Night","12H Night")), IF(L199&lt;=24,     IF(AND(MOD(D199,1)&gt;=TIME(6,0,0),MOD(D199,1)&lt;TIME(18,0,0)),         IF(H199=2,"Couple Full Day","24H Day"),         IF(H199=2,"Couple Full Night","24H Night")), "Check Data")))</f>
        <v>24H Night</v>
      </c>
      <c r="L199" s="12" t="n">
        <f aca="false">((INT(E199)+MOD(F199,1))-(INT(C199)+MOD(D199,1)))*24</f>
        <v>18</v>
      </c>
      <c r="M199" s="1" t="n">
        <f aca="false">IFERROR(INDEX(Sheet3!$B$2:$B$500,MATCH(1,(INT(C199)+MOD(D199,1)&lt;INT(Sheet3!$A$2:$A$500)+TIME(18,0,0))*(INT(E199)+MOD(F199,1)&gt;=INT(Sheet3!$A$2:$A$500)),0)),0)</f>
        <v>0</v>
      </c>
      <c r="N199" s="1" t="n">
        <f aca="false">IF(OR( AND(Q199=6,D199&gt;=TIME(17,0,0),OR(K199="12H Night",K199="Couple Half Night",K199="24H Night",K199="Couple Full Night")), AND(Q199=7,D199&gt;=TIME(6,0,0),D199&lt;TIME(12,0,0),OR(K199="12H Day",K199="Couple Half Day",K199="24H Day",K199="Couple Full Day")) ),1,0)</f>
        <v>0</v>
      </c>
      <c r="O199" s="1" t="n">
        <f aca="false">IF(OR( AND(MONTH(C199)=12,DAY(C199)&gt;=26), AND(MONTH(C199)=4,DAY(C199)&gt;=15), MONTH(C199)=5, AND(MONTH(C199)=6,DAY(C199)&lt;=10) ),1,0)</f>
        <v>0</v>
      </c>
      <c r="P199" s="1" t="str">
        <f aca="false">IF(OR(MONTH(C199)=3,MONTH(C199)=4,MONTH(C199)=5,MONTH(C199)=6), "Summer", IF(OR(MONTH(C199)=7,MONTH(C199)=8,MONTH(C199)=9,MONTH(C199)=10), "Monsoon", "Winter"))</f>
        <v>Monsoon</v>
      </c>
      <c r="Q199" s="1" t="n">
        <f aca="false">WEEKDAY(C199,2)</f>
        <v>2</v>
      </c>
      <c r="R199" s="0" t="n">
        <f aca="false">ROUNDDOWN(((INT(C199)+MOD(D199,1))-(INT(I199)+MOD(J199,1))),0)</f>
        <v>-0</v>
      </c>
      <c r="S199" s="10"/>
    </row>
    <row r="200" customFormat="false" ht="192.95" hidden="false" customHeight="false" outlineLevel="0" collapsed="false">
      <c r="A200" s="8" t="s">
        <v>387</v>
      </c>
      <c r="B200" s="22" t="s">
        <v>388</v>
      </c>
      <c r="C200" s="18" t="n">
        <v>45524.7916666667</v>
      </c>
      <c r="D200" s="19" t="n">
        <v>45524.7916666667</v>
      </c>
      <c r="E200" s="18" t="n">
        <v>45526.75</v>
      </c>
      <c r="F200" s="19" t="n">
        <v>45526.75</v>
      </c>
      <c r="G200" s="20" t="n">
        <v>6500</v>
      </c>
      <c r="H200" s="8" t="n">
        <v>4</v>
      </c>
      <c r="I200" s="10" t="n">
        <v>45516</v>
      </c>
      <c r="J200" s="11" t="n">
        <v>0.783900462964086</v>
      </c>
      <c r="K200" s="1" t="str">
        <f aca="false">IF(L200&gt;24,     IF(H200=2,"Couple Extended Day","Extended Day"), IF(L200&lt;=12,     IF(AND(MOD(D200,1)&gt;=TIME(6,0,0),MOD(D200,1)&lt;TIME(18,0,0)),         IF(H200=2,"Couple Half Day","12H Day"),         IF(H200=2,"Couple Half Night","12H Night")), IF(L200&lt;=24,     IF(AND(MOD(D200,1)&gt;=TIME(6,0,0),MOD(D200,1)&lt;TIME(18,0,0)),         IF(H200=2,"Couple Full Day","24H Day"),         IF(H200=2,"Couple Full Night","24H Night")), "Check Data")))</f>
        <v>Extended Day</v>
      </c>
      <c r="L200" s="12" t="n">
        <f aca="false">((INT(E200)+MOD(F200,1))-(INT(C200)+MOD(D200,1)))*24</f>
        <v>46.9999999990105</v>
      </c>
      <c r="M200" s="1" t="n">
        <f aca="false">IFERROR(INDEX(Sheet3!$B$2:$B$500,MATCH(1,(INT(C200)+MOD(D200,1)&lt;INT(Sheet3!$A$2:$A$500)+TIME(18,0,0))*(INT(E200)+MOD(F200,1)&gt;=INT(Sheet3!$A$2:$A$500)),0)),0)</f>
        <v>0</v>
      </c>
      <c r="N200" s="1" t="n">
        <f aca="false">IF(OR( AND(Q200=6,D200&gt;=TIME(17,0,0),OR(K200="12H Night",K200="Couple Half Night",K200="24H Night",K200="Couple Full Night")), AND(Q200=7,D200&gt;=TIME(6,0,0),D200&lt;TIME(12,0,0),OR(K200="12H Day",K200="Couple Half Day",K200="24H Day",K200="Couple Full Day")) ),1,0)</f>
        <v>0</v>
      </c>
      <c r="O200" s="1" t="n">
        <f aca="false">IF(OR( AND(MONTH(C200)=12,DAY(C200)&gt;=26), AND(MONTH(C200)=4,DAY(C200)&gt;=15), MONTH(C200)=5, AND(MONTH(C200)=6,DAY(C200)&lt;=10) ),1,0)</f>
        <v>0</v>
      </c>
      <c r="P200" s="1" t="str">
        <f aca="false">IF(OR(MONTH(C200)=3,MONTH(C200)=4,MONTH(C200)=5,MONTH(C200)=6), "Summer", IF(OR(MONTH(C200)=7,MONTH(C200)=8,MONTH(C200)=9,MONTH(C200)=10), "Monsoon", "Winter"))</f>
        <v>Monsoon</v>
      </c>
      <c r="Q200" s="1" t="n">
        <f aca="false">WEEKDAY(C200,2)</f>
        <v>2</v>
      </c>
      <c r="R200" s="0" t="n">
        <f aca="false">ROUNDDOWN(((INT(C200)+MOD(D200,1))-(INT(I200)+MOD(J200,1))),0)</f>
        <v>8</v>
      </c>
      <c r="S200" s="10"/>
    </row>
    <row r="201" customFormat="false" ht="192.95" hidden="false" customHeight="false" outlineLevel="0" collapsed="false">
      <c r="A201" s="8" t="s">
        <v>389</v>
      </c>
      <c r="B201" s="22" t="s">
        <v>390</v>
      </c>
      <c r="C201" s="18" t="n">
        <v>45527.875</v>
      </c>
      <c r="D201" s="19" t="n">
        <v>45527.875</v>
      </c>
      <c r="E201" s="18" t="n">
        <v>45528.375</v>
      </c>
      <c r="F201" s="19" t="n">
        <v>45528.375</v>
      </c>
      <c r="G201" s="20" t="n">
        <v>2500</v>
      </c>
      <c r="H201" s="8" t="n">
        <v>7</v>
      </c>
      <c r="I201" s="10" t="n">
        <v>45527</v>
      </c>
      <c r="J201" s="11" t="n">
        <v>0.750300925923507</v>
      </c>
      <c r="K201" s="1" t="str">
        <f aca="false">IF(L201&gt;24,     IF(H201=2,"Couple Extended Day","Extended Day"), IF(L201&lt;=12,     IF(AND(MOD(D201,1)&gt;=TIME(6,0,0),MOD(D201,1)&lt;TIME(18,0,0)),         IF(H201=2,"Couple Half Day","12H Day"),         IF(H201=2,"Couple Half Night","12H Night")), IF(L201&lt;=24,     IF(AND(MOD(D201,1)&gt;=TIME(6,0,0),MOD(D201,1)&lt;TIME(18,0,0)),         IF(H201=2,"Couple Full Day","24H Day"),         IF(H201=2,"Couple Full Night","24H Night")), "Check Data")))</f>
        <v>12H Night</v>
      </c>
      <c r="L201" s="12" t="n">
        <f aca="false">((INT(E201)+MOD(F201,1))-(INT(C201)+MOD(D201,1)))*24</f>
        <v>12</v>
      </c>
      <c r="M201" s="1" t="n">
        <f aca="false">IFERROR(INDEX(Sheet3!$B$2:$B$500,MATCH(1,(INT(C201)+MOD(D201,1)&lt;INT(Sheet3!$A$2:$A$500)+TIME(18,0,0))*(INT(E201)+MOD(F201,1)&gt;=INT(Sheet3!$A$2:$A$500)),0)),0)</f>
        <v>0</v>
      </c>
      <c r="N201" s="1" t="n">
        <f aca="false">IF(OR( AND(Q201=6,D201&gt;=TIME(17,0,0),OR(K201="12H Night",K201="Couple Half Night",K201="24H Night",K201="Couple Full Night")), AND(Q201=7,D201&gt;=TIME(6,0,0),D201&lt;TIME(12,0,0),OR(K201="12H Day",K201="Couple Half Day",K201="24H Day",K201="Couple Full Day")) ),1,0)</f>
        <v>0</v>
      </c>
      <c r="O201" s="1" t="n">
        <f aca="false">IF(OR( AND(MONTH(C201)=12,DAY(C201)&gt;=26), AND(MONTH(C201)=4,DAY(C201)&gt;=15), MONTH(C201)=5, AND(MONTH(C201)=6,DAY(C201)&lt;=10) ),1,0)</f>
        <v>0</v>
      </c>
      <c r="P201" s="1" t="str">
        <f aca="false">IF(OR(MONTH(C201)=3,MONTH(C201)=4,MONTH(C201)=5,MONTH(C201)=6), "Summer", IF(OR(MONTH(C201)=7,MONTH(C201)=8,MONTH(C201)=9,MONTH(C201)=10), "Monsoon", "Winter"))</f>
        <v>Monsoon</v>
      </c>
      <c r="Q201" s="1" t="n">
        <f aca="false">WEEKDAY(C201,2)</f>
        <v>5</v>
      </c>
      <c r="R201" s="0" t="n">
        <f aca="false">ROUNDDOWN(((INT(C201)+MOD(D201,1))-(INT(I201)+MOD(J201,1))),0)</f>
        <v>0</v>
      </c>
      <c r="S201" s="10"/>
    </row>
    <row r="202" customFormat="false" ht="15.75" hidden="false" customHeight="false" outlineLevel="0" collapsed="false">
      <c r="A202" s="8" t="s">
        <v>306</v>
      </c>
      <c r="B202" s="8" t="s">
        <v>391</v>
      </c>
      <c r="C202" s="18" t="n">
        <v>45528.5416666667</v>
      </c>
      <c r="D202" s="19" t="n">
        <v>45528.5416666667</v>
      </c>
      <c r="E202" s="18" t="n">
        <v>45528.7083333333</v>
      </c>
      <c r="F202" s="19" t="n">
        <v>0</v>
      </c>
      <c r="G202" s="20" t="n">
        <v>500</v>
      </c>
      <c r="I202" s="10" t="n">
        <v>45528</v>
      </c>
      <c r="J202" s="11" t="n">
        <v>0.593379629630359</v>
      </c>
      <c r="K202" s="1" t="str">
        <f aca="false">IF(L202&gt;24,     IF(H202=2,"Couple Extended Day","Extended Day"), IF(L202&lt;=12,     IF(AND(MOD(D202,1)&gt;=TIME(6,0,0),MOD(D202,1)&lt;TIME(18,0,0)),         IF(H202=2,"Couple Half Day","12H Day"),         IF(H202=2,"Couple Half Night","12H Night")), IF(L202&lt;=24,     IF(AND(MOD(D202,1)&gt;=TIME(6,0,0),MOD(D202,1)&lt;TIME(18,0,0)),         IF(H202=2,"Couple Full Day","24H Day"),         IF(H202=2,"Couple Full Night","24H Night")), "Check Data")))</f>
        <v>12H Day</v>
      </c>
      <c r="L202" s="12" t="n">
        <f aca="false">((INT(E202)+MOD(F202,1))-(INT(C202)+MOD(D202,1)))*24</f>
        <v>-13.0000000009895</v>
      </c>
      <c r="M202" s="1" t="n">
        <f aca="false">IFERROR(INDEX(Sheet3!$B$2:$B$500,MATCH(1,(INT(C202)+MOD(D202,1)&lt;INT(Sheet3!$A$2:$A$500)+TIME(18,0,0))*(INT(E202)+MOD(F202,1)&gt;=INT(Sheet3!$A$2:$A$500)),0)),0)</f>
        <v>0</v>
      </c>
      <c r="N202" s="1" t="n">
        <f aca="false">IF(OR( AND(Q202=6,D202&gt;=TIME(17,0,0),OR(K202="12H Night",K202="Couple Half Night",K202="24H Night",K202="Couple Full Night")), AND(Q202=7,D202&gt;=TIME(6,0,0),D202&lt;TIME(12,0,0),OR(K202="12H Day",K202="Couple Half Day",K202="24H Day",K202="Couple Full Day")) ),1,0)</f>
        <v>0</v>
      </c>
      <c r="O202" s="1" t="n">
        <f aca="false">IF(OR( AND(MONTH(C202)=12,DAY(C202)&gt;=26), AND(MONTH(C202)=4,DAY(C202)&gt;=15), MONTH(C202)=5, AND(MONTH(C202)=6,DAY(C202)&lt;=10) ),1,0)</f>
        <v>0</v>
      </c>
      <c r="P202" s="1" t="str">
        <f aca="false">IF(OR(MONTH(C202)=3,MONTH(C202)=4,MONTH(C202)=5,MONTH(C202)=6), "Summer", IF(OR(MONTH(C202)=7,MONTH(C202)=8,MONTH(C202)=9,MONTH(C202)=10), "Monsoon", "Winter"))</f>
        <v>Monsoon</v>
      </c>
      <c r="Q202" s="1" t="n">
        <f aca="false">WEEKDAY(C202,2)</f>
        <v>6</v>
      </c>
      <c r="R202" s="0" t="n">
        <f aca="false">ROUNDDOWN(((INT(C202)+MOD(D202,1))-(INT(I202)+MOD(J202,1))),0)</f>
        <v>-0</v>
      </c>
      <c r="S202" s="10"/>
    </row>
    <row r="203" customFormat="false" ht="133.3" hidden="false" customHeight="false" outlineLevel="0" collapsed="false">
      <c r="A203" s="8" t="s">
        <v>392</v>
      </c>
      <c r="B203" s="22" t="s">
        <v>393</v>
      </c>
      <c r="C203" s="18" t="n">
        <v>45528.7916666667</v>
      </c>
      <c r="D203" s="19" t="n">
        <v>45528.7916666667</v>
      </c>
      <c r="E203" s="18" t="n">
        <v>45529.7916666667</v>
      </c>
      <c r="F203" s="19" t="n">
        <v>45529.7916666667</v>
      </c>
      <c r="G203" s="20" t="n">
        <v>4000</v>
      </c>
      <c r="H203" s="8" t="n">
        <v>15</v>
      </c>
      <c r="I203" s="10" t="n">
        <v>45526</v>
      </c>
      <c r="J203" s="11" t="n">
        <v>0.627361111110081</v>
      </c>
      <c r="K203" s="1" t="str">
        <f aca="false">IF(L203&gt;24,     IF(H203=2,"Couple Extended Day","Extended Day"), IF(L203&lt;=12,     IF(AND(MOD(D203,1)&gt;=TIME(6,0,0),MOD(D203,1)&lt;TIME(18,0,0)),         IF(H203=2,"Couple Half Day","12H Day"),         IF(H203=2,"Couple Half Night","12H Night")), IF(L203&lt;=24,     IF(AND(MOD(D203,1)&gt;=TIME(6,0,0),MOD(D203,1)&lt;TIME(18,0,0)),         IF(H203=2,"Couple Full Day","24H Day"),         IF(H203=2,"Couple Full Night","24H Night")), "Check Data")))</f>
        <v>24H Night</v>
      </c>
      <c r="L203" s="12" t="n">
        <f aca="false">((INT(E203)+MOD(F203,1))-(INT(C203)+MOD(D203,1)))*24</f>
        <v>24</v>
      </c>
      <c r="M203" s="1" t="n">
        <f aca="false">IFERROR(INDEX(Sheet3!$B$2:$B$500,MATCH(1,(INT(C203)+MOD(D203,1)&lt;INT(Sheet3!$A$2:$A$500)+TIME(18,0,0))*(INT(E203)+MOD(F203,1)&gt;=INT(Sheet3!$A$2:$A$500)),0)),0)</f>
        <v>0</v>
      </c>
      <c r="N203" s="1" t="n">
        <f aca="false">IF(OR( AND(Q203=6,D203&gt;=TIME(17,0,0),OR(K203="12H Night",K203="Couple Half Night",K203="24H Night",K203="Couple Full Night")), AND(Q203=7,D203&gt;=TIME(6,0,0),D203&lt;TIME(12,0,0),OR(K203="12H Day",K203="Couple Half Day",K203="24H Day",K203="Couple Full Day")) ),1,0)</f>
        <v>1</v>
      </c>
      <c r="O203" s="1" t="n">
        <f aca="false">IF(OR( AND(MONTH(C203)=12,DAY(C203)&gt;=26), AND(MONTH(C203)=4,DAY(C203)&gt;=15), MONTH(C203)=5, AND(MONTH(C203)=6,DAY(C203)&lt;=10) ),1,0)</f>
        <v>0</v>
      </c>
      <c r="P203" s="1" t="str">
        <f aca="false">IF(OR(MONTH(C203)=3,MONTH(C203)=4,MONTH(C203)=5,MONTH(C203)=6), "Summer", IF(OR(MONTH(C203)=7,MONTH(C203)=8,MONTH(C203)=9,MONTH(C203)=10), "Monsoon", "Winter"))</f>
        <v>Monsoon</v>
      </c>
      <c r="Q203" s="1" t="n">
        <f aca="false">WEEKDAY(C203,2)</f>
        <v>6</v>
      </c>
      <c r="R203" s="0" t="n">
        <f aca="false">ROUNDDOWN(((INT(C203)+MOD(D203,1))-(INT(I203)+MOD(J203,1))),0)</f>
        <v>2</v>
      </c>
      <c r="S203" s="10"/>
    </row>
    <row r="204" customFormat="false" ht="212.2" hidden="false" customHeight="false" outlineLevel="0" collapsed="false">
      <c r="A204" s="8" t="s">
        <v>338</v>
      </c>
      <c r="B204" s="22" t="s">
        <v>394</v>
      </c>
      <c r="C204" s="18" t="n">
        <v>45531.3333333333</v>
      </c>
      <c r="D204" s="19" t="n">
        <v>0</v>
      </c>
      <c r="E204" s="18" t="n">
        <v>45531.75</v>
      </c>
      <c r="F204" s="19" t="n">
        <v>45531.75</v>
      </c>
      <c r="G204" s="20" t="n">
        <v>2500</v>
      </c>
      <c r="H204" s="8" t="n">
        <v>4</v>
      </c>
      <c r="I204" s="10" t="n">
        <v>45528</v>
      </c>
      <c r="J204" s="11" t="n">
        <v>0.576620370367894</v>
      </c>
      <c r="K204" s="1" t="str">
        <f aca="false">IF(L204&gt;24,     IF(H204=2,"Couple Extended Day","Extended Day"), IF(L204&lt;=12,     IF(AND(MOD(D204,1)&gt;=TIME(6,0,0),MOD(D204,1)&lt;TIME(18,0,0)),         IF(H204=2,"Couple Half Day","12H Day"),         IF(H204=2,"Couple Half Night","12H Night")), IF(L204&lt;=24,     IF(AND(MOD(D204,1)&gt;=TIME(6,0,0),MOD(D204,1)&lt;TIME(18,0,0)),         IF(H204=2,"Couple Full Day","24H Day"),         IF(H204=2,"Couple Full Night","24H Night")), "Check Data")))</f>
        <v>24H Night</v>
      </c>
      <c r="L204" s="12" t="n">
        <f aca="false">((INT(E204)+MOD(F204,1))-(INT(C204)+MOD(D204,1)))*24</f>
        <v>18</v>
      </c>
      <c r="M204" s="1" t="n">
        <f aca="false">IFERROR(INDEX(Sheet3!$B$2:$B$500,MATCH(1,(INT(C204)+MOD(D204,1)&lt;INT(Sheet3!$A$2:$A$500)+TIME(18,0,0))*(INT(E204)+MOD(F204,1)&gt;=INT(Sheet3!$A$2:$A$500)),0)),0)</f>
        <v>0</v>
      </c>
      <c r="N204" s="1" t="n">
        <f aca="false">IF(OR( AND(Q204=6,D204&gt;=TIME(17,0,0),OR(K204="12H Night",K204="Couple Half Night",K204="24H Night",K204="Couple Full Night")), AND(Q204=7,D204&gt;=TIME(6,0,0),D204&lt;TIME(12,0,0),OR(K204="12H Day",K204="Couple Half Day",K204="24H Day",K204="Couple Full Day")) ),1,0)</f>
        <v>0</v>
      </c>
      <c r="O204" s="1" t="n">
        <f aca="false">IF(OR( AND(MONTH(C204)=12,DAY(C204)&gt;=26), AND(MONTH(C204)=4,DAY(C204)&gt;=15), MONTH(C204)=5, AND(MONTH(C204)=6,DAY(C204)&lt;=10) ),1,0)</f>
        <v>0</v>
      </c>
      <c r="P204" s="1" t="str">
        <f aca="false">IF(OR(MONTH(C204)=3,MONTH(C204)=4,MONTH(C204)=5,MONTH(C204)=6), "Summer", IF(OR(MONTH(C204)=7,MONTH(C204)=8,MONTH(C204)=9,MONTH(C204)=10), "Monsoon", "Winter"))</f>
        <v>Monsoon</v>
      </c>
      <c r="Q204" s="1" t="n">
        <f aca="false">WEEKDAY(C204,2)</f>
        <v>2</v>
      </c>
      <c r="R204" s="0" t="n">
        <f aca="false">ROUNDDOWN(((INT(C204)+MOD(D204,1))-(INT(I204)+MOD(J204,1))),0)</f>
        <v>2</v>
      </c>
      <c r="S204" s="10"/>
    </row>
    <row r="205" customFormat="false" ht="15.75" hidden="false" customHeight="false" outlineLevel="0" collapsed="false">
      <c r="A205" s="8" t="s">
        <v>373</v>
      </c>
      <c r="B205" s="8" t="s">
        <v>379</v>
      </c>
      <c r="C205" s="18" t="n">
        <v>45533.4166666667</v>
      </c>
      <c r="D205" s="19" t="n">
        <v>45533.4166666667</v>
      </c>
      <c r="E205" s="18" t="n">
        <v>45533.75</v>
      </c>
      <c r="F205" s="19" t="n">
        <v>45533.75</v>
      </c>
      <c r="G205" s="20" t="n">
        <v>1000</v>
      </c>
      <c r="I205" s="10" t="n">
        <v>45534</v>
      </c>
      <c r="J205" s="11" t="n">
        <v>0.43167824074044</v>
      </c>
      <c r="K205" s="1" t="str">
        <f aca="false">IF(L205&gt;24,     IF(H205=2,"Couple Extended Day","Extended Day"), IF(L205&lt;=12,     IF(AND(MOD(D205,1)&gt;=TIME(6,0,0),MOD(D205,1)&lt;TIME(18,0,0)),         IF(H205=2,"Couple Half Day","12H Day"),         IF(H205=2,"Couple Half Night","12H Night")), IF(L205&lt;=24,     IF(AND(MOD(D205,1)&gt;=TIME(6,0,0),MOD(D205,1)&lt;TIME(18,0,0)),         IF(H205=2,"Couple Full Day","24H Day"),         IF(H205=2,"Couple Full Night","24H Night")), "Check Data")))</f>
        <v>12H Day</v>
      </c>
      <c r="L205" s="12" t="n">
        <f aca="false">((INT(E205)+MOD(F205,1))-(INT(C205)+MOD(D205,1)))*24</f>
        <v>7.99999999901047</v>
      </c>
      <c r="M205" s="1" t="n">
        <f aca="false">IFERROR(INDEX(Sheet3!$B$2:$B$500,MATCH(1,(INT(C205)+MOD(D205,1)&lt;INT(Sheet3!$A$2:$A$500)+TIME(18,0,0))*(INT(E205)+MOD(F205,1)&gt;=INT(Sheet3!$A$2:$A$500)),0)),0)</f>
        <v>0</v>
      </c>
      <c r="N205" s="1" t="n">
        <f aca="false">IF(OR( AND(Q205=6,D205&gt;=TIME(17,0,0),OR(K205="12H Night",K205="Couple Half Night",K205="24H Night",K205="Couple Full Night")), AND(Q205=7,D205&gt;=TIME(6,0,0),D205&lt;TIME(12,0,0),OR(K205="12H Day",K205="Couple Half Day",K205="24H Day",K205="Couple Full Day")) ),1,0)</f>
        <v>0</v>
      </c>
      <c r="O205" s="1" t="n">
        <f aca="false">IF(OR( AND(MONTH(C205)=12,DAY(C205)&gt;=26), AND(MONTH(C205)=4,DAY(C205)&gt;=15), MONTH(C205)=5, AND(MONTH(C205)=6,DAY(C205)&lt;=10) ),1,0)</f>
        <v>0</v>
      </c>
      <c r="P205" s="1" t="str">
        <f aca="false">IF(OR(MONTH(C205)=3,MONTH(C205)=4,MONTH(C205)=5,MONTH(C205)=6), "Summer", IF(OR(MONTH(C205)=7,MONTH(C205)=8,MONTH(C205)=9,MONTH(C205)=10), "Monsoon", "Winter"))</f>
        <v>Monsoon</v>
      </c>
      <c r="Q205" s="1" t="n">
        <f aca="false">WEEKDAY(C205,2)</f>
        <v>4</v>
      </c>
      <c r="R205" s="0" t="n">
        <f aca="false">ROUNDDOWN(((INT(C205)+MOD(D205,1))-(INT(I205)+MOD(J205,1))),0)</f>
        <v>-1</v>
      </c>
      <c r="S205" s="10"/>
    </row>
    <row r="206" customFormat="false" ht="225.35" hidden="false" customHeight="false" outlineLevel="0" collapsed="false">
      <c r="A206" s="8" t="s">
        <v>395</v>
      </c>
      <c r="B206" s="22" t="s">
        <v>396</v>
      </c>
      <c r="C206" s="18" t="n">
        <v>45534.375</v>
      </c>
      <c r="D206" s="19" t="n">
        <v>45534.375</v>
      </c>
      <c r="E206" s="18" t="n">
        <v>45534.75</v>
      </c>
      <c r="F206" s="19" t="n">
        <v>45534.75</v>
      </c>
      <c r="G206" s="20" t="n">
        <v>2500</v>
      </c>
      <c r="H206" s="8" t="n">
        <v>4</v>
      </c>
      <c r="I206" s="10" t="n">
        <v>45533</v>
      </c>
      <c r="J206" s="11" t="n">
        <v>0.740532407406134</v>
      </c>
      <c r="K206" s="1" t="str">
        <f aca="false">IF(L206&gt;24,     IF(H206=2,"Couple Extended Day","Extended Day"), IF(L206&lt;=12,     IF(AND(MOD(D206,1)&gt;=TIME(6,0,0),MOD(D206,1)&lt;TIME(18,0,0)),         IF(H206=2,"Couple Half Day","12H Day"),         IF(H206=2,"Couple Half Night","12H Night")), IF(L206&lt;=24,     IF(AND(MOD(D206,1)&gt;=TIME(6,0,0),MOD(D206,1)&lt;TIME(18,0,0)),         IF(H206=2,"Couple Full Day","24H Day"),         IF(H206=2,"Couple Full Night","24H Night")), "Check Data")))</f>
        <v>12H Day</v>
      </c>
      <c r="L206" s="12" t="n">
        <f aca="false">((INT(E206)+MOD(F206,1))-(INT(C206)+MOD(D206,1)))*24</f>
        <v>9</v>
      </c>
      <c r="M206" s="1" t="n">
        <f aca="false">IFERROR(INDEX(Sheet3!$B$2:$B$500,MATCH(1,(INT(C206)+MOD(D206,1)&lt;INT(Sheet3!$A$2:$A$500)+TIME(18,0,0))*(INT(E206)+MOD(F206,1)&gt;=INT(Sheet3!$A$2:$A$500)),0)),0)</f>
        <v>0</v>
      </c>
      <c r="N206" s="1" t="n">
        <f aca="false">IF(OR( AND(Q206=6,D206&gt;=TIME(17,0,0),OR(K206="12H Night",K206="Couple Half Night",K206="24H Night",K206="Couple Full Night")), AND(Q206=7,D206&gt;=TIME(6,0,0),D206&lt;TIME(12,0,0),OR(K206="12H Day",K206="Couple Half Day",K206="24H Day",K206="Couple Full Day")) ),1,0)</f>
        <v>0</v>
      </c>
      <c r="O206" s="1" t="n">
        <f aca="false">IF(OR( AND(MONTH(C206)=12,DAY(C206)&gt;=26), AND(MONTH(C206)=4,DAY(C206)&gt;=15), MONTH(C206)=5, AND(MONTH(C206)=6,DAY(C206)&lt;=10) ),1,0)</f>
        <v>0</v>
      </c>
      <c r="P206" s="1" t="str">
        <f aca="false">IF(OR(MONTH(C206)=3,MONTH(C206)=4,MONTH(C206)=5,MONTH(C206)=6), "Summer", IF(OR(MONTH(C206)=7,MONTH(C206)=8,MONTH(C206)=9,MONTH(C206)=10), "Monsoon", "Winter"))</f>
        <v>Monsoon</v>
      </c>
      <c r="Q206" s="1" t="n">
        <f aca="false">WEEKDAY(C206,2)</f>
        <v>5</v>
      </c>
      <c r="R206" s="0" t="n">
        <f aca="false">ROUNDDOWN(((INT(C206)+MOD(D206,1))-(INT(I206)+MOD(J206,1))),0)</f>
        <v>0</v>
      </c>
      <c r="S206" s="10"/>
    </row>
    <row r="207" customFormat="false" ht="212.2" hidden="false" customHeight="false" outlineLevel="0" collapsed="false">
      <c r="A207" s="8" t="s">
        <v>178</v>
      </c>
      <c r="B207" s="22" t="s">
        <v>397</v>
      </c>
      <c r="C207" s="18" t="n">
        <v>45535.375</v>
      </c>
      <c r="D207" s="19" t="n">
        <v>45535.375</v>
      </c>
      <c r="E207" s="18" t="n">
        <v>45535.75</v>
      </c>
      <c r="F207" s="19" t="n">
        <v>45535.75</v>
      </c>
      <c r="G207" s="20" t="n">
        <v>3000</v>
      </c>
      <c r="H207" s="8" t="n">
        <v>4</v>
      </c>
      <c r="I207" s="10" t="n">
        <v>45531</v>
      </c>
      <c r="J207" s="11" t="n">
        <v>0.756087962960012</v>
      </c>
      <c r="K207" s="1" t="str">
        <f aca="false">IF(L207&gt;24,     IF(H207=2,"Couple Extended Day","Extended Day"), IF(L207&lt;=12,     IF(AND(MOD(D207,1)&gt;=TIME(6,0,0),MOD(D207,1)&lt;TIME(18,0,0)),         IF(H207=2,"Couple Half Day","12H Day"),         IF(H207=2,"Couple Half Night","12H Night")), IF(L207&lt;=24,     IF(AND(MOD(D207,1)&gt;=TIME(6,0,0),MOD(D207,1)&lt;TIME(18,0,0)),         IF(H207=2,"Couple Full Day","24H Day"),         IF(H207=2,"Couple Full Night","24H Night")), "Check Data")))</f>
        <v>12H Day</v>
      </c>
      <c r="L207" s="12" t="n">
        <f aca="false">((INT(E207)+MOD(F207,1))-(INT(C207)+MOD(D207,1)))*24</f>
        <v>9</v>
      </c>
      <c r="M207" s="1" t="n">
        <f aca="false">IFERROR(INDEX(Sheet3!$B$2:$B$500,MATCH(1,(INT(C207)+MOD(D207,1)&lt;INT(Sheet3!$A$2:$A$500)+TIME(18,0,0))*(INT(E207)+MOD(F207,1)&gt;=INT(Sheet3!$A$2:$A$500)),0)),0)</f>
        <v>0</v>
      </c>
      <c r="N207" s="1" t="n">
        <f aca="false">IF(OR( AND(Q207=6,D207&gt;=TIME(17,0,0),OR(K207="12H Night",K207="Couple Half Night",K207="24H Night",K207="Couple Full Night")), AND(Q207=7,D207&gt;=TIME(6,0,0),D207&lt;TIME(12,0,0),OR(K207="12H Day",K207="Couple Half Day",K207="24H Day",K207="Couple Full Day")) ),1,0)</f>
        <v>0</v>
      </c>
      <c r="O207" s="1" t="n">
        <f aca="false">IF(OR( AND(MONTH(C207)=12,DAY(C207)&gt;=26), AND(MONTH(C207)=4,DAY(C207)&gt;=15), MONTH(C207)=5, AND(MONTH(C207)=6,DAY(C207)&lt;=10) ),1,0)</f>
        <v>0</v>
      </c>
      <c r="P207" s="1" t="str">
        <f aca="false">IF(OR(MONTH(C207)=3,MONTH(C207)=4,MONTH(C207)=5,MONTH(C207)=6), "Summer", IF(OR(MONTH(C207)=7,MONTH(C207)=8,MONTH(C207)=9,MONTH(C207)=10), "Monsoon", "Winter"))</f>
        <v>Monsoon</v>
      </c>
      <c r="Q207" s="1" t="n">
        <f aca="false">WEEKDAY(C207,2)</f>
        <v>6</v>
      </c>
      <c r="R207" s="0" t="n">
        <f aca="false">ROUNDDOWN(((INT(C207)+MOD(D207,1))-(INT(I207)+MOD(J207,1))),0)</f>
        <v>3</v>
      </c>
      <c r="S207" s="10"/>
    </row>
    <row r="208" customFormat="false" ht="15.75" hidden="false" customHeight="false" outlineLevel="0" collapsed="false">
      <c r="A208" s="8" t="s">
        <v>398</v>
      </c>
      <c r="B208" s="8" t="s">
        <v>399</v>
      </c>
      <c r="C208" s="18" t="n">
        <v>45535.7916666667</v>
      </c>
      <c r="D208" s="19" t="n">
        <v>45535.7916666667</v>
      </c>
      <c r="E208" s="18" t="n">
        <v>45536.3333333333</v>
      </c>
      <c r="F208" s="19" t="n">
        <v>0</v>
      </c>
      <c r="G208" s="20" t="n">
        <v>2700</v>
      </c>
      <c r="I208" s="10" t="n">
        <v>45535</v>
      </c>
      <c r="J208" s="11" t="n">
        <v>0.793402777781007</v>
      </c>
      <c r="K208" s="1" t="str">
        <f aca="false">IF(L208&gt;24,     IF(H208=2,"Couple Extended Day","Extended Day"), IF(L208&lt;=12,     IF(AND(MOD(D208,1)&gt;=TIME(6,0,0),MOD(D208,1)&lt;TIME(18,0,0)),         IF(H208=2,"Couple Half Day","12H Day"),         IF(H208=2,"Couple Half Night","12H Night")), IF(L208&lt;=24,     IF(AND(MOD(D208,1)&gt;=TIME(6,0,0),MOD(D208,1)&lt;TIME(18,0,0)),         IF(H208=2,"Couple Full Day","24H Day"),         IF(H208=2,"Couple Full Night","24H Night")), "Check Data")))</f>
        <v>12H Night</v>
      </c>
      <c r="L208" s="12" t="n">
        <f aca="false">((INT(E208)+MOD(F208,1))-(INT(C208)+MOD(D208,1)))*24</f>
        <v>4.99999999901047</v>
      </c>
      <c r="M208" s="1" t="n">
        <f aca="false">IFERROR(INDEX(Sheet3!$B$2:$B$500,MATCH(1,(INT(C208)+MOD(D208,1)&lt;INT(Sheet3!$A$2:$A$500)+TIME(18,0,0))*(INT(E208)+MOD(F208,1)&gt;=INT(Sheet3!$A$2:$A$500)),0)),0)</f>
        <v>0</v>
      </c>
      <c r="N208" s="1" t="n">
        <f aca="false">IF(OR( AND(Q208=6,D208&gt;=TIME(17,0,0),OR(K208="12H Night",K208="Couple Half Night",K208="24H Night",K208="Couple Full Night")), AND(Q208=7,D208&gt;=TIME(6,0,0),D208&lt;TIME(12,0,0),OR(K208="12H Day",K208="Couple Half Day",K208="24H Day",K208="Couple Full Day")) ),1,0)</f>
        <v>1</v>
      </c>
      <c r="O208" s="1" t="n">
        <f aca="false">IF(OR( AND(MONTH(C208)=12,DAY(C208)&gt;=26), AND(MONTH(C208)=4,DAY(C208)&gt;=15), MONTH(C208)=5, AND(MONTH(C208)=6,DAY(C208)&lt;=10) ),1,0)</f>
        <v>0</v>
      </c>
      <c r="P208" s="1" t="str">
        <f aca="false">IF(OR(MONTH(C208)=3,MONTH(C208)=4,MONTH(C208)=5,MONTH(C208)=6), "Summer", IF(OR(MONTH(C208)=7,MONTH(C208)=8,MONTH(C208)=9,MONTH(C208)=10), "Monsoon", "Winter"))</f>
        <v>Monsoon</v>
      </c>
      <c r="Q208" s="1" t="n">
        <f aca="false">WEEKDAY(C208,2)</f>
        <v>6</v>
      </c>
      <c r="R208" s="0" t="n">
        <f aca="false">ROUNDDOWN(((INT(C208)+MOD(D208,1))-(INT(I208)+MOD(J208,1))),0)</f>
        <v>-0</v>
      </c>
      <c r="S208" s="10"/>
    </row>
    <row r="209" customFormat="false" ht="199.05" hidden="false" customHeight="false" outlineLevel="0" collapsed="false">
      <c r="A209" s="8" t="s">
        <v>400</v>
      </c>
      <c r="B209" s="22" t="s">
        <v>401</v>
      </c>
      <c r="C209" s="18" t="n">
        <v>45538.4166666667</v>
      </c>
      <c r="D209" s="19" t="n">
        <v>45538.4166666667</v>
      </c>
      <c r="E209" s="18" t="n">
        <v>45538.7083333333</v>
      </c>
      <c r="F209" s="19" t="n">
        <v>0</v>
      </c>
      <c r="G209" s="20" t="n">
        <v>2500</v>
      </c>
      <c r="H209" s="8" t="n">
        <v>15</v>
      </c>
      <c r="I209" s="10" t="n">
        <v>45536</v>
      </c>
      <c r="J209" s="11" t="n">
        <v>0.706678240741898</v>
      </c>
      <c r="K209" s="1" t="str">
        <f aca="false">IF(L209&gt;24,     IF(H209=2,"Couple Extended Day","Extended Day"), IF(L209&lt;=12,     IF(AND(MOD(D209,1)&gt;=TIME(6,0,0),MOD(D209,1)&lt;TIME(18,0,0)),         IF(H209=2,"Couple Half Day","12H Day"),         IF(H209=2,"Couple Half Night","12H Night")), IF(L209&lt;=24,     IF(AND(MOD(D209,1)&gt;=TIME(6,0,0),MOD(D209,1)&lt;TIME(18,0,0)),         IF(H209=2,"Couple Full Day","24H Day"),         IF(H209=2,"Couple Full Night","24H Night")), "Check Data")))</f>
        <v>12H Day</v>
      </c>
      <c r="L209" s="12" t="n">
        <f aca="false">((INT(E209)+MOD(F209,1))-(INT(C209)+MOD(D209,1)))*24</f>
        <v>-10.0000000009895</v>
      </c>
      <c r="M209" s="1" t="n">
        <f aca="false">IFERROR(INDEX(Sheet3!$B$2:$B$500,MATCH(1,(INT(C209)+MOD(D209,1)&lt;INT(Sheet3!$A$2:$A$500)+TIME(18,0,0))*(INT(E209)+MOD(F209,1)&gt;=INT(Sheet3!$A$2:$A$500)),0)),0)</f>
        <v>0</v>
      </c>
      <c r="N209" s="1" t="n">
        <f aca="false">IF(OR( AND(Q209=6,D209&gt;=TIME(17,0,0),OR(K209="12H Night",K209="Couple Half Night",K209="24H Night",K209="Couple Full Night")), AND(Q209=7,D209&gt;=TIME(6,0,0),D209&lt;TIME(12,0,0),OR(K209="12H Day",K209="Couple Half Day",K209="24H Day",K209="Couple Full Day")) ),1,0)</f>
        <v>0</v>
      </c>
      <c r="O209" s="1" t="n">
        <f aca="false">IF(OR( AND(MONTH(C209)=12,DAY(C209)&gt;=26), AND(MONTH(C209)=4,DAY(C209)&gt;=15), MONTH(C209)=5, AND(MONTH(C209)=6,DAY(C209)&lt;=10) ),1,0)</f>
        <v>0</v>
      </c>
      <c r="P209" s="1" t="str">
        <f aca="false">IF(OR(MONTH(C209)=3,MONTH(C209)=4,MONTH(C209)=5,MONTH(C209)=6), "Summer", IF(OR(MONTH(C209)=7,MONTH(C209)=8,MONTH(C209)=9,MONTH(C209)=10), "Monsoon", "Winter"))</f>
        <v>Monsoon</v>
      </c>
      <c r="Q209" s="1" t="n">
        <f aca="false">WEEKDAY(C209,2)</f>
        <v>2</v>
      </c>
      <c r="R209" s="0" t="n">
        <f aca="false">ROUNDDOWN(((INT(C209)+MOD(D209,1))-(INT(I209)+MOD(J209,1))),0)</f>
        <v>1</v>
      </c>
      <c r="S209" s="10"/>
    </row>
    <row r="210" customFormat="false" ht="120.15" hidden="false" customHeight="false" outlineLevel="0" collapsed="false">
      <c r="A210" s="8" t="s">
        <v>243</v>
      </c>
      <c r="B210" s="22" t="s">
        <v>402</v>
      </c>
      <c r="C210" s="18" t="n">
        <v>45540.3333333333</v>
      </c>
      <c r="D210" s="19" t="n">
        <v>0</v>
      </c>
      <c r="E210" s="18" t="n">
        <v>45540.75</v>
      </c>
      <c r="F210" s="19" t="n">
        <v>45540.75</v>
      </c>
      <c r="G210" s="20" t="n">
        <v>1000</v>
      </c>
      <c r="H210" s="8" t="n">
        <v>2</v>
      </c>
      <c r="I210" s="10" t="n">
        <v>45540</v>
      </c>
      <c r="J210" s="11" t="n">
        <v>0.0190856481494792</v>
      </c>
      <c r="K210" s="1" t="str">
        <f aca="false">IF(L210&gt;24,     IF(H210=2,"Couple Extended Day","Extended Day"), IF(L210&lt;=12,     IF(AND(MOD(D210,1)&gt;=TIME(6,0,0),MOD(D210,1)&lt;TIME(18,0,0)),         IF(H210=2,"Couple Half Day","12H Day"),         IF(H210=2,"Couple Half Night","12H Night")), IF(L210&lt;=24,     IF(AND(MOD(D210,1)&gt;=TIME(6,0,0),MOD(D210,1)&lt;TIME(18,0,0)),         IF(H210=2,"Couple Full Day","24H Day"),         IF(H210=2,"Couple Full Night","24H Night")), "Check Data")))</f>
        <v>Couple Full Night</v>
      </c>
      <c r="L210" s="12" t="n">
        <f aca="false">((INT(E210)+MOD(F210,1))-(INT(C210)+MOD(D210,1)))*24</f>
        <v>18</v>
      </c>
      <c r="M210" s="1" t="n">
        <f aca="false">IFERROR(INDEX(Sheet3!$B$2:$B$500,MATCH(1,(INT(C210)+MOD(D210,1)&lt;INT(Sheet3!$A$2:$A$500)+TIME(18,0,0))*(INT(E210)+MOD(F210,1)&gt;=INT(Sheet3!$A$2:$A$500)),0)),0)</f>
        <v>0</v>
      </c>
      <c r="N210" s="1" t="n">
        <f aca="false">IF(OR( AND(Q210=6,D210&gt;=TIME(17,0,0),OR(K210="12H Night",K210="Couple Half Night",K210="24H Night",K210="Couple Full Night")), AND(Q210=7,D210&gt;=TIME(6,0,0),D210&lt;TIME(12,0,0),OR(K210="12H Day",K210="Couple Half Day",K210="24H Day",K210="Couple Full Day")) ),1,0)</f>
        <v>0</v>
      </c>
      <c r="O210" s="1" t="n">
        <f aca="false">IF(OR( AND(MONTH(C210)=12,DAY(C210)&gt;=26), AND(MONTH(C210)=4,DAY(C210)&gt;=15), MONTH(C210)=5, AND(MONTH(C210)=6,DAY(C210)&lt;=10) ),1,0)</f>
        <v>0</v>
      </c>
      <c r="P210" s="1" t="str">
        <f aca="false">IF(OR(MONTH(C210)=3,MONTH(C210)=4,MONTH(C210)=5,MONTH(C210)=6), "Summer", IF(OR(MONTH(C210)=7,MONTH(C210)=8,MONTH(C210)=9,MONTH(C210)=10), "Monsoon", "Winter"))</f>
        <v>Monsoon</v>
      </c>
      <c r="Q210" s="1" t="n">
        <f aca="false">WEEKDAY(C210,2)</f>
        <v>4</v>
      </c>
      <c r="R210" s="0" t="n">
        <f aca="false">ROUNDDOWN(((INT(C210)+MOD(D210,1))-(INT(I210)+MOD(J210,1))),0)</f>
        <v>-0</v>
      </c>
      <c r="S210" s="10"/>
    </row>
    <row r="211" customFormat="false" ht="212.2" hidden="false" customHeight="false" outlineLevel="0" collapsed="false">
      <c r="A211" s="8" t="s">
        <v>403</v>
      </c>
      <c r="B211" s="22" t="s">
        <v>404</v>
      </c>
      <c r="C211" s="18" t="n">
        <v>45541.375</v>
      </c>
      <c r="D211" s="19" t="n">
        <v>45541.375</v>
      </c>
      <c r="E211" s="18" t="n">
        <v>45541.75</v>
      </c>
      <c r="F211" s="19" t="n">
        <v>45541.75</v>
      </c>
      <c r="G211" s="20" t="n">
        <v>2000</v>
      </c>
      <c r="H211" s="8" t="n">
        <v>2</v>
      </c>
      <c r="I211" s="10" t="n">
        <v>45541</v>
      </c>
      <c r="J211" s="11" t="n">
        <v>0.412187499998252</v>
      </c>
      <c r="K211" s="1" t="str">
        <f aca="false">IF(L211&gt;24,     IF(H211=2,"Couple Extended Day","Extended Day"), IF(L211&lt;=12,     IF(AND(MOD(D211,1)&gt;=TIME(6,0,0),MOD(D211,1)&lt;TIME(18,0,0)),         IF(H211=2,"Couple Half Day","12H Day"),         IF(H211=2,"Couple Half Night","12H Night")), IF(L211&lt;=24,     IF(AND(MOD(D211,1)&gt;=TIME(6,0,0),MOD(D211,1)&lt;TIME(18,0,0)),         IF(H211=2,"Couple Full Day","24H Day"),         IF(H211=2,"Couple Full Night","24H Night")), "Check Data")))</f>
        <v>Couple Half Day</v>
      </c>
      <c r="L211" s="12" t="n">
        <f aca="false">((INT(E211)+MOD(F211,1))-(INT(C211)+MOD(D211,1)))*24</f>
        <v>9</v>
      </c>
      <c r="M211" s="1" t="n">
        <f aca="false">IFERROR(INDEX(Sheet3!$B$2:$B$500,MATCH(1,(INT(C211)+MOD(D211,1)&lt;INT(Sheet3!$A$2:$A$500)+TIME(18,0,0))*(INT(E211)+MOD(F211,1)&gt;=INT(Sheet3!$A$2:$A$500)),0)),0)</f>
        <v>0</v>
      </c>
      <c r="N211" s="1" t="n">
        <f aca="false">IF(OR( AND(Q211=6,D211&gt;=TIME(17,0,0),OR(K211="12H Night",K211="Couple Half Night",K211="24H Night",K211="Couple Full Night")), AND(Q211=7,D211&gt;=TIME(6,0,0),D211&lt;TIME(12,0,0),OR(K211="12H Day",K211="Couple Half Day",K211="24H Day",K211="Couple Full Day")) ),1,0)</f>
        <v>0</v>
      </c>
      <c r="O211" s="1" t="n">
        <f aca="false">IF(OR( AND(MONTH(C211)=12,DAY(C211)&gt;=26), AND(MONTH(C211)=4,DAY(C211)&gt;=15), MONTH(C211)=5, AND(MONTH(C211)=6,DAY(C211)&lt;=10) ),1,0)</f>
        <v>0</v>
      </c>
      <c r="P211" s="1" t="str">
        <f aca="false">IF(OR(MONTH(C211)=3,MONTH(C211)=4,MONTH(C211)=5,MONTH(C211)=6), "Summer", IF(OR(MONTH(C211)=7,MONTH(C211)=8,MONTH(C211)=9,MONTH(C211)=10), "Monsoon", "Winter"))</f>
        <v>Monsoon</v>
      </c>
      <c r="Q211" s="1" t="n">
        <f aca="false">WEEKDAY(C211,2)</f>
        <v>5</v>
      </c>
      <c r="R211" s="0" t="n">
        <f aca="false">ROUNDDOWN(((INT(C211)+MOD(D211,1))-(INT(I211)+MOD(J211,1))),0)</f>
        <v>-0</v>
      </c>
      <c r="S211" s="10"/>
    </row>
    <row r="212" customFormat="false" ht="133.3" hidden="false" customHeight="false" outlineLevel="0" collapsed="false">
      <c r="A212" s="8" t="s">
        <v>338</v>
      </c>
      <c r="B212" s="22" t="s">
        <v>405</v>
      </c>
      <c r="C212" s="18" t="n">
        <v>45542.5</v>
      </c>
      <c r="D212" s="19" t="n">
        <v>45542.5</v>
      </c>
      <c r="E212" s="18" t="n">
        <v>45542.75</v>
      </c>
      <c r="F212" s="19" t="n">
        <v>45542.75</v>
      </c>
      <c r="G212" s="20" t="n">
        <v>1500</v>
      </c>
      <c r="H212" s="8" t="n">
        <v>2</v>
      </c>
      <c r="I212" s="10" t="n">
        <v>45542</v>
      </c>
      <c r="J212" s="11" t="n">
        <v>0.475914351853137</v>
      </c>
      <c r="K212" s="1" t="str">
        <f aca="false">IF(L212&gt;24,     IF(H212=2,"Couple Extended Day","Extended Day"), IF(L212&lt;=12,     IF(AND(MOD(D212,1)&gt;=TIME(6,0,0),MOD(D212,1)&lt;TIME(18,0,0)),         IF(H212=2,"Couple Half Day","12H Day"),         IF(H212=2,"Couple Half Night","12H Night")), IF(L212&lt;=24,     IF(AND(MOD(D212,1)&gt;=TIME(6,0,0),MOD(D212,1)&lt;TIME(18,0,0)),         IF(H212=2,"Couple Full Day","24H Day"),         IF(H212=2,"Couple Full Night","24H Night")), "Check Data")))</f>
        <v>Couple Half Day</v>
      </c>
      <c r="L212" s="12" t="n">
        <f aca="false">((INT(E212)+MOD(F212,1))-(INT(C212)+MOD(D212,1)))*24</f>
        <v>6</v>
      </c>
      <c r="M212" s="1" t="str">
        <f aca="false">IFERROR(INDEX(Sheet3!$B$2:$B$500,MATCH(1,(INT(C212)+MOD(D212,1)&lt;INT(Sheet3!$A$2:$A$500)+TIME(18,0,0))*(INT(E212)+MOD(F212,1)&gt;=INT(Sheet3!$A$2:$A$500)),0)),0)</f>
        <v>Ganesh Chaturthi</v>
      </c>
      <c r="N212" s="1" t="n">
        <f aca="false">IF(OR( AND(Q212=6,D212&gt;=TIME(17,0,0),OR(K212="12H Night",K212="Couple Half Night",K212="24H Night",K212="Couple Full Night")), AND(Q212=7,D212&gt;=TIME(6,0,0),D212&lt;TIME(12,0,0),OR(K212="12H Day",K212="Couple Half Day",K212="24H Day",K212="Couple Full Day")) ),1,0)</f>
        <v>0</v>
      </c>
      <c r="O212" s="1" t="n">
        <f aca="false">IF(OR( AND(MONTH(C212)=12,DAY(C212)&gt;=26), AND(MONTH(C212)=4,DAY(C212)&gt;=15), MONTH(C212)=5, AND(MONTH(C212)=6,DAY(C212)&lt;=10) ),1,0)</f>
        <v>0</v>
      </c>
      <c r="P212" s="1" t="str">
        <f aca="false">IF(OR(MONTH(C212)=3,MONTH(C212)=4,MONTH(C212)=5,MONTH(C212)=6), "Summer", IF(OR(MONTH(C212)=7,MONTH(C212)=8,MONTH(C212)=9,MONTH(C212)=10), "Monsoon", "Winter"))</f>
        <v>Monsoon</v>
      </c>
      <c r="Q212" s="1" t="n">
        <f aca="false">WEEKDAY(C212,2)</f>
        <v>6</v>
      </c>
      <c r="R212" s="0" t="n">
        <f aca="false">ROUNDDOWN(((INT(C212)+MOD(D212,1))-(INT(I212)+MOD(J212,1))),0)</f>
        <v>0</v>
      </c>
      <c r="S212" s="10"/>
    </row>
    <row r="213" customFormat="false" ht="192.95" hidden="false" customHeight="false" outlineLevel="0" collapsed="false">
      <c r="A213" s="8" t="s">
        <v>406</v>
      </c>
      <c r="B213" s="22" t="s">
        <v>407</v>
      </c>
      <c r="C213" s="18" t="n">
        <v>45542.8333333333</v>
      </c>
      <c r="D213" s="19" t="n">
        <v>0</v>
      </c>
      <c r="E213" s="18" t="n">
        <v>45543.2083333333</v>
      </c>
      <c r="F213" s="19" t="n">
        <v>0</v>
      </c>
      <c r="G213" s="20" t="n">
        <v>2500</v>
      </c>
      <c r="H213" s="8" t="n">
        <v>8</v>
      </c>
      <c r="I213" s="10" t="n">
        <v>45542</v>
      </c>
      <c r="J213" s="11" t="n">
        <v>0.961747685185405</v>
      </c>
      <c r="K213" s="1" t="str">
        <f aca="false">IF(L213&gt;24,     IF(H213=2,"Couple Extended Day","Extended Day"), IF(L213&lt;=12,     IF(AND(MOD(D213,1)&gt;=TIME(6,0,0),MOD(D213,1)&lt;TIME(18,0,0)),         IF(H213=2,"Couple Half Day","12H Day"),         IF(H213=2,"Couple Half Night","12H Night")), IF(L213&lt;=24,     IF(AND(MOD(D213,1)&gt;=TIME(6,0,0),MOD(D213,1)&lt;TIME(18,0,0)),         IF(H213=2,"Couple Full Day","24H Day"),         IF(H213=2,"Couple Full Night","24H Night")), "Check Data")))</f>
        <v>24H Night</v>
      </c>
      <c r="L213" s="12" t="n">
        <f aca="false">((INT(E213)+MOD(F213,1))-(INT(C213)+MOD(D213,1)))*24</f>
        <v>24</v>
      </c>
      <c r="M213" s="1" t="str">
        <f aca="false">IFERROR(INDEX(Sheet3!$B$2:$B$500,MATCH(1,(INT(C213)+MOD(D213,1)&lt;INT(Sheet3!$A$2:$A$500)+TIME(18,0,0))*(INT(E213)+MOD(F213,1)&gt;=INT(Sheet3!$A$2:$A$500)),0)),0)</f>
        <v>Ganesh Chaturthi</v>
      </c>
      <c r="N213" s="1" t="n">
        <f aca="false">IF(OR( AND(Q213=6,D213&gt;=TIME(17,0,0),OR(K213="12H Night",K213="Couple Half Night",K213="24H Night",K213="Couple Full Night")), AND(Q213=7,D213&gt;=TIME(6,0,0),D213&lt;TIME(12,0,0),OR(K213="12H Day",K213="Couple Half Day",K213="24H Day",K213="Couple Full Day")) ),1,0)</f>
        <v>0</v>
      </c>
      <c r="O213" s="1" t="n">
        <f aca="false">IF(OR( AND(MONTH(C213)=12,DAY(C213)&gt;=26), AND(MONTH(C213)=4,DAY(C213)&gt;=15), MONTH(C213)=5, AND(MONTH(C213)=6,DAY(C213)&lt;=10) ),1,0)</f>
        <v>0</v>
      </c>
      <c r="P213" s="1" t="str">
        <f aca="false">IF(OR(MONTH(C213)=3,MONTH(C213)=4,MONTH(C213)=5,MONTH(C213)=6), "Summer", IF(OR(MONTH(C213)=7,MONTH(C213)=8,MONTH(C213)=9,MONTH(C213)=10), "Monsoon", "Winter"))</f>
        <v>Monsoon</v>
      </c>
      <c r="Q213" s="1" t="n">
        <f aca="false">WEEKDAY(C213,2)</f>
        <v>6</v>
      </c>
      <c r="R213" s="0" t="n">
        <f aca="false">ROUNDDOWN(((INT(C213)+MOD(D213,1))-(INT(I213)+MOD(J213,1))),0)</f>
        <v>-0</v>
      </c>
      <c r="S213" s="10"/>
    </row>
    <row r="214" customFormat="false" ht="192.95" hidden="false" customHeight="false" outlineLevel="0" collapsed="false">
      <c r="A214" s="8" t="s">
        <v>408</v>
      </c>
      <c r="B214" s="22" t="s">
        <v>409</v>
      </c>
      <c r="C214" s="18" t="n">
        <v>45544.375</v>
      </c>
      <c r="D214" s="19" t="n">
        <v>45544.375</v>
      </c>
      <c r="E214" s="18" t="n">
        <v>45544.75</v>
      </c>
      <c r="F214" s="19" t="n">
        <v>45544.75</v>
      </c>
      <c r="G214" s="20" t="n">
        <v>2000</v>
      </c>
      <c r="H214" s="8" t="n">
        <v>2</v>
      </c>
      <c r="I214" s="10" t="n">
        <v>45543</v>
      </c>
      <c r="J214" s="11" t="n">
        <v>0.673275462962917</v>
      </c>
      <c r="K214" s="1" t="str">
        <f aca="false">IF(L214&gt;24,     IF(H214=2,"Couple Extended Day","Extended Day"), IF(L214&lt;=12,     IF(AND(MOD(D214,1)&gt;=TIME(6,0,0),MOD(D214,1)&lt;TIME(18,0,0)),         IF(H214=2,"Couple Half Day","12H Day"),         IF(H214=2,"Couple Half Night","12H Night")), IF(L214&lt;=24,     IF(AND(MOD(D214,1)&gt;=TIME(6,0,0),MOD(D214,1)&lt;TIME(18,0,0)),         IF(H214=2,"Couple Full Day","24H Day"),         IF(H214=2,"Couple Full Night","24H Night")), "Check Data")))</f>
        <v>Couple Half Day</v>
      </c>
      <c r="L214" s="12" t="n">
        <f aca="false">((INT(E214)+MOD(F214,1))-(INT(C214)+MOD(D214,1)))*24</f>
        <v>9</v>
      </c>
      <c r="M214" s="1" t="n">
        <f aca="false">IFERROR(INDEX(Sheet3!$B$2:$B$500,MATCH(1,(INT(C214)+MOD(D214,1)&lt;INT(Sheet3!$A$2:$A$500)+TIME(18,0,0))*(INT(E214)+MOD(F214,1)&gt;=INT(Sheet3!$A$2:$A$500)),0)),0)</f>
        <v>0</v>
      </c>
      <c r="N214" s="1" t="n">
        <f aca="false">IF(OR( AND(Q214=6,D214&gt;=TIME(17,0,0),OR(K214="12H Night",K214="Couple Half Night",K214="24H Night",K214="Couple Full Night")), AND(Q214=7,D214&gt;=TIME(6,0,0),D214&lt;TIME(12,0,0),OR(K214="12H Day",K214="Couple Half Day",K214="24H Day",K214="Couple Full Day")) ),1,0)</f>
        <v>0</v>
      </c>
      <c r="O214" s="1" t="n">
        <f aca="false">IF(OR( AND(MONTH(C214)=12,DAY(C214)&gt;=26), AND(MONTH(C214)=4,DAY(C214)&gt;=15), MONTH(C214)=5, AND(MONTH(C214)=6,DAY(C214)&lt;=10) ),1,0)</f>
        <v>0</v>
      </c>
      <c r="P214" s="1" t="str">
        <f aca="false">IF(OR(MONTH(C214)=3,MONTH(C214)=4,MONTH(C214)=5,MONTH(C214)=6), "Summer", IF(OR(MONTH(C214)=7,MONTH(C214)=8,MONTH(C214)=9,MONTH(C214)=10), "Monsoon", "Winter"))</f>
        <v>Monsoon</v>
      </c>
      <c r="Q214" s="1" t="n">
        <f aca="false">WEEKDAY(C214,2)</f>
        <v>1</v>
      </c>
      <c r="R214" s="0" t="n">
        <f aca="false">ROUNDDOWN(((INT(C214)+MOD(D214,1))-(INT(I214)+MOD(J214,1))),0)</f>
        <v>0</v>
      </c>
      <c r="S214" s="10"/>
    </row>
    <row r="215" customFormat="false" ht="80.75" hidden="false" customHeight="false" outlineLevel="0" collapsed="false">
      <c r="A215" s="8" t="s">
        <v>383</v>
      </c>
      <c r="B215" s="22" t="s">
        <v>410</v>
      </c>
      <c r="C215" s="18" t="n">
        <v>45545.4166666667</v>
      </c>
      <c r="D215" s="19" t="n">
        <v>45545.4166666667</v>
      </c>
      <c r="E215" s="18" t="n">
        <v>45545.6666666667</v>
      </c>
      <c r="F215" s="19" t="n">
        <v>45545.6666666667</v>
      </c>
      <c r="G215" s="20" t="n">
        <v>1000</v>
      </c>
      <c r="H215" s="8" t="n">
        <v>2</v>
      </c>
      <c r="I215" s="10" t="n">
        <v>45544</v>
      </c>
      <c r="J215" s="11" t="n">
        <v>0.526053240741019</v>
      </c>
      <c r="K215" s="1" t="str">
        <f aca="false">IF(L215&gt;24,     IF(H215=2,"Couple Extended Day","Extended Day"), IF(L215&lt;=12,     IF(AND(MOD(D215,1)&gt;=TIME(6,0,0),MOD(D215,1)&lt;TIME(18,0,0)),         IF(H215=2,"Couple Half Day","12H Day"),         IF(H215=2,"Couple Half Night","12H Night")), IF(L215&lt;=24,     IF(AND(MOD(D215,1)&gt;=TIME(6,0,0),MOD(D215,1)&lt;TIME(18,0,0)),         IF(H215=2,"Couple Full Day","24H Day"),         IF(H215=2,"Couple Full Night","24H Night")), "Check Data")))</f>
        <v>Couple Half Day</v>
      </c>
      <c r="L215" s="12" t="n">
        <f aca="false">((INT(E215)+MOD(F215,1))-(INT(C215)+MOD(D215,1)))*24</f>
        <v>6</v>
      </c>
      <c r="M215" s="1" t="n">
        <f aca="false">IFERROR(INDEX(Sheet3!$B$2:$B$500,MATCH(1,(INT(C215)+MOD(D215,1)&lt;INT(Sheet3!$A$2:$A$500)+TIME(18,0,0))*(INT(E215)+MOD(F215,1)&gt;=INT(Sheet3!$A$2:$A$500)),0)),0)</f>
        <v>0</v>
      </c>
      <c r="N215" s="1" t="n">
        <f aca="false">IF(OR( AND(Q215=6,D215&gt;=TIME(17,0,0),OR(K215="12H Night",K215="Couple Half Night",K215="24H Night",K215="Couple Full Night")), AND(Q215=7,D215&gt;=TIME(6,0,0),D215&lt;TIME(12,0,0),OR(K215="12H Day",K215="Couple Half Day",K215="24H Day",K215="Couple Full Day")) ),1,0)</f>
        <v>0</v>
      </c>
      <c r="O215" s="1" t="n">
        <f aca="false">IF(OR( AND(MONTH(C215)=12,DAY(C215)&gt;=26), AND(MONTH(C215)=4,DAY(C215)&gt;=15), MONTH(C215)=5, AND(MONTH(C215)=6,DAY(C215)&lt;=10) ),1,0)</f>
        <v>0</v>
      </c>
      <c r="P215" s="1" t="str">
        <f aca="false">IF(OR(MONTH(C215)=3,MONTH(C215)=4,MONTH(C215)=5,MONTH(C215)=6), "Summer", IF(OR(MONTH(C215)=7,MONTH(C215)=8,MONTH(C215)=9,MONTH(C215)=10), "Monsoon", "Winter"))</f>
        <v>Monsoon</v>
      </c>
      <c r="Q215" s="1" t="n">
        <f aca="false">WEEKDAY(C215,2)</f>
        <v>2</v>
      </c>
      <c r="R215" s="0" t="n">
        <f aca="false">ROUNDDOWN(((INT(C215)+MOD(D215,1))-(INT(I215)+MOD(J215,1))),0)</f>
        <v>0</v>
      </c>
      <c r="S215" s="10"/>
    </row>
    <row r="216" customFormat="false" ht="317.35" hidden="false" customHeight="false" outlineLevel="0" collapsed="false">
      <c r="A216" s="8" t="s">
        <v>411</v>
      </c>
      <c r="B216" s="22" t="s">
        <v>412</v>
      </c>
      <c r="C216" s="18" t="n">
        <v>45547.25</v>
      </c>
      <c r="D216" s="19" t="n">
        <v>45547.25</v>
      </c>
      <c r="E216" s="18" t="n">
        <v>45547.625</v>
      </c>
      <c r="F216" s="19" t="n">
        <v>45547.625</v>
      </c>
      <c r="G216" s="20" t="n">
        <v>1500</v>
      </c>
      <c r="H216" s="8" t="n">
        <v>3</v>
      </c>
      <c r="I216" s="10" t="n">
        <v>45546</v>
      </c>
      <c r="J216" s="11" t="n">
        <v>0.676550925927581</v>
      </c>
      <c r="K216" s="1" t="str">
        <f aca="false">IF(L216&gt;24,     IF(H216=2,"Couple Extended Day","Extended Day"), IF(L216&lt;=12,     IF(AND(MOD(D216,1)&gt;=TIME(6,0,0),MOD(D216,1)&lt;TIME(18,0,0)),         IF(H216=2,"Couple Half Day","12H Day"),         IF(H216=2,"Couple Half Night","12H Night")), IF(L216&lt;=24,     IF(AND(MOD(D216,1)&gt;=TIME(6,0,0),MOD(D216,1)&lt;TIME(18,0,0)),         IF(H216=2,"Couple Full Day","24H Day"),         IF(H216=2,"Couple Full Night","24H Night")), "Check Data")))</f>
        <v>12H Day</v>
      </c>
      <c r="L216" s="12" t="n">
        <f aca="false">((INT(E216)+MOD(F216,1))-(INT(C216)+MOD(D216,1)))*24</f>
        <v>9</v>
      </c>
      <c r="M216" s="1" t="n">
        <f aca="false">IFERROR(INDEX(Sheet3!$B$2:$B$500,MATCH(1,(INT(C216)+MOD(D216,1)&lt;INT(Sheet3!$A$2:$A$500)+TIME(18,0,0))*(INT(E216)+MOD(F216,1)&gt;=INT(Sheet3!$A$2:$A$500)),0)),0)</f>
        <v>0</v>
      </c>
      <c r="N216" s="1" t="n">
        <f aca="false">IF(OR( AND(Q216=6,D216&gt;=TIME(17,0,0),OR(K216="12H Night",K216="Couple Half Night",K216="24H Night",K216="Couple Full Night")), AND(Q216=7,D216&gt;=TIME(6,0,0),D216&lt;TIME(12,0,0),OR(K216="12H Day",K216="Couple Half Day",K216="24H Day",K216="Couple Full Day")) ),1,0)</f>
        <v>0</v>
      </c>
      <c r="O216" s="1" t="n">
        <f aca="false">IF(OR( AND(MONTH(C216)=12,DAY(C216)&gt;=26), AND(MONTH(C216)=4,DAY(C216)&gt;=15), MONTH(C216)=5, AND(MONTH(C216)=6,DAY(C216)&lt;=10) ),1,0)</f>
        <v>0</v>
      </c>
      <c r="P216" s="1" t="str">
        <f aca="false">IF(OR(MONTH(C216)=3,MONTH(C216)=4,MONTH(C216)=5,MONTH(C216)=6), "Summer", IF(OR(MONTH(C216)=7,MONTH(C216)=8,MONTH(C216)=9,MONTH(C216)=10), "Monsoon", "Winter"))</f>
        <v>Monsoon</v>
      </c>
      <c r="Q216" s="1" t="n">
        <f aca="false">WEEKDAY(C216,2)</f>
        <v>4</v>
      </c>
      <c r="R216" s="0" t="n">
        <f aca="false">ROUNDDOWN(((INT(C216)+MOD(D216,1))-(INT(I216)+MOD(J216,1))),0)</f>
        <v>0</v>
      </c>
      <c r="S216" s="10"/>
    </row>
    <row r="217" customFormat="false" ht="192.95" hidden="false" customHeight="false" outlineLevel="0" collapsed="false">
      <c r="A217" s="8" t="s">
        <v>413</v>
      </c>
      <c r="B217" s="22" t="s">
        <v>414</v>
      </c>
      <c r="C217" s="18" t="n">
        <v>45548.4583333333</v>
      </c>
      <c r="D217" s="19" t="n">
        <v>0</v>
      </c>
      <c r="E217" s="18" t="n">
        <v>45548.7083333333</v>
      </c>
      <c r="F217" s="19" t="n">
        <v>0</v>
      </c>
      <c r="G217" s="20" t="n">
        <v>1500</v>
      </c>
      <c r="H217" s="8" t="n">
        <v>2</v>
      </c>
      <c r="I217" s="10" t="n">
        <v>45548</v>
      </c>
      <c r="J217" s="11" t="n">
        <v>0.408530092594444</v>
      </c>
      <c r="K217" s="1" t="str">
        <f aca="false">IF(L217&gt;24,     IF(H217=2,"Couple Extended Day","Extended Day"), IF(L217&lt;=12,     IF(AND(MOD(D217,1)&gt;=TIME(6,0,0),MOD(D217,1)&lt;TIME(18,0,0)),         IF(H217=2,"Couple Half Day","12H Day"),         IF(H217=2,"Couple Half Night","12H Night")), IF(L217&lt;=24,     IF(AND(MOD(D217,1)&gt;=TIME(6,0,0),MOD(D217,1)&lt;TIME(18,0,0)),         IF(H217=2,"Couple Full Day","24H Day"),         IF(H217=2,"Couple Full Night","24H Night")), "Check Data")))</f>
        <v>Couple Half Night</v>
      </c>
      <c r="L217" s="12" t="n">
        <f aca="false">((INT(E217)+MOD(F217,1))-(INT(C217)+MOD(D217,1)))*24</f>
        <v>0</v>
      </c>
      <c r="M217" s="1" t="n">
        <f aca="false">IFERROR(INDEX(Sheet3!$B$2:$B$500,MATCH(1,(INT(C217)+MOD(D217,1)&lt;INT(Sheet3!$A$2:$A$500)+TIME(18,0,0))*(INT(E217)+MOD(F217,1)&gt;=INT(Sheet3!$A$2:$A$500)),0)),0)</f>
        <v>0</v>
      </c>
      <c r="N217" s="1" t="n">
        <f aca="false">IF(OR( AND(Q217=6,D217&gt;=TIME(17,0,0),OR(K217="12H Night",K217="Couple Half Night",K217="24H Night",K217="Couple Full Night")), AND(Q217=7,D217&gt;=TIME(6,0,0),D217&lt;TIME(12,0,0),OR(K217="12H Day",K217="Couple Half Day",K217="24H Day",K217="Couple Full Day")) ),1,0)</f>
        <v>0</v>
      </c>
      <c r="O217" s="1" t="n">
        <f aca="false">IF(OR( AND(MONTH(C217)=12,DAY(C217)&gt;=26), AND(MONTH(C217)=4,DAY(C217)&gt;=15), MONTH(C217)=5, AND(MONTH(C217)=6,DAY(C217)&lt;=10) ),1,0)</f>
        <v>0</v>
      </c>
      <c r="P217" s="1" t="str">
        <f aca="false">IF(OR(MONTH(C217)=3,MONTH(C217)=4,MONTH(C217)=5,MONTH(C217)=6), "Summer", IF(OR(MONTH(C217)=7,MONTH(C217)=8,MONTH(C217)=9,MONTH(C217)=10), "Monsoon", "Winter"))</f>
        <v>Monsoon</v>
      </c>
      <c r="Q217" s="1" t="n">
        <f aca="false">WEEKDAY(C217,2)</f>
        <v>5</v>
      </c>
      <c r="R217" s="0" t="n">
        <f aca="false">ROUNDDOWN(((INT(C217)+MOD(D217,1))-(INT(I217)+MOD(J217,1))),0)</f>
        <v>-0</v>
      </c>
      <c r="S217" s="10"/>
    </row>
    <row r="218" customFormat="false" ht="192.95" hidden="false" customHeight="false" outlineLevel="0" collapsed="false">
      <c r="A218" s="8" t="s">
        <v>268</v>
      </c>
      <c r="B218" s="22" t="s">
        <v>415</v>
      </c>
      <c r="C218" s="18" t="n">
        <v>45548.8333333333</v>
      </c>
      <c r="D218" s="19" t="n">
        <v>0</v>
      </c>
      <c r="E218" s="18" t="n">
        <v>45549.3333333333</v>
      </c>
      <c r="F218" s="19" t="n">
        <v>0</v>
      </c>
      <c r="G218" s="20" t="n">
        <v>2500</v>
      </c>
      <c r="H218" s="8" t="n">
        <v>5</v>
      </c>
      <c r="I218" s="10" t="n">
        <v>45546</v>
      </c>
      <c r="J218" s="11" t="n">
        <v>0.620983796296053</v>
      </c>
      <c r="K218" s="1" t="str">
        <f aca="false">IF(L218&gt;24,     IF(H218=2,"Couple Extended Day","Extended Day"), IF(L218&lt;=12,     IF(AND(MOD(D218,1)&gt;=TIME(6,0,0),MOD(D218,1)&lt;TIME(18,0,0)),         IF(H218=2,"Couple Half Day","12H Day"),         IF(H218=2,"Couple Half Night","12H Night")), IF(L218&lt;=24,     IF(AND(MOD(D218,1)&gt;=TIME(6,0,0),MOD(D218,1)&lt;TIME(18,0,0)),         IF(H218=2,"Couple Full Day","24H Day"),         IF(H218=2,"Couple Full Night","24H Night")), "Check Data")))</f>
        <v>24H Night</v>
      </c>
      <c r="L218" s="12" t="n">
        <f aca="false">((INT(E218)+MOD(F218,1))-(INT(C218)+MOD(D218,1)))*24</f>
        <v>24</v>
      </c>
      <c r="M218" s="1" t="n">
        <f aca="false">IFERROR(INDEX(Sheet3!$B$2:$B$500,MATCH(1,(INT(C218)+MOD(D218,1)&lt;INT(Sheet3!$A$2:$A$500)+TIME(18,0,0))*(INT(E218)+MOD(F218,1)&gt;=INT(Sheet3!$A$2:$A$500)),0)),0)</f>
        <v>0</v>
      </c>
      <c r="N218" s="1" t="n">
        <f aca="false">IF(OR( AND(Q218=6,D218&gt;=TIME(17,0,0),OR(K218="12H Night",K218="Couple Half Night",K218="24H Night",K218="Couple Full Night")), AND(Q218=7,D218&gt;=TIME(6,0,0),D218&lt;TIME(12,0,0),OR(K218="12H Day",K218="Couple Half Day",K218="24H Day",K218="Couple Full Day")) ),1,0)</f>
        <v>0</v>
      </c>
      <c r="O218" s="1" t="n">
        <f aca="false">IF(OR( AND(MONTH(C218)=12,DAY(C218)&gt;=26), AND(MONTH(C218)=4,DAY(C218)&gt;=15), MONTH(C218)=5, AND(MONTH(C218)=6,DAY(C218)&lt;=10) ),1,0)</f>
        <v>0</v>
      </c>
      <c r="P218" s="1" t="str">
        <f aca="false">IF(OR(MONTH(C218)=3,MONTH(C218)=4,MONTH(C218)=5,MONTH(C218)=6), "Summer", IF(OR(MONTH(C218)=7,MONTH(C218)=8,MONTH(C218)=9,MONTH(C218)=10), "Monsoon", "Winter"))</f>
        <v>Monsoon</v>
      </c>
      <c r="Q218" s="1" t="n">
        <f aca="false">WEEKDAY(C218,2)</f>
        <v>5</v>
      </c>
      <c r="R218" s="0" t="n">
        <f aca="false">ROUNDDOWN(((INT(C218)+MOD(D218,1))-(INT(I218)+MOD(J218,1))),0)</f>
        <v>1</v>
      </c>
      <c r="S218" s="10"/>
    </row>
    <row r="219" customFormat="false" ht="192.95" hidden="false" customHeight="false" outlineLevel="0" collapsed="false">
      <c r="A219" s="8" t="s">
        <v>416</v>
      </c>
      <c r="B219" s="22" t="s">
        <v>417</v>
      </c>
      <c r="C219" s="18" t="n">
        <v>45549.8333333333</v>
      </c>
      <c r="D219" s="19" t="n">
        <v>0</v>
      </c>
      <c r="E219" s="18" t="n">
        <v>45550.3333333333</v>
      </c>
      <c r="F219" s="19" t="n">
        <v>0</v>
      </c>
      <c r="G219" s="20" t="n">
        <v>2800</v>
      </c>
      <c r="H219" s="8" t="n">
        <v>8</v>
      </c>
      <c r="I219" s="10" t="n">
        <v>45548</v>
      </c>
      <c r="J219" s="11" t="n">
        <v>0.465462962965833</v>
      </c>
      <c r="K219" s="1" t="str">
        <f aca="false">IF(L219&gt;24,     IF(H219=2,"Couple Extended Day","Extended Day"), IF(L219&lt;=12,     IF(AND(MOD(D219,1)&gt;=TIME(6,0,0),MOD(D219,1)&lt;TIME(18,0,0)),         IF(H219=2,"Couple Half Day","12H Day"),         IF(H219=2,"Couple Half Night","12H Night")), IF(L219&lt;=24,     IF(AND(MOD(D219,1)&gt;=TIME(6,0,0),MOD(D219,1)&lt;TIME(18,0,0)),         IF(H219=2,"Couple Full Day","24H Day"),         IF(H219=2,"Couple Full Night","24H Night")), "Check Data")))</f>
        <v>24H Night</v>
      </c>
      <c r="L219" s="12" t="n">
        <f aca="false">((INT(E219)+MOD(F219,1))-(INT(C219)+MOD(D219,1)))*24</f>
        <v>24</v>
      </c>
      <c r="M219" s="1" t="n">
        <f aca="false">IFERROR(INDEX(Sheet3!$B$2:$B$500,MATCH(1,(INT(C219)+MOD(D219,1)&lt;INT(Sheet3!$A$2:$A$500)+TIME(18,0,0))*(INT(E219)+MOD(F219,1)&gt;=INT(Sheet3!$A$2:$A$500)),0)),0)</f>
        <v>0</v>
      </c>
      <c r="N219" s="1" t="n">
        <f aca="false">IF(OR( AND(Q219=6,D219&gt;=TIME(17,0,0),OR(K219="12H Night",K219="Couple Half Night",K219="24H Night",K219="Couple Full Night")), AND(Q219=7,D219&gt;=TIME(6,0,0),D219&lt;TIME(12,0,0),OR(K219="12H Day",K219="Couple Half Day",K219="24H Day",K219="Couple Full Day")) ),1,0)</f>
        <v>0</v>
      </c>
      <c r="O219" s="1" t="n">
        <f aca="false">IF(OR( AND(MONTH(C219)=12,DAY(C219)&gt;=26), AND(MONTH(C219)=4,DAY(C219)&gt;=15), MONTH(C219)=5, AND(MONTH(C219)=6,DAY(C219)&lt;=10) ),1,0)</f>
        <v>0</v>
      </c>
      <c r="P219" s="1" t="str">
        <f aca="false">IF(OR(MONTH(C219)=3,MONTH(C219)=4,MONTH(C219)=5,MONTH(C219)=6), "Summer", IF(OR(MONTH(C219)=7,MONTH(C219)=8,MONTH(C219)=9,MONTH(C219)=10), "Monsoon", "Winter"))</f>
        <v>Monsoon</v>
      </c>
      <c r="Q219" s="1" t="n">
        <f aca="false">WEEKDAY(C219,2)</f>
        <v>6</v>
      </c>
      <c r="R219" s="0" t="n">
        <f aca="false">ROUNDDOWN(((INT(C219)+MOD(D219,1))-(INT(I219)+MOD(J219,1))),0)</f>
        <v>0</v>
      </c>
      <c r="S219" s="10"/>
    </row>
    <row r="220" customFormat="false" ht="192.95" hidden="false" customHeight="false" outlineLevel="0" collapsed="false">
      <c r="A220" s="8" t="s">
        <v>418</v>
      </c>
      <c r="B220" s="22" t="s">
        <v>419</v>
      </c>
      <c r="C220" s="18" t="n">
        <v>45552.375</v>
      </c>
      <c r="D220" s="19" t="n">
        <v>45552.375</v>
      </c>
      <c r="E220" s="18" t="n">
        <v>45552.75</v>
      </c>
      <c r="F220" s="19" t="n">
        <v>45552.75</v>
      </c>
      <c r="G220" s="20" t="n">
        <v>2200</v>
      </c>
      <c r="H220" s="8" t="n">
        <v>4</v>
      </c>
      <c r="I220" s="10" t="n">
        <v>45551</v>
      </c>
      <c r="J220" s="11" t="n">
        <v>0.388148148151227</v>
      </c>
      <c r="K220" s="1" t="str">
        <f aca="false">IF(L220&gt;24,     IF(H220=2,"Couple Extended Day","Extended Day"), IF(L220&lt;=12,     IF(AND(MOD(D220,1)&gt;=TIME(6,0,0),MOD(D220,1)&lt;TIME(18,0,0)),         IF(H220=2,"Couple Half Day","12H Day"),         IF(H220=2,"Couple Half Night","12H Night")), IF(L220&lt;=24,     IF(AND(MOD(D220,1)&gt;=TIME(6,0,0),MOD(D220,1)&lt;TIME(18,0,0)),         IF(H220=2,"Couple Full Day","24H Day"),         IF(H220=2,"Couple Full Night","24H Night")), "Check Data")))</f>
        <v>12H Day</v>
      </c>
      <c r="L220" s="12" t="n">
        <f aca="false">((INT(E220)+MOD(F220,1))-(INT(C220)+MOD(D220,1)))*24</f>
        <v>9</v>
      </c>
      <c r="M220" s="1" t="n">
        <f aca="false">IFERROR(INDEX(Sheet3!$B$2:$B$500,MATCH(1,(INT(C220)+MOD(D220,1)&lt;INT(Sheet3!$A$2:$A$500)+TIME(18,0,0))*(INT(E220)+MOD(F220,1)&gt;=INT(Sheet3!$A$2:$A$500)),0)),0)</f>
        <v>0</v>
      </c>
      <c r="N220" s="1" t="n">
        <f aca="false">IF(OR( AND(Q220=6,D220&gt;=TIME(17,0,0),OR(K220="12H Night",K220="Couple Half Night",K220="24H Night",K220="Couple Full Night")), AND(Q220=7,D220&gt;=TIME(6,0,0),D220&lt;TIME(12,0,0),OR(K220="12H Day",K220="Couple Half Day",K220="24H Day",K220="Couple Full Day")) ),1,0)</f>
        <v>0</v>
      </c>
      <c r="O220" s="1" t="n">
        <f aca="false">IF(OR( AND(MONTH(C220)=12,DAY(C220)&gt;=26), AND(MONTH(C220)=4,DAY(C220)&gt;=15), MONTH(C220)=5, AND(MONTH(C220)=6,DAY(C220)&lt;=10) ),1,0)</f>
        <v>0</v>
      </c>
      <c r="P220" s="1" t="str">
        <f aca="false">IF(OR(MONTH(C220)=3,MONTH(C220)=4,MONTH(C220)=5,MONTH(C220)=6), "Summer", IF(OR(MONTH(C220)=7,MONTH(C220)=8,MONTH(C220)=9,MONTH(C220)=10), "Monsoon", "Winter"))</f>
        <v>Monsoon</v>
      </c>
      <c r="Q220" s="1" t="n">
        <f aca="false">WEEKDAY(C220,2)</f>
        <v>2</v>
      </c>
      <c r="R220" s="0" t="n">
        <f aca="false">ROUNDDOWN(((INT(C220)+MOD(D220,1))-(INT(I220)+MOD(J220,1))),0)</f>
        <v>0</v>
      </c>
      <c r="S220" s="10"/>
    </row>
    <row r="221" customFormat="false" ht="192.95" hidden="false" customHeight="false" outlineLevel="0" collapsed="false">
      <c r="A221" s="8" t="s">
        <v>420</v>
      </c>
      <c r="B221" s="22" t="s">
        <v>421</v>
      </c>
      <c r="C221" s="18" t="n">
        <v>45554.375</v>
      </c>
      <c r="D221" s="19" t="n">
        <v>45554.375</v>
      </c>
      <c r="E221" s="18" t="n">
        <v>45554.75</v>
      </c>
      <c r="F221" s="19" t="n">
        <v>45554.75</v>
      </c>
      <c r="G221" s="20" t="n">
        <v>2500</v>
      </c>
      <c r="H221" s="8" t="n">
        <v>5</v>
      </c>
      <c r="I221" s="10" t="n">
        <v>45552</v>
      </c>
      <c r="J221" s="11" t="n">
        <v>0.672546296293148</v>
      </c>
      <c r="K221" s="1" t="str">
        <f aca="false">IF(L221&gt;24,     IF(H221=2,"Couple Extended Day","Extended Day"), IF(L221&lt;=12,     IF(AND(MOD(D221,1)&gt;=TIME(6,0,0),MOD(D221,1)&lt;TIME(18,0,0)),         IF(H221=2,"Couple Half Day","12H Day"),         IF(H221=2,"Couple Half Night","12H Night")), IF(L221&lt;=24,     IF(AND(MOD(D221,1)&gt;=TIME(6,0,0),MOD(D221,1)&lt;TIME(18,0,0)),         IF(H221=2,"Couple Full Day","24H Day"),         IF(H221=2,"Couple Full Night","24H Night")), "Check Data")))</f>
        <v>12H Day</v>
      </c>
      <c r="L221" s="12" t="n">
        <f aca="false">((INT(E221)+MOD(F221,1))-(INT(C221)+MOD(D221,1)))*24</f>
        <v>9</v>
      </c>
      <c r="M221" s="1" t="n">
        <f aca="false">IFERROR(INDEX(Sheet3!$B$2:$B$500,MATCH(1,(INT(C221)+MOD(D221,1)&lt;INT(Sheet3!$A$2:$A$500)+TIME(18,0,0))*(INT(E221)+MOD(F221,1)&gt;=INT(Sheet3!$A$2:$A$500)),0)),0)</f>
        <v>0</v>
      </c>
      <c r="N221" s="1" t="n">
        <f aca="false">IF(OR( AND(Q221=6,D221&gt;=TIME(17,0,0),OR(K221="12H Night",K221="Couple Half Night",K221="24H Night",K221="Couple Full Night")), AND(Q221=7,D221&gt;=TIME(6,0,0),D221&lt;TIME(12,0,0),OR(K221="12H Day",K221="Couple Half Day",K221="24H Day",K221="Couple Full Day")) ),1,0)</f>
        <v>0</v>
      </c>
      <c r="O221" s="1" t="n">
        <f aca="false">IF(OR( AND(MONTH(C221)=12,DAY(C221)&gt;=26), AND(MONTH(C221)=4,DAY(C221)&gt;=15), MONTH(C221)=5, AND(MONTH(C221)=6,DAY(C221)&lt;=10) ),1,0)</f>
        <v>0</v>
      </c>
      <c r="P221" s="1" t="str">
        <f aca="false">IF(OR(MONTH(C221)=3,MONTH(C221)=4,MONTH(C221)=5,MONTH(C221)=6), "Summer", IF(OR(MONTH(C221)=7,MONTH(C221)=8,MONTH(C221)=9,MONTH(C221)=10), "Monsoon", "Winter"))</f>
        <v>Monsoon</v>
      </c>
      <c r="Q221" s="1" t="n">
        <f aca="false">WEEKDAY(C221,2)</f>
        <v>4</v>
      </c>
      <c r="R221" s="0" t="n">
        <f aca="false">ROUNDDOWN(((INT(C221)+MOD(D221,1))-(INT(I221)+MOD(J221,1))),0)</f>
        <v>1</v>
      </c>
      <c r="S221" s="10"/>
    </row>
    <row r="222" customFormat="false" ht="204.9" hidden="false" customHeight="false" outlineLevel="0" collapsed="false">
      <c r="A222" s="8" t="s">
        <v>422</v>
      </c>
      <c r="B222" s="22" t="s">
        <v>423</v>
      </c>
      <c r="C222" s="18" t="n">
        <v>45555.375</v>
      </c>
      <c r="D222" s="19" t="n">
        <v>45555.375</v>
      </c>
      <c r="E222" s="18" t="n">
        <v>45555.75</v>
      </c>
      <c r="F222" s="19" t="n">
        <v>45555.75</v>
      </c>
      <c r="G222" s="20" t="n">
        <v>1500</v>
      </c>
      <c r="H222" s="8" t="n">
        <v>2</v>
      </c>
      <c r="I222" s="10" t="n">
        <v>45553</v>
      </c>
      <c r="J222" s="11" t="n">
        <v>0.823414351849352</v>
      </c>
      <c r="K222" s="1" t="str">
        <f aca="false">IF(L222&gt;24,     IF(H222=2,"Couple Extended Day","Extended Day"), IF(L222&lt;=12,     IF(AND(MOD(D222,1)&gt;=TIME(6,0,0),MOD(D222,1)&lt;TIME(18,0,0)),         IF(H222=2,"Couple Half Day","12H Day"),         IF(H222=2,"Couple Half Night","12H Night")), IF(L222&lt;=24,     IF(AND(MOD(D222,1)&gt;=TIME(6,0,0),MOD(D222,1)&lt;TIME(18,0,0)),         IF(H222=2,"Couple Full Day","24H Day"),         IF(H222=2,"Couple Full Night","24H Night")), "Check Data")))</f>
        <v>Couple Half Day</v>
      </c>
      <c r="L222" s="12" t="n">
        <f aca="false">((INT(E222)+MOD(F222,1))-(INT(C222)+MOD(D222,1)))*24</f>
        <v>9</v>
      </c>
      <c r="M222" s="1" t="n">
        <f aca="false">IFERROR(INDEX(Sheet3!$B$2:$B$500,MATCH(1,(INT(C222)+MOD(D222,1)&lt;INT(Sheet3!$A$2:$A$500)+TIME(18,0,0))*(INT(E222)+MOD(F222,1)&gt;=INT(Sheet3!$A$2:$A$500)),0)),0)</f>
        <v>0</v>
      </c>
      <c r="N222" s="1" t="n">
        <f aca="false">IF(OR( AND(Q222=6,D222&gt;=TIME(17,0,0),OR(K222="12H Night",K222="Couple Half Night",K222="24H Night",K222="Couple Full Night")), AND(Q222=7,D222&gt;=TIME(6,0,0),D222&lt;TIME(12,0,0),OR(K222="12H Day",K222="Couple Half Day",K222="24H Day",K222="Couple Full Day")) ),1,0)</f>
        <v>0</v>
      </c>
      <c r="O222" s="1" t="n">
        <f aca="false">IF(OR( AND(MONTH(C222)=12,DAY(C222)&gt;=26), AND(MONTH(C222)=4,DAY(C222)&gt;=15), MONTH(C222)=5, AND(MONTH(C222)=6,DAY(C222)&lt;=10) ),1,0)</f>
        <v>0</v>
      </c>
      <c r="P222" s="1" t="str">
        <f aca="false">IF(OR(MONTH(C222)=3,MONTH(C222)=4,MONTH(C222)=5,MONTH(C222)=6), "Summer", IF(OR(MONTH(C222)=7,MONTH(C222)=8,MONTH(C222)=9,MONTH(C222)=10), "Monsoon", "Winter"))</f>
        <v>Monsoon</v>
      </c>
      <c r="Q222" s="1" t="n">
        <f aca="false">WEEKDAY(C222,2)</f>
        <v>5</v>
      </c>
      <c r="R222" s="0" t="n">
        <f aca="false">ROUNDDOWN(((INT(C222)+MOD(D222,1))-(INT(I222)+MOD(J222,1))),0)</f>
        <v>1</v>
      </c>
      <c r="S222" s="10"/>
    </row>
    <row r="223" customFormat="false" ht="204.9" hidden="false" customHeight="false" outlineLevel="0" collapsed="false">
      <c r="A223" s="8" t="s">
        <v>424</v>
      </c>
      <c r="B223" s="22" t="s">
        <v>425</v>
      </c>
      <c r="C223" s="18" t="n">
        <v>45556.375</v>
      </c>
      <c r="D223" s="19" t="n">
        <v>45556.375</v>
      </c>
      <c r="E223" s="18" t="n">
        <v>45556.75</v>
      </c>
      <c r="F223" s="19" t="n">
        <v>45556.75</v>
      </c>
      <c r="G223" s="20" t="n">
        <v>1500</v>
      </c>
      <c r="H223" s="8" t="n">
        <v>2</v>
      </c>
      <c r="I223" s="10" t="n">
        <v>45553</v>
      </c>
      <c r="J223" s="11" t="n">
        <v>0.43760416666919</v>
      </c>
      <c r="K223" s="1" t="str">
        <f aca="false">IF(L223&gt;24,     IF(H223=2,"Couple Extended Day","Extended Day"), IF(L223&lt;=12,     IF(AND(MOD(D223,1)&gt;=TIME(6,0,0),MOD(D223,1)&lt;TIME(18,0,0)),         IF(H223=2,"Couple Half Day","12H Day"),         IF(H223=2,"Couple Half Night","12H Night")), IF(L223&lt;=24,     IF(AND(MOD(D223,1)&gt;=TIME(6,0,0),MOD(D223,1)&lt;TIME(18,0,0)),         IF(H223=2,"Couple Full Day","24H Day"),         IF(H223=2,"Couple Full Night","24H Night")), "Check Data")))</f>
        <v>Couple Half Day</v>
      </c>
      <c r="L223" s="12" t="n">
        <f aca="false">((INT(E223)+MOD(F223,1))-(INT(C223)+MOD(D223,1)))*24</f>
        <v>9</v>
      </c>
      <c r="M223" s="1" t="n">
        <f aca="false">IFERROR(INDEX(Sheet3!$B$2:$B$500,MATCH(1,(INT(C223)+MOD(D223,1)&lt;INT(Sheet3!$A$2:$A$500)+TIME(18,0,0))*(INT(E223)+MOD(F223,1)&gt;=INT(Sheet3!$A$2:$A$500)),0)),0)</f>
        <v>0</v>
      </c>
      <c r="N223" s="1" t="n">
        <f aca="false">IF(OR( AND(Q223=6,D223&gt;=TIME(17,0,0),OR(K223="12H Night",K223="Couple Half Night",K223="24H Night",K223="Couple Full Night")), AND(Q223=7,D223&gt;=TIME(6,0,0),D223&lt;TIME(12,0,0),OR(K223="12H Day",K223="Couple Half Day",K223="24H Day",K223="Couple Full Day")) ),1,0)</f>
        <v>0</v>
      </c>
      <c r="O223" s="1" t="n">
        <f aca="false">IF(OR( AND(MONTH(C223)=12,DAY(C223)&gt;=26), AND(MONTH(C223)=4,DAY(C223)&gt;=15), MONTH(C223)=5, AND(MONTH(C223)=6,DAY(C223)&lt;=10) ),1,0)</f>
        <v>0</v>
      </c>
      <c r="P223" s="1" t="str">
        <f aca="false">IF(OR(MONTH(C223)=3,MONTH(C223)=4,MONTH(C223)=5,MONTH(C223)=6), "Summer", IF(OR(MONTH(C223)=7,MONTH(C223)=8,MONTH(C223)=9,MONTH(C223)=10), "Monsoon", "Winter"))</f>
        <v>Monsoon</v>
      </c>
      <c r="Q223" s="1" t="n">
        <f aca="false">WEEKDAY(C223,2)</f>
        <v>6</v>
      </c>
      <c r="R223" s="0" t="n">
        <f aca="false">ROUNDDOWN(((INT(C223)+MOD(D223,1))-(INT(I223)+MOD(J223,1))),0)</f>
        <v>2</v>
      </c>
      <c r="S223" s="10"/>
    </row>
    <row r="224" customFormat="false" ht="192.95" hidden="false" customHeight="false" outlineLevel="0" collapsed="false">
      <c r="A224" s="8" t="s">
        <v>426</v>
      </c>
      <c r="B224" s="22" t="s">
        <v>427</v>
      </c>
      <c r="C224" s="18" t="n">
        <v>45557.4166666667</v>
      </c>
      <c r="D224" s="19" t="n">
        <v>45557.4166666667</v>
      </c>
      <c r="E224" s="18" t="n">
        <v>45557.875</v>
      </c>
      <c r="F224" s="19" t="n">
        <v>45557.875</v>
      </c>
      <c r="G224" s="20" t="n">
        <v>3500</v>
      </c>
      <c r="H224" s="8" t="n">
        <v>8</v>
      </c>
      <c r="I224" s="10" t="n">
        <v>45543</v>
      </c>
      <c r="J224" s="11" t="n">
        <v>0.580000000001748</v>
      </c>
      <c r="K224" s="1" t="str">
        <f aca="false">IF(L224&gt;24,     IF(H224=2,"Couple Extended Day","Extended Day"), IF(L224&lt;=12,     IF(AND(MOD(D224,1)&gt;=TIME(6,0,0),MOD(D224,1)&lt;TIME(18,0,0)),         IF(H224=2,"Couple Half Day","12H Day"),         IF(H224=2,"Couple Half Night","12H Night")), IF(L224&lt;=24,     IF(AND(MOD(D224,1)&gt;=TIME(6,0,0),MOD(D224,1)&lt;TIME(18,0,0)),         IF(H224=2,"Couple Full Day","24H Day"),         IF(H224=2,"Couple Full Night","24H Night")), "Check Data")))</f>
        <v>12H Day</v>
      </c>
      <c r="L224" s="12" t="n">
        <f aca="false">((INT(E224)+MOD(F224,1))-(INT(C224)+MOD(D224,1)))*24</f>
        <v>10.9999999990105</v>
      </c>
      <c r="M224" s="1" t="n">
        <f aca="false">IFERROR(INDEX(Sheet3!$B$2:$B$500,MATCH(1,(INT(C224)+MOD(D224,1)&lt;INT(Sheet3!$A$2:$A$500)+TIME(18,0,0))*(INT(E224)+MOD(F224,1)&gt;=INT(Sheet3!$A$2:$A$500)),0)),0)</f>
        <v>0</v>
      </c>
      <c r="N224" s="1" t="n">
        <f aca="false">IF(OR( AND(Q224=6,D224&gt;=TIME(17,0,0),OR(K224="12H Night",K224="Couple Half Night",K224="24H Night",K224="Couple Full Night")), AND(Q224=7,D224&gt;=TIME(6,0,0),D224&lt;TIME(12,0,0),OR(K224="12H Day",K224="Couple Half Day",K224="24H Day",K224="Couple Full Day")) ),1,0)</f>
        <v>0</v>
      </c>
      <c r="O224" s="1" t="n">
        <f aca="false">IF(OR( AND(MONTH(C224)=12,DAY(C224)&gt;=26), AND(MONTH(C224)=4,DAY(C224)&gt;=15), MONTH(C224)=5, AND(MONTH(C224)=6,DAY(C224)&lt;=10) ),1,0)</f>
        <v>0</v>
      </c>
      <c r="P224" s="1" t="str">
        <f aca="false">IF(OR(MONTH(C224)=3,MONTH(C224)=4,MONTH(C224)=5,MONTH(C224)=6), "Summer", IF(OR(MONTH(C224)=7,MONTH(C224)=8,MONTH(C224)=9,MONTH(C224)=10), "Monsoon", "Winter"))</f>
        <v>Monsoon</v>
      </c>
      <c r="Q224" s="1" t="n">
        <f aca="false">WEEKDAY(C224,2)</f>
        <v>7</v>
      </c>
      <c r="R224" s="0" t="n">
        <f aca="false">ROUNDDOWN(((INT(C224)+MOD(D224,1))-(INT(I224)+MOD(J224,1))),0)</f>
        <v>13</v>
      </c>
      <c r="S224" s="10"/>
    </row>
    <row r="225" customFormat="false" ht="192.95" hidden="false" customHeight="false" outlineLevel="0" collapsed="false">
      <c r="A225" s="8" t="s">
        <v>428</v>
      </c>
      <c r="B225" s="22" t="s">
        <v>429</v>
      </c>
      <c r="C225" s="18" t="n">
        <v>45559.375</v>
      </c>
      <c r="D225" s="19" t="n">
        <v>45559.375</v>
      </c>
      <c r="E225" s="18" t="n">
        <v>45559.75</v>
      </c>
      <c r="F225" s="19" t="n">
        <v>45559.75</v>
      </c>
      <c r="G225" s="20" t="n">
        <v>2000</v>
      </c>
      <c r="H225" s="8" t="n">
        <v>4</v>
      </c>
      <c r="I225" s="10" t="n">
        <v>45553</v>
      </c>
      <c r="J225" s="11" t="n">
        <v>0.868611111116482</v>
      </c>
      <c r="K225" s="1" t="str">
        <f aca="false">IF(L225&gt;24,     IF(H225=2,"Couple Extended Day","Extended Day"), IF(L225&lt;=12,     IF(AND(MOD(D225,1)&gt;=TIME(6,0,0),MOD(D225,1)&lt;TIME(18,0,0)),         IF(H225=2,"Couple Half Day","12H Day"),         IF(H225=2,"Couple Half Night","12H Night")), IF(L225&lt;=24,     IF(AND(MOD(D225,1)&gt;=TIME(6,0,0),MOD(D225,1)&lt;TIME(18,0,0)),         IF(H225=2,"Couple Full Day","24H Day"),         IF(H225=2,"Couple Full Night","24H Night")), "Check Data")))</f>
        <v>12H Day</v>
      </c>
      <c r="L225" s="12" t="n">
        <f aca="false">((INT(E225)+MOD(F225,1))-(INT(C225)+MOD(D225,1)))*24</f>
        <v>9</v>
      </c>
      <c r="M225" s="1" t="n">
        <f aca="false">IFERROR(INDEX(Sheet3!$B$2:$B$500,MATCH(1,(INT(C225)+MOD(D225,1)&lt;INT(Sheet3!$A$2:$A$500)+TIME(18,0,0))*(INT(E225)+MOD(F225,1)&gt;=INT(Sheet3!$A$2:$A$500)),0)),0)</f>
        <v>0</v>
      </c>
      <c r="N225" s="1" t="n">
        <f aca="false">IF(OR( AND(Q225=6,D225&gt;=TIME(17,0,0),OR(K225="12H Night",K225="Couple Half Night",K225="24H Night",K225="Couple Full Night")), AND(Q225=7,D225&gt;=TIME(6,0,0),D225&lt;TIME(12,0,0),OR(K225="12H Day",K225="Couple Half Day",K225="24H Day",K225="Couple Full Day")) ),1,0)</f>
        <v>0</v>
      </c>
      <c r="O225" s="1" t="n">
        <f aca="false">IF(OR( AND(MONTH(C225)=12,DAY(C225)&gt;=26), AND(MONTH(C225)=4,DAY(C225)&gt;=15), MONTH(C225)=5, AND(MONTH(C225)=6,DAY(C225)&lt;=10) ),1,0)</f>
        <v>0</v>
      </c>
      <c r="P225" s="1" t="str">
        <f aca="false">IF(OR(MONTH(C225)=3,MONTH(C225)=4,MONTH(C225)=5,MONTH(C225)=6), "Summer", IF(OR(MONTH(C225)=7,MONTH(C225)=8,MONTH(C225)=9,MONTH(C225)=10), "Monsoon", "Winter"))</f>
        <v>Monsoon</v>
      </c>
      <c r="Q225" s="1" t="n">
        <f aca="false">WEEKDAY(C225,2)</f>
        <v>2</v>
      </c>
      <c r="R225" s="0" t="n">
        <f aca="false">ROUNDDOWN(((INT(C225)+MOD(D225,1))-(INT(I225)+MOD(J225,1))),0)</f>
        <v>5</v>
      </c>
      <c r="S225" s="10"/>
    </row>
    <row r="226" customFormat="false" ht="192.95" hidden="false" customHeight="false" outlineLevel="0" collapsed="false">
      <c r="A226" s="8" t="s">
        <v>315</v>
      </c>
      <c r="B226" s="22" t="s">
        <v>430</v>
      </c>
      <c r="C226" s="18" t="n">
        <v>45560.8333333333</v>
      </c>
      <c r="D226" s="19" t="n">
        <v>0</v>
      </c>
      <c r="E226" s="18" t="n">
        <v>45561.3333333333</v>
      </c>
      <c r="F226" s="19" t="n">
        <v>0</v>
      </c>
      <c r="G226" s="20" t="n">
        <v>2500</v>
      </c>
      <c r="H226" s="8" t="n">
        <v>9</v>
      </c>
      <c r="I226" s="10" t="n">
        <v>45560</v>
      </c>
      <c r="J226" s="11" t="n">
        <v>0.465451388889051</v>
      </c>
      <c r="K226" s="1" t="str">
        <f aca="false">IF(L226&gt;24,     IF(H226=2,"Couple Extended Day","Extended Day"), IF(L226&lt;=12,     IF(AND(MOD(D226,1)&gt;=TIME(6,0,0),MOD(D226,1)&lt;TIME(18,0,0)),         IF(H226=2,"Couple Half Day","12H Day"),         IF(H226=2,"Couple Half Night","12H Night")), IF(L226&lt;=24,     IF(AND(MOD(D226,1)&gt;=TIME(6,0,0),MOD(D226,1)&lt;TIME(18,0,0)),         IF(H226=2,"Couple Full Day","24H Day"),         IF(H226=2,"Couple Full Night","24H Night")), "Check Data")))</f>
        <v>24H Night</v>
      </c>
      <c r="L226" s="12" t="n">
        <f aca="false">((INT(E226)+MOD(F226,1))-(INT(C226)+MOD(D226,1)))*24</f>
        <v>24</v>
      </c>
      <c r="M226" s="1" t="n">
        <f aca="false">IFERROR(INDEX(Sheet3!$B$2:$B$500,MATCH(1,(INT(C226)+MOD(D226,1)&lt;INT(Sheet3!$A$2:$A$500)+TIME(18,0,0))*(INT(E226)+MOD(F226,1)&gt;=INT(Sheet3!$A$2:$A$500)),0)),0)</f>
        <v>0</v>
      </c>
      <c r="N226" s="1" t="n">
        <f aca="false">IF(OR( AND(Q226=6,D226&gt;=TIME(17,0,0),OR(K226="12H Night",K226="Couple Half Night",K226="24H Night",K226="Couple Full Night")), AND(Q226=7,D226&gt;=TIME(6,0,0),D226&lt;TIME(12,0,0),OR(K226="12H Day",K226="Couple Half Day",K226="24H Day",K226="Couple Full Day")) ),1,0)</f>
        <v>0</v>
      </c>
      <c r="O226" s="1" t="n">
        <f aca="false">IF(OR( AND(MONTH(C226)=12,DAY(C226)&gt;=26), AND(MONTH(C226)=4,DAY(C226)&gt;=15), MONTH(C226)=5, AND(MONTH(C226)=6,DAY(C226)&lt;=10) ),1,0)</f>
        <v>0</v>
      </c>
      <c r="P226" s="1" t="str">
        <f aca="false">IF(OR(MONTH(C226)=3,MONTH(C226)=4,MONTH(C226)=5,MONTH(C226)=6), "Summer", IF(OR(MONTH(C226)=7,MONTH(C226)=8,MONTH(C226)=9,MONTH(C226)=10), "Monsoon", "Winter"))</f>
        <v>Monsoon</v>
      </c>
      <c r="Q226" s="1" t="n">
        <f aca="false">WEEKDAY(C226,2)</f>
        <v>3</v>
      </c>
      <c r="R226" s="0" t="n">
        <f aca="false">ROUNDDOWN(((INT(C226)+MOD(D226,1))-(INT(I226)+MOD(J226,1))),0)</f>
        <v>-0</v>
      </c>
      <c r="S226" s="10"/>
    </row>
    <row r="227" customFormat="false" ht="192.95" hidden="false" customHeight="false" outlineLevel="0" collapsed="false">
      <c r="A227" s="8" t="s">
        <v>431</v>
      </c>
      <c r="B227" s="22" t="s">
        <v>432</v>
      </c>
      <c r="C227" s="18" t="n">
        <v>45563.7916666667</v>
      </c>
      <c r="D227" s="19" t="n">
        <v>45563.7916666667</v>
      </c>
      <c r="E227" s="18" t="n">
        <v>45564.7916666667</v>
      </c>
      <c r="F227" s="19" t="n">
        <v>45564.7916666667</v>
      </c>
      <c r="G227" s="20" t="n">
        <v>4500</v>
      </c>
      <c r="H227" s="8" t="n">
        <v>15</v>
      </c>
      <c r="I227" s="10" t="n">
        <v>45561</v>
      </c>
      <c r="J227" s="11" t="n">
        <v>0.739467592589792</v>
      </c>
      <c r="K227" s="1" t="str">
        <f aca="false">IF(L227&gt;24,     IF(H227=2,"Couple Extended Day","Extended Day"), IF(L227&lt;=12,     IF(AND(MOD(D227,1)&gt;=TIME(6,0,0),MOD(D227,1)&lt;TIME(18,0,0)),         IF(H227=2,"Couple Half Day","12H Day"),         IF(H227=2,"Couple Half Night","12H Night")), IF(L227&lt;=24,     IF(AND(MOD(D227,1)&gt;=TIME(6,0,0),MOD(D227,1)&lt;TIME(18,0,0)),         IF(H227=2,"Couple Full Day","24H Day"),         IF(H227=2,"Couple Full Night","24H Night")), "Check Data")))</f>
        <v>24H Night</v>
      </c>
      <c r="L227" s="12" t="n">
        <f aca="false">((INT(E227)+MOD(F227,1))-(INT(C227)+MOD(D227,1)))*24</f>
        <v>24</v>
      </c>
      <c r="M227" s="1" t="n">
        <f aca="false">IFERROR(INDEX(Sheet3!$B$2:$B$500,MATCH(1,(INT(C227)+MOD(D227,1)&lt;INT(Sheet3!$A$2:$A$500)+TIME(18,0,0))*(INT(E227)+MOD(F227,1)&gt;=INT(Sheet3!$A$2:$A$500)),0)),0)</f>
        <v>0</v>
      </c>
      <c r="N227" s="1" t="n">
        <f aca="false">IF(OR( AND(Q227=6,D227&gt;=TIME(17,0,0),OR(K227="12H Night",K227="Couple Half Night",K227="24H Night",K227="Couple Full Night")), AND(Q227=7,D227&gt;=TIME(6,0,0),D227&lt;TIME(12,0,0),OR(K227="12H Day",K227="Couple Half Day",K227="24H Day",K227="Couple Full Day")) ),1,0)</f>
        <v>1</v>
      </c>
      <c r="O227" s="1" t="n">
        <f aca="false">IF(OR( AND(MONTH(C227)=12,DAY(C227)&gt;=26), AND(MONTH(C227)=4,DAY(C227)&gt;=15), MONTH(C227)=5, AND(MONTH(C227)=6,DAY(C227)&lt;=10) ),1,0)</f>
        <v>0</v>
      </c>
      <c r="P227" s="1" t="str">
        <f aca="false">IF(OR(MONTH(C227)=3,MONTH(C227)=4,MONTH(C227)=5,MONTH(C227)=6), "Summer", IF(OR(MONTH(C227)=7,MONTH(C227)=8,MONTH(C227)=9,MONTH(C227)=10), "Monsoon", "Winter"))</f>
        <v>Monsoon</v>
      </c>
      <c r="Q227" s="1" t="n">
        <f aca="false">WEEKDAY(C227,2)</f>
        <v>6</v>
      </c>
      <c r="R227" s="0" t="n">
        <f aca="false">ROUNDDOWN(((INT(C227)+MOD(D227,1))-(INT(I227)+MOD(J227,1))),0)</f>
        <v>2</v>
      </c>
      <c r="S227" s="10"/>
    </row>
    <row r="228" customFormat="false" ht="225.35" hidden="false" customHeight="false" outlineLevel="0" collapsed="false">
      <c r="A228" s="8" t="s">
        <v>433</v>
      </c>
      <c r="B228" s="22" t="s">
        <v>434</v>
      </c>
      <c r="C228" s="18" t="n">
        <v>45565.4583333333</v>
      </c>
      <c r="D228" s="19" t="n">
        <v>0</v>
      </c>
      <c r="E228" s="18" t="n">
        <v>45565.6666666667</v>
      </c>
      <c r="F228" s="19" t="n">
        <v>45565.6666666667</v>
      </c>
      <c r="G228" s="20" t="n">
        <v>1200</v>
      </c>
      <c r="H228" s="8" t="n">
        <v>2</v>
      </c>
      <c r="I228" s="10" t="n">
        <v>45565</v>
      </c>
      <c r="J228" s="11" t="n">
        <v>0.461400462962049</v>
      </c>
      <c r="K228" s="1" t="str">
        <f aca="false">IF(L228&gt;24,     IF(H228=2,"Couple Extended Day","Extended Day"), IF(L228&lt;=12,     IF(AND(MOD(D228,1)&gt;=TIME(6,0,0),MOD(D228,1)&lt;TIME(18,0,0)),         IF(H228=2,"Couple Half Day","12H Day"),         IF(H228=2,"Couple Half Night","12H Night")), IF(L228&lt;=24,     IF(AND(MOD(D228,1)&gt;=TIME(6,0,0),MOD(D228,1)&lt;TIME(18,0,0)),         IF(H228=2,"Couple Full Day","24H Day"),         IF(H228=2,"Couple Full Night","24H Night")), "Check Data")))</f>
        <v>Couple Full Night</v>
      </c>
      <c r="L228" s="12" t="n">
        <f aca="false">((INT(E228)+MOD(F228,1))-(INT(C228)+MOD(D228,1)))*24</f>
        <v>16.0000000009895</v>
      </c>
      <c r="M228" s="1" t="n">
        <f aca="false">IFERROR(INDEX(Sheet3!$B$2:$B$500,MATCH(1,(INT(C228)+MOD(D228,1)&lt;INT(Sheet3!$A$2:$A$500)+TIME(18,0,0))*(INT(E228)+MOD(F228,1)&gt;=INT(Sheet3!$A$2:$A$500)),0)),0)</f>
        <v>0</v>
      </c>
      <c r="N228" s="1" t="n">
        <f aca="false">IF(OR( AND(Q228=6,D228&gt;=TIME(17,0,0),OR(K228="12H Night",K228="Couple Half Night",K228="24H Night",K228="Couple Full Night")), AND(Q228=7,D228&gt;=TIME(6,0,0),D228&lt;TIME(12,0,0),OR(K228="12H Day",K228="Couple Half Day",K228="24H Day",K228="Couple Full Day")) ),1,0)</f>
        <v>0</v>
      </c>
      <c r="O228" s="1" t="n">
        <f aca="false">IF(OR( AND(MONTH(C228)=12,DAY(C228)&gt;=26), AND(MONTH(C228)=4,DAY(C228)&gt;=15), MONTH(C228)=5, AND(MONTH(C228)=6,DAY(C228)&lt;=10) ),1,0)</f>
        <v>0</v>
      </c>
      <c r="P228" s="1" t="str">
        <f aca="false">IF(OR(MONTH(C228)=3,MONTH(C228)=4,MONTH(C228)=5,MONTH(C228)=6), "Summer", IF(OR(MONTH(C228)=7,MONTH(C228)=8,MONTH(C228)=9,MONTH(C228)=10), "Monsoon", "Winter"))</f>
        <v>Monsoon</v>
      </c>
      <c r="Q228" s="1" t="n">
        <f aca="false">WEEKDAY(C228,2)</f>
        <v>1</v>
      </c>
      <c r="R228" s="0" t="n">
        <f aca="false">ROUNDDOWN(((INT(C228)+MOD(D228,1))-(INT(I228)+MOD(J228,1))),0)</f>
        <v>-0</v>
      </c>
      <c r="S228" s="10"/>
    </row>
    <row r="229" customFormat="false" ht="172.75" hidden="false" customHeight="false" outlineLevel="0" collapsed="false">
      <c r="A229" s="8" t="s">
        <v>435</v>
      </c>
      <c r="B229" s="22" t="s">
        <v>436</v>
      </c>
      <c r="C229" s="18" t="n">
        <v>45568.6875</v>
      </c>
      <c r="D229" s="19" t="n">
        <v>45568.6875</v>
      </c>
      <c r="E229" s="18" t="n">
        <v>45569.3333333333</v>
      </c>
      <c r="F229" s="19" t="n">
        <v>0</v>
      </c>
      <c r="G229" s="20" t="n">
        <v>2200</v>
      </c>
      <c r="H229" s="8" t="n">
        <v>2</v>
      </c>
      <c r="I229" s="10" t="n">
        <v>45568</v>
      </c>
      <c r="J229" s="11" t="n">
        <v>0.580162037033009</v>
      </c>
      <c r="K229" s="1" t="s">
        <v>437</v>
      </c>
      <c r="L229" s="12" t="n">
        <f aca="false">((INT(E229)+MOD(F229,1))-(INT(C229)+MOD(D229,1)))*24</f>
        <v>7.5</v>
      </c>
      <c r="M229" s="1" t="n">
        <f aca="false">IFERROR(INDEX(Sheet3!$B$2:$B$500,MATCH(1,(INT(C229)+MOD(D229,1)&lt;INT(Sheet3!$A$2:$A$500)+TIME(18,0,0))*(INT(E229)+MOD(F229,1)&gt;=INT(Sheet3!$A$2:$A$500)),0)),0)</f>
        <v>0</v>
      </c>
      <c r="N229" s="1" t="n">
        <f aca="false">IF(OR( AND(Q229=6,D229&gt;=TIME(17,0,0),OR(K229="12H Night",K229="Couple Half Night",K229="24H Night",K229="Couple Full Night")), AND(Q229=7,D229&gt;=TIME(6,0,0),D229&lt;TIME(12,0,0),OR(K229="12H Day",K229="Couple Half Day",K229="24H Day",K229="Couple Full Day")) ),1,0)</f>
        <v>0</v>
      </c>
      <c r="O229" s="1" t="n">
        <f aca="false">IF(OR( AND(MONTH(C229)=12,DAY(C229)&gt;=26), AND(MONTH(C229)=4,DAY(C229)&gt;=15), MONTH(C229)=5, AND(MONTH(C229)=6,DAY(C229)&lt;=10) ),1,0)</f>
        <v>0</v>
      </c>
      <c r="P229" s="1" t="str">
        <f aca="false">IF(OR(MONTH(C229)=3,MONTH(C229)=4,MONTH(C229)=5,MONTH(C229)=6), "Summer", IF(OR(MONTH(C229)=7,MONTH(C229)=8,MONTH(C229)=9,MONTH(C229)=10), "Monsoon", "Winter"))</f>
        <v>Monsoon</v>
      </c>
      <c r="Q229" s="1" t="n">
        <f aca="false">WEEKDAY(C229,2)</f>
        <v>4</v>
      </c>
      <c r="R229" s="0" t="n">
        <f aca="false">ROUNDDOWN(((INT(C229)+MOD(D229,1))-(INT(I229)+MOD(J229,1))),0)</f>
        <v>0</v>
      </c>
      <c r="S229" s="10"/>
    </row>
    <row r="230" customFormat="false" ht="212.2" hidden="false" customHeight="false" outlineLevel="0" collapsed="false">
      <c r="A230" s="8" t="s">
        <v>338</v>
      </c>
      <c r="B230" s="22" t="s">
        <v>438</v>
      </c>
      <c r="C230" s="18" t="n">
        <v>45570.375</v>
      </c>
      <c r="D230" s="19" t="n">
        <v>45570.375</v>
      </c>
      <c r="E230" s="18" t="n">
        <v>45570.75</v>
      </c>
      <c r="F230" s="19" t="n">
        <v>45570.75</v>
      </c>
      <c r="G230" s="20" t="n">
        <v>2000</v>
      </c>
      <c r="H230" s="8" t="n">
        <v>2</v>
      </c>
      <c r="I230" s="10" t="n">
        <v>45569</v>
      </c>
      <c r="J230" s="11" t="n">
        <v>0.812245370369051</v>
      </c>
      <c r="K230" s="1" t="str">
        <f aca="false">IF(L230&gt;24,     IF(H230=2,"Couple Extended Day","Extended Day"), IF(L230&lt;=12,     IF(AND(MOD(D230,1)&gt;=TIME(6,0,0),MOD(D230,1)&lt;TIME(18,0,0)),         IF(H230=2,"Couple Half Day","12H Day"),         IF(H230=2,"Couple Half Night","12H Night")), IF(L230&lt;=24,     IF(AND(MOD(D230,1)&gt;=TIME(6,0,0),MOD(D230,1)&lt;TIME(18,0,0)),         IF(H230=2,"Couple Full Day","24H Day"),         IF(H230=2,"Couple Full Night","24H Night")), "Check Data")))</f>
        <v>Couple Half Day</v>
      </c>
      <c r="L230" s="12" t="n">
        <f aca="false">((INT(E230)+MOD(F230,1))-(INT(C230)+MOD(D230,1)))*24</f>
        <v>9</v>
      </c>
      <c r="M230" s="1" t="n">
        <f aca="false">IFERROR(INDEX(Sheet3!$B$2:$B$500,MATCH(1,(INT(C230)+MOD(D230,1)&lt;INT(Sheet3!$A$2:$A$500)+TIME(18,0,0))*(INT(E230)+MOD(F230,1)&gt;=INT(Sheet3!$A$2:$A$500)),0)),0)</f>
        <v>0</v>
      </c>
      <c r="N230" s="1" t="n">
        <f aca="false">IF(OR( AND(Q230=6,D230&gt;=TIME(17,0,0),OR(K230="12H Night",K230="Couple Half Night",K230="24H Night",K230="Couple Full Night")), AND(Q230=7,D230&gt;=TIME(6,0,0),D230&lt;TIME(12,0,0),OR(K230="12H Day",K230="Couple Half Day",K230="24H Day",K230="Couple Full Day")) ),1,0)</f>
        <v>0</v>
      </c>
      <c r="O230" s="1" t="n">
        <f aca="false">IF(OR( AND(MONTH(C230)=12,DAY(C230)&gt;=26), AND(MONTH(C230)=4,DAY(C230)&gt;=15), MONTH(C230)=5, AND(MONTH(C230)=6,DAY(C230)&lt;=10) ),1,0)</f>
        <v>0</v>
      </c>
      <c r="P230" s="1" t="str">
        <f aca="false">IF(OR(MONTH(C230)=3,MONTH(C230)=4,MONTH(C230)=5,MONTH(C230)=6), "Summer", IF(OR(MONTH(C230)=7,MONTH(C230)=8,MONTH(C230)=9,MONTH(C230)=10), "Monsoon", "Winter"))</f>
        <v>Monsoon</v>
      </c>
      <c r="Q230" s="1" t="n">
        <f aca="false">WEEKDAY(C230,2)</f>
        <v>6</v>
      </c>
      <c r="R230" s="0" t="n">
        <f aca="false">ROUNDDOWN(((INT(C230)+MOD(D230,1))-(INT(I230)+MOD(J230,1))),0)</f>
        <v>0</v>
      </c>
      <c r="S230" s="10"/>
    </row>
    <row r="231" customFormat="false" ht="199.05" hidden="false" customHeight="false" outlineLevel="0" collapsed="false">
      <c r="A231" s="8" t="s">
        <v>439</v>
      </c>
      <c r="B231" s="22" t="s">
        <v>440</v>
      </c>
      <c r="C231" s="18" t="n">
        <v>45570.7916666667</v>
      </c>
      <c r="D231" s="19" t="n">
        <v>45570.7916666667</v>
      </c>
      <c r="E231" s="18" t="n">
        <v>45571.7916666667</v>
      </c>
      <c r="F231" s="19" t="n">
        <v>45571.7916666667</v>
      </c>
      <c r="G231" s="20" t="n">
        <v>4500</v>
      </c>
      <c r="H231" s="8" t="n">
        <v>10</v>
      </c>
      <c r="I231" s="10" t="n">
        <v>45565</v>
      </c>
      <c r="J231" s="11" t="n">
        <v>0.595648148148033</v>
      </c>
      <c r="K231" s="1" t="str">
        <f aca="false">IF(L231&gt;24,     IF(H231=2,"Couple Extended Day","Extended Day"), IF(L231&lt;=12,     IF(AND(MOD(D231,1)&gt;=TIME(6,0,0),MOD(D231,1)&lt;TIME(18,0,0)),         IF(H231=2,"Couple Half Day","12H Day"),         IF(H231=2,"Couple Half Night","12H Night")), IF(L231&lt;=24,     IF(AND(MOD(D231,1)&gt;=TIME(6,0,0),MOD(D231,1)&lt;TIME(18,0,0)),         IF(H231=2,"Couple Full Day","24H Day"),         IF(H231=2,"Couple Full Night","24H Night")), "Check Data")))</f>
        <v>24H Night</v>
      </c>
      <c r="L231" s="12" t="n">
        <f aca="false">((INT(E231)+MOD(F231,1))-(INT(C231)+MOD(D231,1)))*24</f>
        <v>24</v>
      </c>
      <c r="M231" s="1" t="n">
        <f aca="false">IFERROR(INDEX(Sheet3!$B$2:$B$500,MATCH(1,(INT(C231)+MOD(D231,1)&lt;INT(Sheet3!$A$2:$A$500)+TIME(18,0,0))*(INT(E231)+MOD(F231,1)&gt;=INT(Sheet3!$A$2:$A$500)),0)),0)</f>
        <v>0</v>
      </c>
      <c r="N231" s="1" t="n">
        <f aca="false">IF(OR( AND(Q231=6,D231&gt;=TIME(17,0,0),OR(K231="12H Night",K231="Couple Half Night",K231="24H Night",K231="Couple Full Night")), AND(Q231=7,D231&gt;=TIME(6,0,0),D231&lt;TIME(12,0,0),OR(K231="12H Day",K231="Couple Half Day",K231="24H Day",K231="Couple Full Day")) ),1,0)</f>
        <v>1</v>
      </c>
      <c r="O231" s="1" t="n">
        <f aca="false">IF(OR( AND(MONTH(C231)=12,DAY(C231)&gt;=26), AND(MONTH(C231)=4,DAY(C231)&gt;=15), MONTH(C231)=5, AND(MONTH(C231)=6,DAY(C231)&lt;=10) ),1,0)</f>
        <v>0</v>
      </c>
      <c r="P231" s="1" t="str">
        <f aca="false">IF(OR(MONTH(C231)=3,MONTH(C231)=4,MONTH(C231)=5,MONTH(C231)=6), "Summer", IF(OR(MONTH(C231)=7,MONTH(C231)=8,MONTH(C231)=9,MONTH(C231)=10), "Monsoon", "Winter"))</f>
        <v>Monsoon</v>
      </c>
      <c r="Q231" s="1" t="n">
        <f aca="false">WEEKDAY(C231,2)</f>
        <v>6</v>
      </c>
      <c r="R231" s="0" t="n">
        <f aca="false">ROUNDDOWN(((INT(C231)+MOD(D231,1))-(INT(I231)+MOD(J231,1))),0)</f>
        <v>5</v>
      </c>
      <c r="S231" s="10"/>
    </row>
    <row r="232" customFormat="false" ht="192.95" hidden="false" customHeight="false" outlineLevel="0" collapsed="false">
      <c r="A232" s="8" t="s">
        <v>441</v>
      </c>
      <c r="B232" s="22" t="s">
        <v>442</v>
      </c>
      <c r="C232" s="18" t="n">
        <v>45575.9166666667</v>
      </c>
      <c r="D232" s="19" t="n">
        <v>45575.9166666667</v>
      </c>
      <c r="E232" s="18" t="n">
        <v>45576.2083333333</v>
      </c>
      <c r="F232" s="19" t="n">
        <v>0</v>
      </c>
      <c r="G232" s="20" t="n">
        <v>2000</v>
      </c>
      <c r="H232" s="8" t="n">
        <v>2</v>
      </c>
      <c r="I232" s="10" t="n">
        <v>45575</v>
      </c>
      <c r="J232" s="11" t="n">
        <v>0.50482638888934</v>
      </c>
      <c r="K232" s="1" t="str">
        <f aca="false">IF(L232&gt;24,     IF(H232=2,"Couple Extended Day","Extended Day"), IF(L232&lt;=12,     IF(AND(MOD(D232,1)&gt;=TIME(6,0,0),MOD(D232,1)&lt;TIME(18,0,0)),         IF(H232=2,"Couple Half Day","12H Day"),         IF(H232=2,"Couple Half Night","12H Night")), IF(L232&lt;=24,     IF(AND(MOD(D232,1)&gt;=TIME(6,0,0),MOD(D232,1)&lt;TIME(18,0,0)),         IF(H232=2,"Couple Full Day","24H Day"),         IF(H232=2,"Couple Full Night","24H Night")), "Check Data")))</f>
        <v>Couple Half Night</v>
      </c>
      <c r="L232" s="12" t="n">
        <f aca="false">((INT(E232)+MOD(F232,1))-(INT(C232)+MOD(D232,1)))*24</f>
        <v>1.99999999901047</v>
      </c>
      <c r="M232" s="1" t="n">
        <f aca="false">IFERROR(INDEX(Sheet3!$B$2:$B$500,MATCH(1,(INT(C232)+MOD(D232,1)&lt;INT(Sheet3!$A$2:$A$500)+TIME(18,0,0))*(INT(E232)+MOD(F232,1)&gt;=INT(Sheet3!$A$2:$A$500)),0)),0)</f>
        <v>0</v>
      </c>
      <c r="N232" s="1" t="n">
        <f aca="false">IF(OR( AND(Q232=6,D232&gt;=TIME(17,0,0),OR(K232="12H Night",K232="Couple Half Night",K232="24H Night",K232="Couple Full Night")), AND(Q232=7,D232&gt;=TIME(6,0,0),D232&lt;TIME(12,0,0),OR(K232="12H Day",K232="Couple Half Day",K232="24H Day",K232="Couple Full Day")) ),1,0)</f>
        <v>0</v>
      </c>
      <c r="O232" s="1" t="n">
        <f aca="false">IF(OR( AND(MONTH(C232)=12,DAY(C232)&gt;=26), AND(MONTH(C232)=4,DAY(C232)&gt;=15), MONTH(C232)=5, AND(MONTH(C232)=6,DAY(C232)&lt;=10) ),1,0)</f>
        <v>0</v>
      </c>
      <c r="P232" s="1" t="str">
        <f aca="false">IF(OR(MONTH(C232)=3,MONTH(C232)=4,MONTH(C232)=5,MONTH(C232)=6), "Summer", IF(OR(MONTH(C232)=7,MONTH(C232)=8,MONTH(C232)=9,MONTH(C232)=10), "Monsoon", "Winter"))</f>
        <v>Monsoon</v>
      </c>
      <c r="Q232" s="1" t="n">
        <f aca="false">WEEKDAY(C232,2)</f>
        <v>4</v>
      </c>
      <c r="R232" s="0" t="n">
        <f aca="false">ROUNDDOWN(((INT(C232)+MOD(D232,1))-(INT(I232)+MOD(J232,1))),0)</f>
        <v>0</v>
      </c>
      <c r="S232" s="10"/>
    </row>
    <row r="233" customFormat="false" ht="192.95" hidden="false" customHeight="false" outlineLevel="0" collapsed="false">
      <c r="A233" s="8" t="s">
        <v>108</v>
      </c>
      <c r="B233" s="22" t="s">
        <v>443</v>
      </c>
      <c r="C233" s="18" t="n">
        <v>45576.375</v>
      </c>
      <c r="D233" s="19" t="n">
        <v>45576.375</v>
      </c>
      <c r="E233" s="18" t="n">
        <v>45576.75</v>
      </c>
      <c r="F233" s="19" t="n">
        <v>45576.75</v>
      </c>
      <c r="G233" s="20" t="n">
        <v>2000</v>
      </c>
      <c r="H233" s="8" t="n">
        <v>2</v>
      </c>
      <c r="I233" s="10" t="n">
        <v>45573</v>
      </c>
      <c r="J233" s="11" t="n">
        <v>0.788518518515046</v>
      </c>
      <c r="K233" s="1" t="str">
        <f aca="false">IF(L233&gt;24,     IF(H233=2,"Couple Extended Day","Extended Day"), IF(L233&lt;=12,     IF(AND(MOD(D233,1)&gt;=TIME(6,0,0),MOD(D233,1)&lt;TIME(18,0,0)),         IF(H233=2,"Couple Half Day","12H Day"),         IF(H233=2,"Couple Half Night","12H Night")), IF(L233&lt;=24,     IF(AND(MOD(D233,1)&gt;=TIME(6,0,0),MOD(D233,1)&lt;TIME(18,0,0)),         IF(H233=2,"Couple Full Day","24H Day"),         IF(H233=2,"Couple Full Night","24H Night")), "Check Data")))</f>
        <v>Couple Half Day</v>
      </c>
      <c r="L233" s="12" t="n">
        <f aca="false">((INT(E233)+MOD(F233,1))-(INT(C233)+MOD(D233,1)))*24</f>
        <v>9</v>
      </c>
      <c r="M233" s="1" t="n">
        <f aca="false">IFERROR(INDEX(Sheet3!$B$2:$B$500,MATCH(1,(INT(C233)+MOD(D233,1)&lt;INT(Sheet3!$A$2:$A$500)+TIME(18,0,0))*(INT(E233)+MOD(F233,1)&gt;=INT(Sheet3!$A$2:$A$500)),0)),0)</f>
        <v>0</v>
      </c>
      <c r="N233" s="1" t="n">
        <f aca="false">IF(OR( AND(Q233=6,D233&gt;=TIME(17,0,0),OR(K233="12H Night",K233="Couple Half Night",K233="24H Night",K233="Couple Full Night")), AND(Q233=7,D233&gt;=TIME(6,0,0),D233&lt;TIME(12,0,0),OR(K233="12H Day",K233="Couple Half Day",K233="24H Day",K233="Couple Full Day")) ),1,0)</f>
        <v>0</v>
      </c>
      <c r="O233" s="1" t="n">
        <f aca="false">IF(OR( AND(MONTH(C233)=12,DAY(C233)&gt;=26), AND(MONTH(C233)=4,DAY(C233)&gt;=15), MONTH(C233)=5, AND(MONTH(C233)=6,DAY(C233)&lt;=10) ),1,0)</f>
        <v>0</v>
      </c>
      <c r="P233" s="1" t="str">
        <f aca="false">IF(OR(MONTH(C233)=3,MONTH(C233)=4,MONTH(C233)=5,MONTH(C233)=6), "Summer", IF(OR(MONTH(C233)=7,MONTH(C233)=8,MONTH(C233)=9,MONTH(C233)=10), "Monsoon", "Winter"))</f>
        <v>Monsoon</v>
      </c>
      <c r="Q233" s="1" t="n">
        <f aca="false">WEEKDAY(C233,2)</f>
        <v>5</v>
      </c>
      <c r="R233" s="0" t="n">
        <f aca="false">ROUNDDOWN(((INT(C233)+MOD(D233,1))-(INT(I233)+MOD(J233,1))),0)</f>
        <v>2</v>
      </c>
      <c r="S233" s="10"/>
    </row>
    <row r="234" customFormat="false" ht="192.95" hidden="false" customHeight="false" outlineLevel="0" collapsed="false">
      <c r="A234" s="8" t="s">
        <v>353</v>
      </c>
      <c r="B234" s="22" t="s">
        <v>444</v>
      </c>
      <c r="C234" s="18" t="n">
        <v>45577.5416666667</v>
      </c>
      <c r="D234" s="19" t="n">
        <v>45577.5416666667</v>
      </c>
      <c r="E234" s="18" t="n">
        <v>45578.5</v>
      </c>
      <c r="F234" s="19" t="n">
        <v>45578.5</v>
      </c>
      <c r="G234" s="20" t="n">
        <v>4300</v>
      </c>
      <c r="H234" s="8" t="n">
        <v>5</v>
      </c>
      <c r="I234" s="10" t="n">
        <v>45576</v>
      </c>
      <c r="J234" s="11" t="n">
        <v>0.998784722221898</v>
      </c>
      <c r="K234" s="1" t="str">
        <f aca="false">IF(L234&gt;24,     IF(H234=2,"Couple Extended Day","Extended Day"), IF(L234&lt;=12,     IF(AND(MOD(D234,1)&gt;=TIME(6,0,0),MOD(D234,1)&lt;TIME(18,0,0)),         IF(H234=2,"Couple Half Day","12H Day"),         IF(H234=2,"Couple Half Night","12H Night")), IF(L234&lt;=24,     IF(AND(MOD(D234,1)&gt;=TIME(6,0,0),MOD(D234,1)&lt;TIME(18,0,0)),         IF(H234=2,"Couple Full Day","24H Day"),         IF(H234=2,"Couple Full Night","24H Night")), "Check Data")))</f>
        <v>24H Day</v>
      </c>
      <c r="L234" s="12" t="n">
        <f aca="false">((INT(E234)+MOD(F234,1))-(INT(C234)+MOD(D234,1)))*24</f>
        <v>22.9999999990105</v>
      </c>
      <c r="M234" s="1" t="str">
        <f aca="false">IFERROR(INDEX(Sheet3!$B$2:$B$500,MATCH(1,(INT(C234)+MOD(D234,1)&lt;INT(Sheet3!$A$2:$A$500)+TIME(18,0,0))*(INT(E234)+MOD(F234,1)&gt;=INT(Sheet3!$A$2:$A$500)),0)),0)</f>
        <v>Dussehra</v>
      </c>
      <c r="N234" s="1" t="n">
        <f aca="false">IF(OR( AND(Q234=6,D234&gt;=TIME(17,0,0),OR(K234="12H Night",K234="Couple Half Night",K234="24H Night",K234="Couple Full Night")), AND(Q234=7,D234&gt;=TIME(6,0,0),D234&lt;TIME(12,0,0),OR(K234="12H Day",K234="Couple Half Day",K234="24H Day",K234="Couple Full Day")) ),1,0)</f>
        <v>0</v>
      </c>
      <c r="O234" s="1" t="n">
        <f aca="false">IF(OR( AND(MONTH(C234)=12,DAY(C234)&gt;=26), AND(MONTH(C234)=4,DAY(C234)&gt;=15), MONTH(C234)=5, AND(MONTH(C234)=6,DAY(C234)&lt;=10) ),1,0)</f>
        <v>0</v>
      </c>
      <c r="P234" s="1" t="str">
        <f aca="false">IF(OR(MONTH(C234)=3,MONTH(C234)=4,MONTH(C234)=5,MONTH(C234)=6), "Summer", IF(OR(MONTH(C234)=7,MONTH(C234)=8,MONTH(C234)=9,MONTH(C234)=10), "Monsoon", "Winter"))</f>
        <v>Monsoon</v>
      </c>
      <c r="Q234" s="1" t="n">
        <f aca="false">WEEKDAY(C234,2)</f>
        <v>6</v>
      </c>
      <c r="R234" s="0" t="n">
        <f aca="false">ROUNDDOWN(((INT(C234)+MOD(D234,1))-(INT(I234)+MOD(J234,1))),0)</f>
        <v>0</v>
      </c>
      <c r="S234" s="10"/>
    </row>
    <row r="235" customFormat="false" ht="192.95" hidden="false" customHeight="false" outlineLevel="0" collapsed="false">
      <c r="A235" s="8" t="s">
        <v>445</v>
      </c>
      <c r="B235" s="22" t="s">
        <v>446</v>
      </c>
      <c r="C235" s="18" t="n">
        <v>45582.375</v>
      </c>
      <c r="D235" s="19" t="n">
        <v>45582.375</v>
      </c>
      <c r="E235" s="18" t="n">
        <v>45582.7083333333</v>
      </c>
      <c r="F235" s="19" t="n">
        <v>0</v>
      </c>
      <c r="G235" s="20" t="n">
        <v>1500</v>
      </c>
      <c r="H235" s="8" t="n">
        <v>4</v>
      </c>
      <c r="I235" s="10" t="n">
        <v>45581</v>
      </c>
      <c r="J235" s="11" t="n">
        <v>0.748784722221898</v>
      </c>
      <c r="K235" s="1" t="str">
        <f aca="false">IF(L235&gt;24,     IF(H235=2,"Couple Extended Day","Extended Day"), IF(L235&lt;=12,     IF(AND(MOD(D235,1)&gt;=TIME(6,0,0),MOD(D235,1)&lt;TIME(18,0,0)),         IF(H235=2,"Couple Half Day","12H Day"),         IF(H235=2,"Couple Half Night","12H Night")), IF(L235&lt;=24,     IF(AND(MOD(D235,1)&gt;=TIME(6,0,0),MOD(D235,1)&lt;TIME(18,0,0)),         IF(H235=2,"Couple Full Day","24H Day"),         IF(H235=2,"Couple Full Night","24H Night")), "Check Data")))</f>
        <v>12H Day</v>
      </c>
      <c r="L235" s="12" t="n">
        <f aca="false">((INT(E235)+MOD(F235,1))-(INT(C235)+MOD(D235,1)))*24</f>
        <v>-9</v>
      </c>
      <c r="M235" s="1" t="n">
        <f aca="false">IFERROR(INDEX(Sheet3!$B$2:$B$500,MATCH(1,(INT(C235)+MOD(D235,1)&lt;INT(Sheet3!$A$2:$A$500)+TIME(18,0,0))*(INT(E235)+MOD(F235,1)&gt;=INT(Sheet3!$A$2:$A$500)),0)),0)</f>
        <v>0</v>
      </c>
      <c r="N235" s="1" t="n">
        <f aca="false">IF(OR( AND(Q235=6,D235&gt;=TIME(17,0,0),OR(K235="12H Night",K235="Couple Half Night",K235="24H Night",K235="Couple Full Night")), AND(Q235=7,D235&gt;=TIME(6,0,0),D235&lt;TIME(12,0,0),OR(K235="12H Day",K235="Couple Half Day",K235="24H Day",K235="Couple Full Day")) ),1,0)</f>
        <v>0</v>
      </c>
      <c r="O235" s="1" t="n">
        <f aca="false">IF(OR( AND(MONTH(C235)=12,DAY(C235)&gt;=26), AND(MONTH(C235)=4,DAY(C235)&gt;=15), MONTH(C235)=5, AND(MONTH(C235)=6,DAY(C235)&lt;=10) ),1,0)</f>
        <v>0</v>
      </c>
      <c r="P235" s="1" t="str">
        <f aca="false">IF(OR(MONTH(C235)=3,MONTH(C235)=4,MONTH(C235)=5,MONTH(C235)=6), "Summer", IF(OR(MONTH(C235)=7,MONTH(C235)=8,MONTH(C235)=9,MONTH(C235)=10), "Monsoon", "Winter"))</f>
        <v>Monsoon</v>
      </c>
      <c r="Q235" s="1" t="n">
        <f aca="false">WEEKDAY(C235,2)</f>
        <v>4</v>
      </c>
      <c r="R235" s="0" t="n">
        <f aca="false">ROUNDDOWN(((INT(C235)+MOD(D235,1))-(INT(I235)+MOD(J235,1))),0)</f>
        <v>0</v>
      </c>
      <c r="S235" s="10"/>
    </row>
    <row r="236" customFormat="false" ht="192.95" hidden="false" customHeight="false" outlineLevel="0" collapsed="false">
      <c r="A236" s="8" t="s">
        <v>268</v>
      </c>
      <c r="B236" s="22" t="s">
        <v>447</v>
      </c>
      <c r="C236" s="18" t="n">
        <v>45582.8333333333</v>
      </c>
      <c r="D236" s="19" t="n">
        <v>0</v>
      </c>
      <c r="E236" s="18" t="n">
        <v>45583.3333333333</v>
      </c>
      <c r="F236" s="19" t="n">
        <v>0</v>
      </c>
      <c r="G236" s="20" t="n">
        <v>2500</v>
      </c>
      <c r="H236" s="8" t="n">
        <v>9</v>
      </c>
      <c r="I236" s="10" t="n">
        <v>45581</v>
      </c>
      <c r="J236" s="11" t="n">
        <v>0.559733796297222</v>
      </c>
      <c r="K236" s="1" t="str">
        <f aca="false">IF(L236&gt;24,     IF(H236=2,"Couple Extended Day","Extended Day"), IF(L236&lt;=12,     IF(AND(MOD(D236,1)&gt;=TIME(6,0,0),MOD(D236,1)&lt;TIME(18,0,0)),         IF(H236=2,"Couple Half Day","12H Day"),         IF(H236=2,"Couple Half Night","12H Night")), IF(L236&lt;=24,     IF(AND(MOD(D236,1)&gt;=TIME(6,0,0),MOD(D236,1)&lt;TIME(18,0,0)),         IF(H236=2,"Couple Full Day","24H Day"),         IF(H236=2,"Couple Full Night","24H Night")), "Check Data")))</f>
        <v>24H Night</v>
      </c>
      <c r="L236" s="12" t="n">
        <f aca="false">((INT(E236)+MOD(F236,1))-(INT(C236)+MOD(D236,1)))*24</f>
        <v>24</v>
      </c>
      <c r="M236" s="1" t="n">
        <f aca="false">IFERROR(INDEX(Sheet3!$B$2:$B$500,MATCH(1,(INT(C236)+MOD(D236,1)&lt;INT(Sheet3!$A$2:$A$500)+TIME(18,0,0))*(INT(E236)+MOD(F236,1)&gt;=INT(Sheet3!$A$2:$A$500)),0)),0)</f>
        <v>0</v>
      </c>
      <c r="N236" s="1" t="n">
        <f aca="false">IF(OR( AND(Q236=6,D236&gt;=TIME(17,0,0),OR(K236="12H Night",K236="Couple Half Night",K236="24H Night",K236="Couple Full Night")), AND(Q236=7,D236&gt;=TIME(6,0,0),D236&lt;TIME(12,0,0),OR(K236="12H Day",K236="Couple Half Day",K236="24H Day",K236="Couple Full Day")) ),1,0)</f>
        <v>0</v>
      </c>
      <c r="O236" s="1" t="n">
        <f aca="false">IF(OR( AND(MONTH(C236)=12,DAY(C236)&gt;=26), AND(MONTH(C236)=4,DAY(C236)&gt;=15), MONTH(C236)=5, AND(MONTH(C236)=6,DAY(C236)&lt;=10) ),1,0)</f>
        <v>0</v>
      </c>
      <c r="P236" s="1" t="str">
        <f aca="false">IF(OR(MONTH(C236)=3,MONTH(C236)=4,MONTH(C236)=5,MONTH(C236)=6), "Summer", IF(OR(MONTH(C236)=7,MONTH(C236)=8,MONTH(C236)=9,MONTH(C236)=10), "Monsoon", "Winter"))</f>
        <v>Monsoon</v>
      </c>
      <c r="Q236" s="1" t="n">
        <f aca="false">WEEKDAY(C236,2)</f>
        <v>4</v>
      </c>
      <c r="R236" s="0" t="n">
        <f aca="false">ROUNDDOWN(((INT(C236)+MOD(D236,1))-(INT(I236)+MOD(J236,1))),0)</f>
        <v>0</v>
      </c>
      <c r="S236" s="10"/>
    </row>
    <row r="237" customFormat="false" ht="192.95" hidden="false" customHeight="false" outlineLevel="0" collapsed="false">
      <c r="A237" s="8" t="s">
        <v>448</v>
      </c>
      <c r="B237" s="22" t="s">
        <v>449</v>
      </c>
      <c r="C237" s="18" t="n">
        <v>45583.375</v>
      </c>
      <c r="D237" s="19" t="n">
        <v>45583.375</v>
      </c>
      <c r="E237" s="18" t="n">
        <v>45583.625</v>
      </c>
      <c r="F237" s="19" t="n">
        <v>45583.625</v>
      </c>
      <c r="G237" s="20" t="n">
        <v>2000</v>
      </c>
      <c r="H237" s="8" t="n">
        <v>4</v>
      </c>
      <c r="I237" s="10" t="n">
        <v>45580</v>
      </c>
      <c r="J237" s="11" t="n">
        <v>0.589224537034167</v>
      </c>
      <c r="K237" s="1" t="str">
        <f aca="false">IF(L237&gt;24,     IF(H237=2,"Couple Extended Day","Extended Day"), IF(L237&lt;=12,     IF(AND(MOD(D237,1)&gt;=TIME(6,0,0),MOD(D237,1)&lt;TIME(18,0,0)),         IF(H237=2,"Couple Half Day","12H Day"),         IF(H237=2,"Couple Half Night","12H Night")), IF(L237&lt;=24,     IF(AND(MOD(D237,1)&gt;=TIME(6,0,0),MOD(D237,1)&lt;TIME(18,0,0)),         IF(H237=2,"Couple Full Day","24H Day"),         IF(H237=2,"Couple Full Night","24H Night")), "Check Data")))</f>
        <v>12H Day</v>
      </c>
      <c r="L237" s="12" t="n">
        <f aca="false">((INT(E237)+MOD(F237,1))-(INT(C237)+MOD(D237,1)))*24</f>
        <v>6</v>
      </c>
      <c r="M237" s="1" t="n">
        <f aca="false">IFERROR(INDEX(Sheet3!$B$2:$B$500,MATCH(1,(INT(C237)+MOD(D237,1)&lt;INT(Sheet3!$A$2:$A$500)+TIME(18,0,0))*(INT(E237)+MOD(F237,1)&gt;=INT(Sheet3!$A$2:$A$500)),0)),0)</f>
        <v>0</v>
      </c>
      <c r="N237" s="1" t="n">
        <f aca="false">IF(OR( AND(Q237=6,D237&gt;=TIME(17,0,0),OR(K237="12H Night",K237="Couple Half Night",K237="24H Night",K237="Couple Full Night")), AND(Q237=7,D237&gt;=TIME(6,0,0),D237&lt;TIME(12,0,0),OR(K237="12H Day",K237="Couple Half Day",K237="24H Day",K237="Couple Full Day")) ),1,0)</f>
        <v>0</v>
      </c>
      <c r="O237" s="1" t="n">
        <f aca="false">IF(OR( AND(MONTH(C237)=12,DAY(C237)&gt;=26), AND(MONTH(C237)=4,DAY(C237)&gt;=15), MONTH(C237)=5, AND(MONTH(C237)=6,DAY(C237)&lt;=10) ),1,0)</f>
        <v>0</v>
      </c>
      <c r="P237" s="1" t="str">
        <f aca="false">IF(OR(MONTH(C237)=3,MONTH(C237)=4,MONTH(C237)=5,MONTH(C237)=6), "Summer", IF(OR(MONTH(C237)=7,MONTH(C237)=8,MONTH(C237)=9,MONTH(C237)=10), "Monsoon", "Winter"))</f>
        <v>Monsoon</v>
      </c>
      <c r="Q237" s="1" t="n">
        <f aca="false">WEEKDAY(C237,2)</f>
        <v>5</v>
      </c>
      <c r="R237" s="0" t="n">
        <f aca="false">ROUNDDOWN(((INT(C237)+MOD(D237,1))-(INT(I237)+MOD(J237,1))),0)</f>
        <v>2</v>
      </c>
      <c r="S237" s="10"/>
    </row>
    <row r="238" customFormat="false" ht="225.35" hidden="false" customHeight="false" outlineLevel="0" collapsed="false">
      <c r="A238" s="8" t="s">
        <v>192</v>
      </c>
      <c r="B238" s="22" t="s">
        <v>450</v>
      </c>
      <c r="C238" s="18" t="n">
        <v>45584.375</v>
      </c>
      <c r="D238" s="19" t="n">
        <v>45584.375</v>
      </c>
      <c r="E238" s="18" t="n">
        <v>45584.7083333333</v>
      </c>
      <c r="F238" s="19" t="n">
        <v>0</v>
      </c>
      <c r="G238" s="20" t="n">
        <v>1500</v>
      </c>
      <c r="H238" s="8" t="n">
        <v>2</v>
      </c>
      <c r="I238" s="10" t="n">
        <v>45575</v>
      </c>
      <c r="J238" s="11" t="n">
        <v>0.840289351850509</v>
      </c>
      <c r="K238" s="1" t="str">
        <f aca="false">IF(L238&gt;24,     IF(H238=2,"Couple Extended Day","Extended Day"), IF(L238&lt;=12,     IF(AND(MOD(D238,1)&gt;=TIME(6,0,0),MOD(D238,1)&lt;TIME(18,0,0)),         IF(H238=2,"Couple Half Day","12H Day"),         IF(H238=2,"Couple Half Night","12H Night")), IF(L238&lt;=24,     IF(AND(MOD(D238,1)&gt;=TIME(6,0,0),MOD(D238,1)&lt;TIME(18,0,0)),         IF(H238=2,"Couple Full Day","24H Day"),         IF(H238=2,"Couple Full Night","24H Night")), "Check Data")))</f>
        <v>Couple Half Day</v>
      </c>
      <c r="L238" s="12" t="n">
        <f aca="false">((INT(E238)+MOD(F238,1))-(INT(C238)+MOD(D238,1)))*24</f>
        <v>-9</v>
      </c>
      <c r="M238" s="1" t="n">
        <f aca="false">IFERROR(INDEX(Sheet3!$B$2:$B$500,MATCH(1,(INT(C238)+MOD(D238,1)&lt;INT(Sheet3!$A$2:$A$500)+TIME(18,0,0))*(INT(E238)+MOD(F238,1)&gt;=INT(Sheet3!$A$2:$A$500)),0)),0)</f>
        <v>0</v>
      </c>
      <c r="N238" s="1" t="n">
        <f aca="false">IF(OR( AND(Q238=6,D238&gt;=TIME(17,0,0),OR(K238="12H Night",K238="Couple Half Night",K238="24H Night",K238="Couple Full Night")), AND(Q238=7,D238&gt;=TIME(6,0,0),D238&lt;TIME(12,0,0),OR(K238="12H Day",K238="Couple Half Day",K238="24H Day",K238="Couple Full Day")) ),1,0)</f>
        <v>0</v>
      </c>
      <c r="O238" s="1" t="n">
        <f aca="false">IF(OR( AND(MONTH(C238)=12,DAY(C238)&gt;=26), AND(MONTH(C238)=4,DAY(C238)&gt;=15), MONTH(C238)=5, AND(MONTH(C238)=6,DAY(C238)&lt;=10) ),1,0)</f>
        <v>0</v>
      </c>
      <c r="P238" s="1" t="str">
        <f aca="false">IF(OR(MONTH(C238)=3,MONTH(C238)=4,MONTH(C238)=5,MONTH(C238)=6), "Summer", IF(OR(MONTH(C238)=7,MONTH(C238)=8,MONTH(C238)=9,MONTH(C238)=10), "Monsoon", "Winter"))</f>
        <v>Monsoon</v>
      </c>
      <c r="Q238" s="1" t="n">
        <f aca="false">WEEKDAY(C238,2)</f>
        <v>6</v>
      </c>
      <c r="R238" s="0" t="n">
        <f aca="false">ROUNDDOWN(((INT(C238)+MOD(D238,1))-(INT(I238)+MOD(J238,1))),0)</f>
        <v>8</v>
      </c>
      <c r="S238" s="10"/>
    </row>
    <row r="239" customFormat="false" ht="192.95" hidden="false" customHeight="false" outlineLevel="0" collapsed="false">
      <c r="A239" s="8" t="s">
        <v>451</v>
      </c>
      <c r="B239" s="22" t="s">
        <v>452</v>
      </c>
      <c r="C239" s="18" t="n">
        <v>45584.7916666667</v>
      </c>
      <c r="D239" s="19" t="n">
        <v>45584.7916666667</v>
      </c>
      <c r="E239" s="18" t="n">
        <v>45585.75</v>
      </c>
      <c r="F239" s="19" t="n">
        <v>45585.75</v>
      </c>
      <c r="G239" s="20" t="n">
        <v>4500</v>
      </c>
      <c r="H239" s="8" t="n">
        <v>10</v>
      </c>
      <c r="I239" s="10" t="n">
        <v>45583</v>
      </c>
      <c r="J239" s="11" t="n">
        <v>0.612789351856921</v>
      </c>
      <c r="K239" s="1" t="str">
        <f aca="false">IF(L239&gt;24,     IF(H239=2,"Couple Extended Day","Extended Day"), IF(L239&lt;=12,     IF(AND(MOD(D239,1)&gt;=TIME(6,0,0),MOD(D239,1)&lt;TIME(18,0,0)),         IF(H239=2,"Couple Half Day","12H Day"),         IF(H239=2,"Couple Half Night","12H Night")), IF(L239&lt;=24,     IF(AND(MOD(D239,1)&gt;=TIME(6,0,0),MOD(D239,1)&lt;TIME(18,0,0)),         IF(H239=2,"Couple Full Day","24H Day"),         IF(H239=2,"Couple Full Night","24H Night")), "Check Data")))</f>
        <v>24H Night</v>
      </c>
      <c r="L239" s="12" t="n">
        <f aca="false">((INT(E239)+MOD(F239,1))-(INT(C239)+MOD(D239,1)))*24</f>
        <v>22.9999999990105</v>
      </c>
      <c r="M239" s="1" t="n">
        <f aca="false">IFERROR(INDEX(Sheet3!$B$2:$B$500,MATCH(1,(INT(C239)+MOD(D239,1)&lt;INT(Sheet3!$A$2:$A$500)+TIME(18,0,0))*(INT(E239)+MOD(F239,1)&gt;=INT(Sheet3!$A$2:$A$500)),0)),0)</f>
        <v>0</v>
      </c>
      <c r="N239" s="1" t="n">
        <f aca="false">IF(OR( AND(Q239=6,D239&gt;=TIME(17,0,0),OR(K239="12H Night",K239="Couple Half Night",K239="24H Night",K239="Couple Full Night")), AND(Q239=7,D239&gt;=TIME(6,0,0),D239&lt;TIME(12,0,0),OR(K239="12H Day",K239="Couple Half Day",K239="24H Day",K239="Couple Full Day")) ),1,0)</f>
        <v>1</v>
      </c>
      <c r="O239" s="1" t="n">
        <f aca="false">IF(OR( AND(MONTH(C239)=12,DAY(C239)&gt;=26), AND(MONTH(C239)=4,DAY(C239)&gt;=15), MONTH(C239)=5, AND(MONTH(C239)=6,DAY(C239)&lt;=10) ),1,0)</f>
        <v>0</v>
      </c>
      <c r="P239" s="1" t="str">
        <f aca="false">IF(OR(MONTH(C239)=3,MONTH(C239)=4,MONTH(C239)=5,MONTH(C239)=6), "Summer", IF(OR(MONTH(C239)=7,MONTH(C239)=8,MONTH(C239)=9,MONTH(C239)=10), "Monsoon", "Winter"))</f>
        <v>Monsoon</v>
      </c>
      <c r="Q239" s="1" t="n">
        <f aca="false">WEEKDAY(C239,2)</f>
        <v>6</v>
      </c>
      <c r="R239" s="0" t="n">
        <f aca="false">ROUNDDOWN(((INT(C239)+MOD(D239,1))-(INT(I239)+MOD(J239,1))),0)</f>
        <v>1</v>
      </c>
      <c r="S239" s="10"/>
    </row>
    <row r="240" customFormat="false" ht="192.95" hidden="false" customHeight="false" outlineLevel="0" collapsed="false">
      <c r="A240" s="8" t="s">
        <v>168</v>
      </c>
      <c r="B240" s="22" t="s">
        <v>453</v>
      </c>
      <c r="C240" s="18" t="n">
        <v>45586.7083333333</v>
      </c>
      <c r="D240" s="19" t="n">
        <v>0</v>
      </c>
      <c r="E240" s="18" t="n">
        <v>45587.7083333333</v>
      </c>
      <c r="F240" s="19" t="n">
        <v>0</v>
      </c>
      <c r="G240" s="20" t="n">
        <v>3500</v>
      </c>
      <c r="H240" s="8" t="n">
        <v>12</v>
      </c>
      <c r="I240" s="10" t="n">
        <v>45585</v>
      </c>
      <c r="J240" s="11" t="n">
        <v>0.846828703703067</v>
      </c>
      <c r="K240" s="1" t="str">
        <f aca="false">IF(L240&gt;24,     IF(H240=2,"Couple Extended Day","Extended Day"), IF(L240&lt;=12,     IF(AND(MOD(D240,1)&gt;=TIME(6,0,0),MOD(D240,1)&lt;TIME(18,0,0)),         IF(H240=2,"Couple Half Day","12H Day"),         IF(H240=2,"Couple Half Night","12H Night")), IF(L240&lt;=24,     IF(AND(MOD(D240,1)&gt;=TIME(6,0,0),MOD(D240,1)&lt;TIME(18,0,0)),         IF(H240=2,"Couple Full Day","24H Day"),         IF(H240=2,"Couple Full Night","24H Night")), "Check Data")))</f>
        <v>24H Night</v>
      </c>
      <c r="L240" s="12" t="n">
        <f aca="false">((INT(E240)+MOD(F240,1))-(INT(C240)+MOD(D240,1)))*24</f>
        <v>24</v>
      </c>
      <c r="M240" s="1" t="n">
        <f aca="false">IFERROR(INDEX(Sheet3!$B$2:$B$500,MATCH(1,(INT(C240)+MOD(D240,1)&lt;INT(Sheet3!$A$2:$A$500)+TIME(18,0,0))*(INT(E240)+MOD(F240,1)&gt;=INT(Sheet3!$A$2:$A$500)),0)),0)</f>
        <v>0</v>
      </c>
      <c r="N240" s="1" t="n">
        <f aca="false">IF(OR( AND(Q240=6,D240&gt;=TIME(17,0,0),OR(K240="12H Night",K240="Couple Half Night",K240="24H Night",K240="Couple Full Night")), AND(Q240=7,D240&gt;=TIME(6,0,0),D240&lt;TIME(12,0,0),OR(K240="12H Day",K240="Couple Half Day",K240="24H Day",K240="Couple Full Day")) ),1,0)</f>
        <v>0</v>
      </c>
      <c r="O240" s="1" t="n">
        <f aca="false">IF(OR( AND(MONTH(C240)=12,DAY(C240)&gt;=26), AND(MONTH(C240)=4,DAY(C240)&gt;=15), MONTH(C240)=5, AND(MONTH(C240)=6,DAY(C240)&lt;=10) ),1,0)</f>
        <v>0</v>
      </c>
      <c r="P240" s="1" t="str">
        <f aca="false">IF(OR(MONTH(C240)=3,MONTH(C240)=4,MONTH(C240)=5,MONTH(C240)=6), "Summer", IF(OR(MONTH(C240)=7,MONTH(C240)=8,MONTH(C240)=9,MONTH(C240)=10), "Monsoon", "Winter"))</f>
        <v>Monsoon</v>
      </c>
      <c r="Q240" s="1" t="n">
        <f aca="false">WEEKDAY(C240,2)</f>
        <v>1</v>
      </c>
      <c r="R240" s="0" t="n">
        <f aca="false">ROUNDDOWN(((INT(C240)+MOD(D240,1))-(INT(I240)+MOD(J240,1))),0)</f>
        <v>0</v>
      </c>
      <c r="S240" s="10"/>
    </row>
    <row r="241" customFormat="false" ht="225.35" hidden="false" customHeight="false" outlineLevel="0" collapsed="false">
      <c r="A241" s="8" t="s">
        <v>454</v>
      </c>
      <c r="B241" s="22" t="s">
        <v>455</v>
      </c>
      <c r="C241" s="18" t="n">
        <v>45588.3333333333</v>
      </c>
      <c r="D241" s="19" t="n">
        <v>0</v>
      </c>
      <c r="E241" s="18" t="n">
        <v>45588.75</v>
      </c>
      <c r="F241" s="19" t="n">
        <v>45588.75</v>
      </c>
      <c r="G241" s="20" t="n">
        <v>3000</v>
      </c>
      <c r="H241" s="8" t="n">
        <v>10</v>
      </c>
      <c r="I241" s="10" t="n">
        <v>45586</v>
      </c>
      <c r="J241" s="11" t="n">
        <v>0.958437499997674</v>
      </c>
      <c r="K241" s="1" t="str">
        <f aca="false">IF(L241&gt;24,     IF(H241=2,"Couple Extended Day","Extended Day"), IF(L241&lt;=12,     IF(AND(MOD(D241,1)&gt;=TIME(6,0,0),MOD(D241,1)&lt;TIME(18,0,0)),         IF(H241=2,"Couple Half Day","12H Day"),         IF(H241=2,"Couple Half Night","12H Night")), IF(L241&lt;=24,     IF(AND(MOD(D241,1)&gt;=TIME(6,0,0),MOD(D241,1)&lt;TIME(18,0,0)),         IF(H241=2,"Couple Full Day","24H Day"),         IF(H241=2,"Couple Full Night","24H Night")), "Check Data")))</f>
        <v>24H Night</v>
      </c>
      <c r="L241" s="12" t="n">
        <f aca="false">((INT(E241)+MOD(F241,1))-(INT(C241)+MOD(D241,1)))*24</f>
        <v>18</v>
      </c>
      <c r="M241" s="1" t="n">
        <f aca="false">IFERROR(INDEX(Sheet3!$B$2:$B$500,MATCH(1,(INT(C241)+MOD(D241,1)&lt;INT(Sheet3!$A$2:$A$500)+TIME(18,0,0))*(INT(E241)+MOD(F241,1)&gt;=INT(Sheet3!$A$2:$A$500)),0)),0)</f>
        <v>0</v>
      </c>
      <c r="N241" s="1" t="n">
        <f aca="false">IF(OR( AND(Q241=6,D241&gt;=TIME(17,0,0),OR(K241="12H Night",K241="Couple Half Night",K241="24H Night",K241="Couple Full Night")), AND(Q241=7,D241&gt;=TIME(6,0,0),D241&lt;TIME(12,0,0),OR(K241="12H Day",K241="Couple Half Day",K241="24H Day",K241="Couple Full Day")) ),1,0)</f>
        <v>0</v>
      </c>
      <c r="O241" s="1" t="n">
        <f aca="false">IF(OR( AND(MONTH(C241)=12,DAY(C241)&gt;=26), AND(MONTH(C241)=4,DAY(C241)&gt;=15), MONTH(C241)=5, AND(MONTH(C241)=6,DAY(C241)&lt;=10) ),1,0)</f>
        <v>0</v>
      </c>
      <c r="P241" s="1" t="str">
        <f aca="false">IF(OR(MONTH(C241)=3,MONTH(C241)=4,MONTH(C241)=5,MONTH(C241)=6), "Summer", IF(OR(MONTH(C241)=7,MONTH(C241)=8,MONTH(C241)=9,MONTH(C241)=10), "Monsoon", "Winter"))</f>
        <v>Monsoon</v>
      </c>
      <c r="Q241" s="1" t="n">
        <f aca="false">WEEKDAY(C241,2)</f>
        <v>3</v>
      </c>
      <c r="R241" s="0" t="n">
        <f aca="false">ROUNDDOWN(((INT(C241)+MOD(D241,1))-(INT(I241)+MOD(J241,1))),0)</f>
        <v>1</v>
      </c>
      <c r="S241" s="10"/>
    </row>
    <row r="242" customFormat="false" ht="264.75" hidden="false" customHeight="false" outlineLevel="0" collapsed="false">
      <c r="A242" s="8" t="s">
        <v>456</v>
      </c>
      <c r="B242" s="22" t="s">
        <v>457</v>
      </c>
      <c r="C242" s="18" t="n">
        <v>45588.7916666667</v>
      </c>
      <c r="D242" s="19" t="n">
        <v>45588.7916666667</v>
      </c>
      <c r="E242" s="18" t="n">
        <v>45589.75</v>
      </c>
      <c r="F242" s="19" t="n">
        <v>45589.75</v>
      </c>
      <c r="G242" s="20" t="n">
        <v>3500</v>
      </c>
      <c r="H242" s="8" t="n">
        <v>8</v>
      </c>
      <c r="I242" s="10" t="n">
        <v>45587</v>
      </c>
      <c r="J242" s="11" t="n">
        <v>0.906006944445833</v>
      </c>
      <c r="K242" s="1" t="str">
        <f aca="false">IF(L242&gt;24,     IF(H242=2,"Couple Extended Day","Extended Day"), IF(L242&lt;=12,     IF(AND(MOD(D242,1)&gt;=TIME(6,0,0),MOD(D242,1)&lt;TIME(18,0,0)),         IF(H242=2,"Couple Half Day","12H Day"),         IF(H242=2,"Couple Half Night","12H Night")), IF(L242&lt;=24,     IF(AND(MOD(D242,1)&gt;=TIME(6,0,0),MOD(D242,1)&lt;TIME(18,0,0)),         IF(H242=2,"Couple Full Day","24H Day"),         IF(H242=2,"Couple Full Night","24H Night")), "Check Data")))</f>
        <v>24H Night</v>
      </c>
      <c r="L242" s="12" t="n">
        <f aca="false">((INT(E242)+MOD(F242,1))-(INT(C242)+MOD(D242,1)))*24</f>
        <v>22.9999999990105</v>
      </c>
      <c r="M242" s="1" t="n">
        <f aca="false">IFERROR(INDEX(Sheet3!$B$2:$B$500,MATCH(1,(INT(C242)+MOD(D242,1)&lt;INT(Sheet3!$A$2:$A$500)+TIME(18,0,0))*(INT(E242)+MOD(F242,1)&gt;=INT(Sheet3!$A$2:$A$500)),0)),0)</f>
        <v>0</v>
      </c>
      <c r="N242" s="1" t="n">
        <f aca="false">IF(OR( AND(Q242=6,D242&gt;=TIME(17,0,0),OR(K242="12H Night",K242="Couple Half Night",K242="24H Night",K242="Couple Full Night")), AND(Q242=7,D242&gt;=TIME(6,0,0),D242&lt;TIME(12,0,0),OR(K242="12H Day",K242="Couple Half Day",K242="24H Day",K242="Couple Full Day")) ),1,0)</f>
        <v>0</v>
      </c>
      <c r="O242" s="1" t="n">
        <f aca="false">IF(OR( AND(MONTH(C242)=12,DAY(C242)&gt;=26), AND(MONTH(C242)=4,DAY(C242)&gt;=15), MONTH(C242)=5, AND(MONTH(C242)=6,DAY(C242)&lt;=10) ),1,0)</f>
        <v>0</v>
      </c>
      <c r="P242" s="1" t="str">
        <f aca="false">IF(OR(MONTH(C242)=3,MONTH(C242)=4,MONTH(C242)=5,MONTH(C242)=6), "Summer", IF(OR(MONTH(C242)=7,MONTH(C242)=8,MONTH(C242)=9,MONTH(C242)=10), "Monsoon", "Winter"))</f>
        <v>Monsoon</v>
      </c>
      <c r="Q242" s="1" t="n">
        <f aca="false">WEEKDAY(C242,2)</f>
        <v>3</v>
      </c>
      <c r="R242" s="0" t="n">
        <f aca="false">ROUNDDOWN(((INT(C242)+MOD(D242,1))-(INT(I242)+MOD(J242,1))),0)</f>
        <v>0</v>
      </c>
      <c r="S242" s="10"/>
    </row>
    <row r="243" customFormat="false" ht="212.2" hidden="false" customHeight="false" outlineLevel="0" collapsed="false">
      <c r="A243" s="8" t="s">
        <v>458</v>
      </c>
      <c r="B243" s="22" t="s">
        <v>459</v>
      </c>
      <c r="C243" s="18" t="n">
        <v>45589.7916666667</v>
      </c>
      <c r="D243" s="19" t="n">
        <v>45589.7916666667</v>
      </c>
      <c r="E243" s="18" t="n">
        <v>45590.75</v>
      </c>
      <c r="F243" s="19" t="n">
        <v>45590.75</v>
      </c>
      <c r="G243" s="20" t="n">
        <v>4000</v>
      </c>
      <c r="H243" s="8" t="n">
        <v>12</v>
      </c>
      <c r="I243" s="10" t="n">
        <v>45589</v>
      </c>
      <c r="J243" s="11" t="n">
        <v>0.490937499998831</v>
      </c>
      <c r="K243" s="1" t="str">
        <f aca="false">IF(L243&gt;24,     IF(H243=2,"Couple Extended Day","Extended Day"), IF(L243&lt;=12,     IF(AND(MOD(D243,1)&gt;=TIME(6,0,0),MOD(D243,1)&lt;TIME(18,0,0)),         IF(H243=2,"Couple Half Day","12H Day"),         IF(H243=2,"Couple Half Night","12H Night")), IF(L243&lt;=24,     IF(AND(MOD(D243,1)&gt;=TIME(6,0,0),MOD(D243,1)&lt;TIME(18,0,0)),         IF(H243=2,"Couple Full Day","24H Day"),         IF(H243=2,"Couple Full Night","24H Night")), "Check Data")))</f>
        <v>24H Night</v>
      </c>
      <c r="L243" s="12" t="n">
        <f aca="false">((INT(E243)+MOD(F243,1))-(INT(C243)+MOD(D243,1)))*24</f>
        <v>22.9999999990105</v>
      </c>
      <c r="M243" s="1" t="n">
        <f aca="false">IFERROR(INDEX(Sheet3!$B$2:$B$500,MATCH(1,(INT(C243)+MOD(D243,1)&lt;INT(Sheet3!$A$2:$A$500)+TIME(18,0,0))*(INT(E243)+MOD(F243,1)&gt;=INT(Sheet3!$A$2:$A$500)),0)),0)</f>
        <v>0</v>
      </c>
      <c r="N243" s="1" t="n">
        <f aca="false">IF(OR( AND(Q243=6,D243&gt;=TIME(17,0,0),OR(K243="12H Night",K243="Couple Half Night",K243="24H Night",K243="Couple Full Night")), AND(Q243=7,D243&gt;=TIME(6,0,0),D243&lt;TIME(12,0,0),OR(K243="12H Day",K243="Couple Half Day",K243="24H Day",K243="Couple Full Day")) ),1,0)</f>
        <v>0</v>
      </c>
      <c r="O243" s="1" t="n">
        <f aca="false">IF(OR( AND(MONTH(C243)=12,DAY(C243)&gt;=26), AND(MONTH(C243)=4,DAY(C243)&gt;=15), MONTH(C243)=5, AND(MONTH(C243)=6,DAY(C243)&lt;=10) ),1,0)</f>
        <v>0</v>
      </c>
      <c r="P243" s="1" t="str">
        <f aca="false">IF(OR(MONTH(C243)=3,MONTH(C243)=4,MONTH(C243)=5,MONTH(C243)=6), "Summer", IF(OR(MONTH(C243)=7,MONTH(C243)=8,MONTH(C243)=9,MONTH(C243)=10), "Monsoon", "Winter"))</f>
        <v>Monsoon</v>
      </c>
      <c r="Q243" s="1" t="n">
        <f aca="false">WEEKDAY(C243,2)</f>
        <v>4</v>
      </c>
      <c r="R243" s="0" t="n">
        <f aca="false">ROUNDDOWN(((INT(C243)+MOD(D243,1))-(INT(I243)+MOD(J243,1))),0)</f>
        <v>0</v>
      </c>
      <c r="S243" s="10"/>
    </row>
    <row r="244" customFormat="false" ht="238.45" hidden="false" customHeight="false" outlineLevel="0" collapsed="false">
      <c r="A244" s="8" t="s">
        <v>460</v>
      </c>
      <c r="B244" s="22" t="s">
        <v>461</v>
      </c>
      <c r="C244" s="18" t="n">
        <v>45590.7916666667</v>
      </c>
      <c r="D244" s="19" t="n">
        <v>45590.7916666667</v>
      </c>
      <c r="E244" s="18" t="n">
        <v>45591.75</v>
      </c>
      <c r="F244" s="19" t="n">
        <v>45591.75</v>
      </c>
      <c r="G244" s="20" t="n">
        <v>4500</v>
      </c>
      <c r="H244" s="8" t="n">
        <v>10</v>
      </c>
      <c r="I244" s="10" t="n">
        <v>45586</v>
      </c>
      <c r="J244" s="11" t="n">
        <v>0.679918981477384</v>
      </c>
      <c r="K244" s="1" t="str">
        <f aca="false">IF(L244&gt;24,     IF(H244=2,"Couple Extended Day","Extended Day"), IF(L244&lt;=12,     IF(AND(MOD(D244,1)&gt;=TIME(6,0,0),MOD(D244,1)&lt;TIME(18,0,0)),         IF(H244=2,"Couple Half Day","12H Day"),         IF(H244=2,"Couple Half Night","12H Night")), IF(L244&lt;=24,     IF(AND(MOD(D244,1)&gt;=TIME(6,0,0),MOD(D244,1)&lt;TIME(18,0,0)),         IF(H244=2,"Couple Full Day","24H Day"),         IF(H244=2,"Couple Full Night","24H Night")), "Check Data")))</f>
        <v>24H Night</v>
      </c>
      <c r="L244" s="12" t="n">
        <f aca="false">((INT(E244)+MOD(F244,1))-(INT(C244)+MOD(D244,1)))*24</f>
        <v>22.9999999990105</v>
      </c>
      <c r="M244" s="1" t="n">
        <f aca="false">IFERROR(INDEX(Sheet3!$B$2:$B$500,MATCH(1,(INT(C244)+MOD(D244,1)&lt;INT(Sheet3!$A$2:$A$500)+TIME(18,0,0))*(INT(E244)+MOD(F244,1)&gt;=INT(Sheet3!$A$2:$A$500)),0)),0)</f>
        <v>0</v>
      </c>
      <c r="N244" s="1" t="n">
        <f aca="false">IF(OR( AND(Q244=6,D244&gt;=TIME(17,0,0),OR(K244="12H Night",K244="Couple Half Night",K244="24H Night",K244="Couple Full Night")), AND(Q244=7,D244&gt;=TIME(6,0,0),D244&lt;TIME(12,0,0),OR(K244="12H Day",K244="Couple Half Day",K244="24H Day",K244="Couple Full Day")) ),1,0)</f>
        <v>0</v>
      </c>
      <c r="O244" s="1" t="n">
        <f aca="false">IF(OR( AND(MONTH(C244)=12,DAY(C244)&gt;=26), AND(MONTH(C244)=4,DAY(C244)&gt;=15), MONTH(C244)=5, AND(MONTH(C244)=6,DAY(C244)&lt;=10) ),1,0)</f>
        <v>0</v>
      </c>
      <c r="P244" s="1" t="str">
        <f aca="false">IF(OR(MONTH(C244)=3,MONTH(C244)=4,MONTH(C244)=5,MONTH(C244)=6), "Summer", IF(OR(MONTH(C244)=7,MONTH(C244)=8,MONTH(C244)=9,MONTH(C244)=10), "Monsoon", "Winter"))</f>
        <v>Monsoon</v>
      </c>
      <c r="Q244" s="1" t="n">
        <f aca="false">WEEKDAY(C244,2)</f>
        <v>5</v>
      </c>
      <c r="R244" s="0" t="n">
        <f aca="false">ROUNDDOWN(((INT(C244)+MOD(D244,1))-(INT(I244)+MOD(J244,1))),0)</f>
        <v>4</v>
      </c>
      <c r="S244" s="10"/>
    </row>
    <row r="245" customFormat="false" ht="225.35" hidden="false" customHeight="false" outlineLevel="0" collapsed="false">
      <c r="A245" s="8" t="s">
        <v>462</v>
      </c>
      <c r="B245" s="22" t="s">
        <v>463</v>
      </c>
      <c r="C245" s="18" t="n">
        <v>45591.3333333333</v>
      </c>
      <c r="D245" s="19" t="n">
        <v>0</v>
      </c>
      <c r="E245" s="18" t="n">
        <v>45592.375</v>
      </c>
      <c r="F245" s="19" t="n">
        <v>45592.375</v>
      </c>
      <c r="G245" s="20" t="n">
        <v>5500</v>
      </c>
      <c r="H245" s="8" t="n">
        <v>4</v>
      </c>
      <c r="I245" s="10" t="n">
        <v>45588</v>
      </c>
      <c r="J245" s="11" t="n">
        <v>0.506481481483206</v>
      </c>
      <c r="K245" s="1" t="str">
        <f aca="false">IF(L245&gt;24,     IF(H245=2,"Couple Extended Day","Extended Day"), IF(L245&lt;=12,     IF(AND(MOD(D245,1)&gt;=TIME(6,0,0),MOD(D245,1)&lt;TIME(18,0,0)),         IF(H245=2,"Couple Half Day","12H Day"),         IF(H245=2,"Couple Half Night","12H Night")), IF(L245&lt;=24,     IF(AND(MOD(D245,1)&gt;=TIME(6,0,0),MOD(D245,1)&lt;TIME(18,0,0)),         IF(H245=2,"Couple Full Day","24H Day"),         IF(H245=2,"Couple Full Night","24H Night")), "Check Data")))</f>
        <v>Extended Day</v>
      </c>
      <c r="L245" s="12" t="n">
        <f aca="false">((INT(E245)+MOD(F245,1))-(INT(C245)+MOD(D245,1)))*24</f>
        <v>33</v>
      </c>
      <c r="M245" s="1" t="n">
        <f aca="false">IFERROR(INDEX(Sheet3!$B$2:$B$500,MATCH(1,(INT(C245)+MOD(D245,1)&lt;INT(Sheet3!$A$2:$A$500)+TIME(18,0,0))*(INT(E245)+MOD(F245,1)&gt;=INT(Sheet3!$A$2:$A$500)),0)),0)</f>
        <v>0</v>
      </c>
      <c r="N245" s="1" t="n">
        <f aca="false">IF(OR( AND(Q245=6,D245&gt;=TIME(17,0,0),OR(K245="12H Night",K245="Couple Half Night",K245="24H Night",K245="Couple Full Night")), AND(Q245=7,D245&gt;=TIME(6,0,0),D245&lt;TIME(12,0,0),OR(K245="12H Day",K245="Couple Half Day",K245="24H Day",K245="Couple Full Day")) ),1,0)</f>
        <v>0</v>
      </c>
      <c r="O245" s="1" t="n">
        <f aca="false">IF(OR( AND(MONTH(C245)=12,DAY(C245)&gt;=26), AND(MONTH(C245)=4,DAY(C245)&gt;=15), MONTH(C245)=5, AND(MONTH(C245)=6,DAY(C245)&lt;=10) ),1,0)</f>
        <v>0</v>
      </c>
      <c r="P245" s="1" t="str">
        <f aca="false">IF(OR(MONTH(C245)=3,MONTH(C245)=4,MONTH(C245)=5,MONTH(C245)=6), "Summer", IF(OR(MONTH(C245)=7,MONTH(C245)=8,MONTH(C245)=9,MONTH(C245)=10), "Monsoon", "Winter"))</f>
        <v>Monsoon</v>
      </c>
      <c r="Q245" s="1" t="n">
        <f aca="false">WEEKDAY(C245,2)</f>
        <v>6</v>
      </c>
      <c r="R245" s="0" t="n">
        <f aca="false">ROUNDDOWN(((INT(C245)+MOD(D245,1))-(INT(I245)+MOD(J245,1))),0)</f>
        <v>2</v>
      </c>
      <c r="S245" s="10"/>
    </row>
    <row r="246" customFormat="false" ht="212.2" hidden="false" customHeight="false" outlineLevel="0" collapsed="false">
      <c r="A246" s="8" t="s">
        <v>464</v>
      </c>
      <c r="B246" s="22" t="s">
        <v>465</v>
      </c>
      <c r="C246" s="18" t="n">
        <v>45592.5</v>
      </c>
      <c r="D246" s="19" t="n">
        <v>45592.5</v>
      </c>
      <c r="E246" s="18" t="n">
        <v>45592.9583333333</v>
      </c>
      <c r="F246" s="19" t="n">
        <v>0</v>
      </c>
      <c r="G246" s="20" t="n">
        <v>4000</v>
      </c>
      <c r="H246" s="8" t="n">
        <v>10</v>
      </c>
      <c r="I246" s="10" t="n">
        <v>45588</v>
      </c>
      <c r="J246" s="11" t="n">
        <v>0.81848379629809</v>
      </c>
      <c r="K246" s="1" t="str">
        <f aca="false">IF(L246&gt;24,     IF(H246=2,"Couple Extended Day","Extended Day"), IF(L246&lt;=12,     IF(AND(MOD(D246,1)&gt;=TIME(6,0,0),MOD(D246,1)&lt;TIME(18,0,0)),         IF(H246=2,"Couple Half Day","12H Day"),         IF(H246=2,"Couple Half Night","12H Night")), IF(L246&lt;=24,     IF(AND(MOD(D246,1)&gt;=TIME(6,0,0),MOD(D246,1)&lt;TIME(18,0,0)),         IF(H246=2,"Couple Full Day","24H Day"),         IF(H246=2,"Couple Full Night","24H Night")), "Check Data")))</f>
        <v>12H Day</v>
      </c>
      <c r="L246" s="12" t="n">
        <f aca="false">((INT(E246)+MOD(F246,1))-(INT(C246)+MOD(D246,1)))*24</f>
        <v>-12</v>
      </c>
      <c r="M246" s="1" t="n">
        <f aca="false">IFERROR(INDEX(Sheet3!$B$2:$B$500,MATCH(1,(INT(C246)+MOD(D246,1)&lt;INT(Sheet3!$A$2:$A$500)+TIME(18,0,0))*(INT(E246)+MOD(F246,1)&gt;=INT(Sheet3!$A$2:$A$500)),0)),0)</f>
        <v>0</v>
      </c>
      <c r="N246" s="1" t="n">
        <f aca="false">IF(OR( AND(Q246=6,D246&gt;=TIME(17,0,0),OR(K246="12H Night",K246="Couple Half Night",K246="24H Night",K246="Couple Full Night")), AND(Q246=7,D246&gt;=TIME(6,0,0),D246&lt;TIME(12,0,0),OR(K246="12H Day",K246="Couple Half Day",K246="24H Day",K246="Couple Full Day")) ),1,0)</f>
        <v>0</v>
      </c>
      <c r="O246" s="1" t="n">
        <f aca="false">IF(OR( AND(MONTH(C246)=12,DAY(C246)&gt;=26), AND(MONTH(C246)=4,DAY(C246)&gt;=15), MONTH(C246)=5, AND(MONTH(C246)=6,DAY(C246)&lt;=10) ),1,0)</f>
        <v>0</v>
      </c>
      <c r="P246" s="1" t="str">
        <f aca="false">IF(OR(MONTH(C246)=3,MONTH(C246)=4,MONTH(C246)=5,MONTH(C246)=6), "Summer", IF(OR(MONTH(C246)=7,MONTH(C246)=8,MONTH(C246)=9,MONTH(C246)=10), "Monsoon", "Winter"))</f>
        <v>Monsoon</v>
      </c>
      <c r="Q246" s="1" t="n">
        <f aca="false">WEEKDAY(C246,2)</f>
        <v>7</v>
      </c>
      <c r="R246" s="0" t="n">
        <f aca="false">ROUNDDOWN(((INT(C246)+MOD(D246,1))-(INT(I246)+MOD(J246,1))),0)</f>
        <v>3</v>
      </c>
      <c r="S246" s="10"/>
    </row>
    <row r="247" customFormat="false" ht="185.9" hidden="false" customHeight="false" outlineLevel="0" collapsed="false">
      <c r="A247" s="8" t="s">
        <v>466</v>
      </c>
      <c r="B247" s="22" t="s">
        <v>467</v>
      </c>
      <c r="C247" s="18" t="n">
        <v>45592.9583333333</v>
      </c>
      <c r="D247" s="19" t="n">
        <v>0</v>
      </c>
      <c r="E247" s="18" t="n">
        <v>45593.375</v>
      </c>
      <c r="F247" s="19" t="n">
        <v>45593.375</v>
      </c>
      <c r="G247" s="20" t="n">
        <v>2000</v>
      </c>
      <c r="H247" s="8" t="n">
        <v>4</v>
      </c>
      <c r="I247" s="10" t="n">
        <v>45592</v>
      </c>
      <c r="J247" s="11" t="n">
        <v>0.912314814813727</v>
      </c>
      <c r="K247" s="1" t="str">
        <f aca="false">IF(L247&gt;24,     IF(H247=2,"Couple Extended Day","Extended Day"), IF(L247&lt;=12,     IF(AND(MOD(D247,1)&gt;=TIME(6,0,0),MOD(D247,1)&lt;TIME(18,0,0)),         IF(H247=2,"Couple Half Day","12H Day"),         IF(H247=2,"Couple Half Night","12H Night")), IF(L247&lt;=24,     IF(AND(MOD(D247,1)&gt;=TIME(6,0,0),MOD(D247,1)&lt;TIME(18,0,0)),         IF(H247=2,"Couple Full Day","24H Day"),         IF(H247=2,"Couple Full Night","24H Night")), "Check Data")))</f>
        <v>Extended Day</v>
      </c>
      <c r="L247" s="12" t="n">
        <f aca="false">((INT(E247)+MOD(F247,1))-(INT(C247)+MOD(D247,1)))*24</f>
        <v>33</v>
      </c>
      <c r="M247" s="1" t="n">
        <f aca="false">IFERROR(INDEX(Sheet3!$B$2:$B$500,MATCH(1,(INT(C247)+MOD(D247,1)&lt;INT(Sheet3!$A$2:$A$500)+TIME(18,0,0))*(INT(E247)+MOD(F247,1)&gt;=INT(Sheet3!$A$2:$A$500)),0)),0)</f>
        <v>0</v>
      </c>
      <c r="N247" s="1" t="n">
        <f aca="false">IF(OR( AND(Q247=6,D247&gt;=TIME(17,0,0),OR(K247="12H Night",K247="Couple Half Night",K247="24H Night",K247="Couple Full Night")), AND(Q247=7,D247&gt;=TIME(6,0,0),D247&lt;TIME(12,0,0),OR(K247="12H Day",K247="Couple Half Day",K247="24H Day",K247="Couple Full Day")) ),1,0)</f>
        <v>0</v>
      </c>
      <c r="O247" s="1" t="n">
        <f aca="false">IF(OR( AND(MONTH(C247)=12,DAY(C247)&gt;=26), AND(MONTH(C247)=4,DAY(C247)&gt;=15), MONTH(C247)=5, AND(MONTH(C247)=6,DAY(C247)&lt;=10) ),1,0)</f>
        <v>0</v>
      </c>
      <c r="P247" s="1" t="str">
        <f aca="false">IF(OR(MONTH(C247)=3,MONTH(C247)=4,MONTH(C247)=5,MONTH(C247)=6), "Summer", IF(OR(MONTH(C247)=7,MONTH(C247)=8,MONTH(C247)=9,MONTH(C247)=10), "Monsoon", "Winter"))</f>
        <v>Monsoon</v>
      </c>
      <c r="Q247" s="1" t="n">
        <f aca="false">WEEKDAY(C247,2)</f>
        <v>7</v>
      </c>
      <c r="R247" s="0" t="n">
        <f aca="false">ROUNDDOWN(((INT(C247)+MOD(D247,1))-(INT(I247)+MOD(J247,1))),0)</f>
        <v>-0</v>
      </c>
      <c r="S247" s="10"/>
    </row>
    <row r="248" customFormat="false" ht="225.35" hidden="false" customHeight="false" outlineLevel="0" collapsed="false">
      <c r="A248" s="8" t="s">
        <v>468</v>
      </c>
      <c r="B248" s="22" t="s">
        <v>469</v>
      </c>
      <c r="C248" s="18" t="n">
        <v>45593.7916666667</v>
      </c>
      <c r="D248" s="19" t="n">
        <v>45593.7916666667</v>
      </c>
      <c r="E248" s="18" t="n">
        <v>45594.75</v>
      </c>
      <c r="F248" s="19" t="n">
        <v>45594.75</v>
      </c>
      <c r="G248" s="20" t="n">
        <v>4000</v>
      </c>
      <c r="H248" s="8" t="n">
        <v>14</v>
      </c>
      <c r="I248" s="10" t="n">
        <v>45592</v>
      </c>
      <c r="J248" s="11" t="n">
        <v>0.491319444445255</v>
      </c>
      <c r="K248" s="1" t="str">
        <f aca="false">IF(L248&gt;24,     IF(H248=2,"Couple Extended Day","Extended Day"), IF(L248&lt;=12,     IF(AND(MOD(D248,1)&gt;=TIME(6,0,0),MOD(D248,1)&lt;TIME(18,0,0)),         IF(H248=2,"Couple Half Day","12H Day"),         IF(H248=2,"Couple Half Night","12H Night")), IF(L248&lt;=24,     IF(AND(MOD(D248,1)&gt;=TIME(6,0,0),MOD(D248,1)&lt;TIME(18,0,0)),         IF(H248=2,"Couple Full Day","24H Day"),         IF(H248=2,"Couple Full Night","24H Night")), "Check Data")))</f>
        <v>24H Night</v>
      </c>
      <c r="L248" s="12" t="n">
        <f aca="false">((INT(E248)+MOD(F248,1))-(INT(C248)+MOD(D248,1)))*24</f>
        <v>22.9999999990105</v>
      </c>
      <c r="M248" s="1" t="str">
        <f aca="false">IFERROR(INDEX(Sheet3!$B$2:$B$500,MATCH(1,(INT(C248)+MOD(D248,1)&lt;INT(Sheet3!$A$2:$A$500)+TIME(18,0,0))*(INT(E248)+MOD(F248,1)&gt;=INT(Sheet3!$A$2:$A$500)),0)),0)</f>
        <v>Dhanteras</v>
      </c>
      <c r="N248" s="1" t="n">
        <f aca="false">IF(OR( AND(Q248=6,D248&gt;=TIME(17,0,0),OR(K248="12H Night",K248="Couple Half Night",K248="24H Night",K248="Couple Full Night")), AND(Q248=7,D248&gt;=TIME(6,0,0),D248&lt;TIME(12,0,0),OR(K248="12H Day",K248="Couple Half Day",K248="24H Day",K248="Couple Full Day")) ),1,0)</f>
        <v>0</v>
      </c>
      <c r="O248" s="1" t="n">
        <f aca="false">IF(OR( AND(MONTH(C248)=12,DAY(C248)&gt;=26), AND(MONTH(C248)=4,DAY(C248)&gt;=15), MONTH(C248)=5, AND(MONTH(C248)=6,DAY(C248)&lt;=10) ),1,0)</f>
        <v>0</v>
      </c>
      <c r="P248" s="1" t="str">
        <f aca="false">IF(OR(MONTH(C248)=3,MONTH(C248)=4,MONTH(C248)=5,MONTH(C248)=6), "Summer", IF(OR(MONTH(C248)=7,MONTH(C248)=8,MONTH(C248)=9,MONTH(C248)=10), "Monsoon", "Winter"))</f>
        <v>Monsoon</v>
      </c>
      <c r="Q248" s="1" t="n">
        <f aca="false">WEEKDAY(C248,2)</f>
        <v>1</v>
      </c>
      <c r="R248" s="0" t="n">
        <f aca="false">ROUNDDOWN(((INT(C248)+MOD(D248,1))-(INT(I248)+MOD(J248,1))),0)</f>
        <v>1</v>
      </c>
      <c r="S248" s="10"/>
    </row>
    <row r="249" customFormat="false" ht="192.95" hidden="false" customHeight="false" outlineLevel="0" collapsed="false">
      <c r="A249" s="8" t="s">
        <v>321</v>
      </c>
      <c r="B249" s="22" t="s">
        <v>470</v>
      </c>
      <c r="C249" s="18" t="n">
        <v>45594.7916666667</v>
      </c>
      <c r="D249" s="19" t="n">
        <v>45594.7916666667</v>
      </c>
      <c r="E249" s="18" t="n">
        <v>45595.7916666667</v>
      </c>
      <c r="F249" s="19" t="n">
        <v>45595.7916666667</v>
      </c>
      <c r="G249" s="20" t="n">
        <v>4000</v>
      </c>
      <c r="H249" s="8" t="n">
        <v>10</v>
      </c>
      <c r="I249" s="10" t="n">
        <v>45593</v>
      </c>
      <c r="J249" s="11" t="n">
        <v>0.916956018518252</v>
      </c>
      <c r="K249" s="1" t="str">
        <f aca="false">IF(L249&gt;24,     IF(H249=2,"Couple Extended Day","Extended Day"), IF(L249&lt;=12,     IF(AND(MOD(D249,1)&gt;=TIME(6,0,0),MOD(D249,1)&lt;TIME(18,0,0)),         IF(H249=2,"Couple Half Day","12H Day"),         IF(H249=2,"Couple Half Night","12H Night")), IF(L249&lt;=24,     IF(AND(MOD(D249,1)&gt;=TIME(6,0,0),MOD(D249,1)&lt;TIME(18,0,0)),         IF(H249=2,"Couple Full Day","24H Day"),         IF(H249=2,"Couple Full Night","24H Night")), "Check Data")))</f>
        <v>24H Night</v>
      </c>
      <c r="L249" s="12" t="n">
        <f aca="false">((INT(E249)+MOD(F249,1))-(INT(C249)+MOD(D249,1)))*24</f>
        <v>24</v>
      </c>
      <c r="M249" s="1" t="n">
        <f aca="false">IFERROR(INDEX(Sheet3!$B$2:$B$500,MATCH(1,(INT(C249)+MOD(D249,1)&lt;INT(Sheet3!$A$2:$A$500)+TIME(18,0,0))*(INT(E249)+MOD(F249,1)&gt;=INT(Sheet3!$A$2:$A$500)),0)),0)</f>
        <v>0</v>
      </c>
      <c r="N249" s="1" t="n">
        <f aca="false">IF(OR( AND(Q249=6,D249&gt;=TIME(17,0,0),OR(K249="12H Night",K249="Couple Half Night",K249="24H Night",K249="Couple Full Night")), AND(Q249=7,D249&gt;=TIME(6,0,0),D249&lt;TIME(12,0,0),OR(K249="12H Day",K249="Couple Half Day",K249="24H Day",K249="Couple Full Day")) ),1,0)</f>
        <v>0</v>
      </c>
      <c r="O249" s="1" t="n">
        <f aca="false">IF(OR( AND(MONTH(C249)=12,DAY(C249)&gt;=26), AND(MONTH(C249)=4,DAY(C249)&gt;=15), MONTH(C249)=5, AND(MONTH(C249)=6,DAY(C249)&lt;=10) ),1,0)</f>
        <v>0</v>
      </c>
      <c r="P249" s="1" t="str">
        <f aca="false">IF(OR(MONTH(C249)=3,MONTH(C249)=4,MONTH(C249)=5,MONTH(C249)=6), "Summer", IF(OR(MONTH(C249)=7,MONTH(C249)=8,MONTH(C249)=9,MONTH(C249)=10), "Monsoon", "Winter"))</f>
        <v>Monsoon</v>
      </c>
      <c r="Q249" s="1" t="n">
        <f aca="false">WEEKDAY(C249,2)</f>
        <v>2</v>
      </c>
      <c r="R249" s="0" t="n">
        <f aca="false">ROUNDDOWN(((INT(C249)+MOD(D249,1))-(INT(I249)+MOD(J249,1))),0)</f>
        <v>0</v>
      </c>
      <c r="S249" s="10"/>
    </row>
    <row r="250" customFormat="false" ht="192.95" hidden="false" customHeight="false" outlineLevel="0" collapsed="false">
      <c r="A250" s="8" t="s">
        <v>234</v>
      </c>
      <c r="B250" s="22" t="s">
        <v>471</v>
      </c>
      <c r="C250" s="18" t="n">
        <v>45597.5</v>
      </c>
      <c r="D250" s="19" t="n">
        <v>45597.5</v>
      </c>
      <c r="E250" s="18" t="n">
        <v>45598.5</v>
      </c>
      <c r="F250" s="19" t="n">
        <v>45598.5</v>
      </c>
      <c r="G250" s="20" t="n">
        <v>4500</v>
      </c>
      <c r="H250" s="8" t="n">
        <v>12</v>
      </c>
      <c r="I250" s="10" t="n">
        <v>45596</v>
      </c>
      <c r="J250" s="11" t="n">
        <v>0.947685185186852</v>
      </c>
      <c r="K250" s="1" t="str">
        <f aca="false">IF(L250&gt;24,     IF(H250=2,"Couple Extended Day","Extended Day"), IF(L250&lt;=12,     IF(AND(MOD(D250,1)&gt;=TIME(6,0,0),MOD(D250,1)&lt;TIME(18,0,0)),         IF(H250=2,"Couple Half Day","12H Day"),         IF(H250=2,"Couple Half Night","12H Night")), IF(L250&lt;=24,     IF(AND(MOD(D250,1)&gt;=TIME(6,0,0),MOD(D250,1)&lt;TIME(18,0,0)),         IF(H250=2,"Couple Full Day","24H Day"),         IF(H250=2,"Couple Full Night","24H Night")), "Check Data")))</f>
        <v>24H Day</v>
      </c>
      <c r="L250" s="12" t="n">
        <f aca="false">((INT(E250)+MOD(F250,1))-(INT(C250)+MOD(D250,1)))*24</f>
        <v>24</v>
      </c>
      <c r="M250" s="1" t="str">
        <f aca="false">IFERROR(INDEX(Sheet3!$B$2:$B$500,MATCH(1,(INT(C250)+MOD(D250,1)&lt;INT(Sheet3!$A$2:$A$500)+TIME(18,0,0))*(INT(E250)+MOD(F250,1)&gt;=INT(Sheet3!$A$2:$A$500)),0)),0)</f>
        <v>Diwali</v>
      </c>
      <c r="N250" s="1" t="n">
        <f aca="false">IF(OR( AND(Q250=6,D250&gt;=TIME(17,0,0),OR(K250="12H Night",K250="Couple Half Night",K250="24H Night",K250="Couple Full Night")), AND(Q250=7,D250&gt;=TIME(6,0,0),D250&lt;TIME(12,0,0),OR(K250="12H Day",K250="Couple Half Day",K250="24H Day",K250="Couple Full Day")) ),1,0)</f>
        <v>0</v>
      </c>
      <c r="O250" s="1" t="n">
        <f aca="false">IF(OR( AND(MONTH(C250)=12,DAY(C250)&gt;=26), AND(MONTH(C250)=4,DAY(C250)&gt;=15), MONTH(C250)=5, AND(MONTH(C250)=6,DAY(C250)&lt;=10) ),1,0)</f>
        <v>0</v>
      </c>
      <c r="P250" s="1" t="str">
        <f aca="false">IF(OR(MONTH(C250)=3,MONTH(C250)=4,MONTH(C250)=5,MONTH(C250)=6), "Summer", IF(OR(MONTH(C250)=7,MONTH(C250)=8,MONTH(C250)=9,MONTH(C250)=10), "Monsoon", "Winter"))</f>
        <v>Winter</v>
      </c>
      <c r="Q250" s="1" t="n">
        <f aca="false">WEEKDAY(C250,2)</f>
        <v>5</v>
      </c>
      <c r="R250" s="0" t="n">
        <f aca="false">ROUNDDOWN(((INT(C250)+MOD(D250,1))-(INT(I250)+MOD(J250,1))),0)</f>
        <v>0</v>
      </c>
      <c r="S250" s="10"/>
    </row>
    <row r="251" customFormat="false" ht="180.95" hidden="false" customHeight="false" outlineLevel="0" collapsed="false">
      <c r="A251" s="8" t="s">
        <v>472</v>
      </c>
      <c r="B251" s="22" t="s">
        <v>473</v>
      </c>
      <c r="C251" s="18" t="n">
        <v>45598.7916666667</v>
      </c>
      <c r="D251" s="19" t="n">
        <v>45598.7916666667</v>
      </c>
      <c r="E251" s="18" t="n">
        <v>45599.75</v>
      </c>
      <c r="F251" s="19" t="n">
        <v>45599.75</v>
      </c>
      <c r="G251" s="20" t="n">
        <v>6500</v>
      </c>
      <c r="H251" s="8" t="n">
        <v>8</v>
      </c>
      <c r="I251" s="10" t="n">
        <v>45591</v>
      </c>
      <c r="J251" s="11" t="n">
        <v>0.488668981481169</v>
      </c>
      <c r="K251" s="1" t="str">
        <f aca="false">IF(L251&gt;24,     IF(H251=2,"Couple Extended Day","Extended Day"), IF(L251&lt;=12,     IF(AND(MOD(D251,1)&gt;=TIME(6,0,0),MOD(D251,1)&lt;TIME(18,0,0)),         IF(H251=2,"Couple Half Day","12H Day"),         IF(H251=2,"Couple Half Night","12H Night")), IF(L251&lt;=24,     IF(AND(MOD(D251,1)&gt;=TIME(6,0,0),MOD(D251,1)&lt;TIME(18,0,0)),         IF(H251=2,"Couple Full Day","24H Day"),         IF(H251=2,"Couple Full Night","24H Night")), "Check Data")))</f>
        <v>24H Night</v>
      </c>
      <c r="L251" s="12" t="n">
        <f aca="false">((INT(E251)+MOD(F251,1))-(INT(C251)+MOD(D251,1)))*24</f>
        <v>22.9999999990105</v>
      </c>
      <c r="M251" s="1" t="str">
        <f aca="false">IFERROR(INDEX(Sheet3!$B$2:$B$500,MATCH(1,(INT(C251)+MOD(D251,1)&lt;INT(Sheet3!$A$2:$A$500)+TIME(18,0,0))*(INT(E251)+MOD(F251,1)&gt;=INT(Sheet3!$A$2:$A$500)),0)),0)</f>
        <v>Bhai Beej</v>
      </c>
      <c r="N251" s="1" t="n">
        <f aca="false">IF(OR( AND(Q251=6,D251&gt;=TIME(17,0,0),OR(K251="12H Night",K251="Couple Half Night",K251="24H Night",K251="Couple Full Night")), AND(Q251=7,D251&gt;=TIME(6,0,0),D251&lt;TIME(12,0,0),OR(K251="12H Day",K251="Couple Half Day",K251="24H Day",K251="Couple Full Day")) ),1,0)</f>
        <v>1</v>
      </c>
      <c r="O251" s="1" t="n">
        <f aca="false">IF(OR( AND(MONTH(C251)=12,DAY(C251)&gt;=26), AND(MONTH(C251)=4,DAY(C251)&gt;=15), MONTH(C251)=5, AND(MONTH(C251)=6,DAY(C251)&lt;=10) ),1,0)</f>
        <v>0</v>
      </c>
      <c r="P251" s="1" t="str">
        <f aca="false">IF(OR(MONTH(C251)=3,MONTH(C251)=4,MONTH(C251)=5,MONTH(C251)=6), "Summer", IF(OR(MONTH(C251)=7,MONTH(C251)=8,MONTH(C251)=9,MONTH(C251)=10), "Monsoon", "Winter"))</f>
        <v>Winter</v>
      </c>
      <c r="Q251" s="1" t="n">
        <f aca="false">WEEKDAY(C251,2)</f>
        <v>6</v>
      </c>
      <c r="R251" s="0" t="n">
        <f aca="false">ROUNDDOWN(((INT(C251)+MOD(D251,1))-(INT(I251)+MOD(J251,1))),0)</f>
        <v>7</v>
      </c>
      <c r="S251" s="10"/>
    </row>
    <row r="252" customFormat="false" ht="180.95" hidden="false" customHeight="false" outlineLevel="0" collapsed="false">
      <c r="A252" s="8" t="s">
        <v>474</v>
      </c>
      <c r="B252" s="22" t="s">
        <v>475</v>
      </c>
      <c r="C252" s="18" t="n">
        <v>45599.7916666667</v>
      </c>
      <c r="D252" s="19" t="n">
        <v>45599.7916666667</v>
      </c>
      <c r="E252" s="18" t="n">
        <v>45600.75</v>
      </c>
      <c r="F252" s="19" t="n">
        <v>45600.75</v>
      </c>
      <c r="G252" s="20" t="n">
        <v>4000</v>
      </c>
      <c r="H252" s="8" t="n">
        <v>15</v>
      </c>
      <c r="I252" s="10" t="n">
        <v>45597</v>
      </c>
      <c r="J252" s="11" t="n">
        <v>0.38171296296059</v>
      </c>
      <c r="K252" s="1" t="str">
        <f aca="false">IF(L252&gt;24,     IF(H252=2,"Couple Extended Day","Extended Day"), IF(L252&lt;=12,     IF(AND(MOD(D252,1)&gt;=TIME(6,0,0),MOD(D252,1)&lt;TIME(18,0,0)),         IF(H252=2,"Couple Half Day","12H Day"),         IF(H252=2,"Couple Half Night","12H Night")), IF(L252&lt;=24,     IF(AND(MOD(D252,1)&gt;=TIME(6,0,0),MOD(D252,1)&lt;TIME(18,0,0)),         IF(H252=2,"Couple Full Day","24H Day"),         IF(H252=2,"Couple Full Night","24H Night")), "Check Data")))</f>
        <v>24H Night</v>
      </c>
      <c r="L252" s="12" t="n">
        <f aca="false">((INT(E252)+MOD(F252,1))-(INT(C252)+MOD(D252,1)))*24</f>
        <v>22.9999999990105</v>
      </c>
      <c r="M252" s="1" t="n">
        <f aca="false">IFERROR(INDEX(Sheet3!$B$2:$B$500,MATCH(1,(INT(C252)+MOD(D252,1)&lt;INT(Sheet3!$A$2:$A$500)+TIME(18,0,0))*(INT(E252)+MOD(F252,1)&gt;=INT(Sheet3!$A$2:$A$500)),0)),0)</f>
        <v>0</v>
      </c>
      <c r="N252" s="1" t="n">
        <f aca="false">IF(OR( AND(Q252=6,D252&gt;=TIME(17,0,0),OR(K252="12H Night",K252="Couple Half Night",K252="24H Night",K252="Couple Full Night")), AND(Q252=7,D252&gt;=TIME(6,0,0),D252&lt;TIME(12,0,0),OR(K252="12H Day",K252="Couple Half Day",K252="24H Day",K252="Couple Full Day")) ),1,0)</f>
        <v>0</v>
      </c>
      <c r="O252" s="1" t="n">
        <f aca="false">IF(OR( AND(MONTH(C252)=12,DAY(C252)&gt;=26), AND(MONTH(C252)=4,DAY(C252)&gt;=15), MONTH(C252)=5, AND(MONTH(C252)=6,DAY(C252)&lt;=10) ),1,0)</f>
        <v>0</v>
      </c>
      <c r="P252" s="1" t="str">
        <f aca="false">IF(OR(MONTH(C252)=3,MONTH(C252)=4,MONTH(C252)=5,MONTH(C252)=6), "Summer", IF(OR(MONTH(C252)=7,MONTH(C252)=8,MONTH(C252)=9,MONTH(C252)=10), "Monsoon", "Winter"))</f>
        <v>Winter</v>
      </c>
      <c r="Q252" s="1" t="n">
        <f aca="false">WEEKDAY(C252,2)</f>
        <v>7</v>
      </c>
      <c r="R252" s="0" t="n">
        <f aca="false">ROUNDDOWN(((INT(C252)+MOD(D252,1))-(INT(I252)+MOD(J252,1))),0)</f>
        <v>2</v>
      </c>
      <c r="S252" s="10"/>
    </row>
    <row r="253" customFormat="false" ht="199.05" hidden="false" customHeight="false" outlineLevel="0" collapsed="false">
      <c r="A253" s="8" t="s">
        <v>476</v>
      </c>
      <c r="B253" s="22" t="s">
        <v>477</v>
      </c>
      <c r="C253" s="18" t="n">
        <v>45600.7916666667</v>
      </c>
      <c r="D253" s="19" t="n">
        <v>45600.7916666667</v>
      </c>
      <c r="E253" s="18" t="n">
        <v>45601.75</v>
      </c>
      <c r="F253" s="19" t="n">
        <v>45601.75</v>
      </c>
      <c r="G253" s="20" t="n">
        <v>4500</v>
      </c>
      <c r="H253" s="8" t="n">
        <v>17</v>
      </c>
      <c r="I253" s="10" t="n">
        <v>45596</v>
      </c>
      <c r="J253" s="11" t="n">
        <v>0.948888888888171</v>
      </c>
      <c r="K253" s="1" t="str">
        <f aca="false">IF(L253&gt;24,     IF(H253=2,"Couple Extended Day","Extended Day"), IF(L253&lt;=12,     IF(AND(MOD(D253,1)&gt;=TIME(6,0,0),MOD(D253,1)&lt;TIME(18,0,0)),         IF(H253=2,"Couple Half Day","12H Day"),         IF(H253=2,"Couple Half Night","12H Night")), IF(L253&lt;=24,     IF(AND(MOD(D253,1)&gt;=TIME(6,0,0),MOD(D253,1)&lt;TIME(18,0,0)),         IF(H253=2,"Couple Full Day","24H Day"),         IF(H253=2,"Couple Full Night","24H Night")), "Check Data")))</f>
        <v>24H Night</v>
      </c>
      <c r="L253" s="12" t="n">
        <f aca="false">((INT(E253)+MOD(F253,1))-(INT(C253)+MOD(D253,1)))*24</f>
        <v>22.9999999990105</v>
      </c>
      <c r="M253" s="1" t="n">
        <f aca="false">IFERROR(INDEX(Sheet3!$B$2:$B$500,MATCH(1,(INT(C253)+MOD(D253,1)&lt;INT(Sheet3!$A$2:$A$500)+TIME(18,0,0))*(INT(E253)+MOD(F253,1)&gt;=INT(Sheet3!$A$2:$A$500)),0)),0)</f>
        <v>0</v>
      </c>
      <c r="N253" s="1" t="n">
        <f aca="false">IF(OR( AND(Q253=6,D253&gt;=TIME(17,0,0),OR(K253="12H Night",K253="Couple Half Night",K253="24H Night",K253="Couple Full Night")), AND(Q253=7,D253&gt;=TIME(6,0,0),D253&lt;TIME(12,0,0),OR(K253="12H Day",K253="Couple Half Day",K253="24H Day",K253="Couple Full Day")) ),1,0)</f>
        <v>0</v>
      </c>
      <c r="O253" s="1" t="n">
        <f aca="false">IF(OR( AND(MONTH(C253)=12,DAY(C253)&gt;=26), AND(MONTH(C253)=4,DAY(C253)&gt;=15), MONTH(C253)=5, AND(MONTH(C253)=6,DAY(C253)&lt;=10) ),1,0)</f>
        <v>0</v>
      </c>
      <c r="P253" s="1" t="str">
        <f aca="false">IF(OR(MONTH(C253)=3,MONTH(C253)=4,MONTH(C253)=5,MONTH(C253)=6), "Summer", IF(OR(MONTH(C253)=7,MONTH(C253)=8,MONTH(C253)=9,MONTH(C253)=10), "Monsoon", "Winter"))</f>
        <v>Winter</v>
      </c>
      <c r="Q253" s="1" t="n">
        <f aca="false">WEEKDAY(C253,2)</f>
        <v>1</v>
      </c>
      <c r="R253" s="0" t="n">
        <f aca="false">ROUNDDOWN(((INT(C253)+MOD(D253,1))-(INT(I253)+MOD(J253,1))),0)</f>
        <v>3</v>
      </c>
      <c r="S253" s="10"/>
    </row>
    <row r="254" customFormat="false" ht="133.3" hidden="false" customHeight="false" outlineLevel="0" collapsed="false">
      <c r="A254" s="8" t="s">
        <v>260</v>
      </c>
      <c r="B254" s="22" t="s">
        <v>478</v>
      </c>
      <c r="C254" s="18" t="n">
        <v>45601.7916666667</v>
      </c>
      <c r="D254" s="19" t="n">
        <v>45601.7916666667</v>
      </c>
      <c r="E254" s="18" t="n">
        <v>45602.75</v>
      </c>
      <c r="F254" s="19" t="n">
        <v>45602.75</v>
      </c>
      <c r="G254" s="20" t="n">
        <v>4200</v>
      </c>
      <c r="H254" s="8" t="n">
        <v>10</v>
      </c>
      <c r="I254" s="10" t="n">
        <v>45600</v>
      </c>
      <c r="J254" s="11" t="n">
        <v>0.640254629630359</v>
      </c>
      <c r="K254" s="1" t="str">
        <f aca="false">IF(L254&gt;24,     IF(H254=2,"Couple Extended Day","Extended Day"), IF(L254&lt;=12,     IF(AND(MOD(D254,1)&gt;=TIME(6,0,0),MOD(D254,1)&lt;TIME(18,0,0)),         IF(H254=2,"Couple Half Day","12H Day"),         IF(H254=2,"Couple Half Night","12H Night")), IF(L254&lt;=24,     IF(AND(MOD(D254,1)&gt;=TIME(6,0,0),MOD(D254,1)&lt;TIME(18,0,0)),         IF(H254=2,"Couple Full Day","24H Day"),         IF(H254=2,"Couple Full Night","24H Night")), "Check Data")))</f>
        <v>24H Night</v>
      </c>
      <c r="L254" s="12" t="n">
        <f aca="false">((INT(E254)+MOD(F254,1))-(INT(C254)+MOD(D254,1)))*24</f>
        <v>22.9999999990105</v>
      </c>
      <c r="M254" s="1" t="n">
        <f aca="false">IFERROR(INDEX(Sheet3!$B$2:$B$500,MATCH(1,(INT(C254)+MOD(D254,1)&lt;INT(Sheet3!$A$2:$A$500)+TIME(18,0,0))*(INT(E254)+MOD(F254,1)&gt;=INT(Sheet3!$A$2:$A$500)),0)),0)</f>
        <v>0</v>
      </c>
      <c r="N254" s="1" t="n">
        <f aca="false">IF(OR( AND(Q254=6,D254&gt;=TIME(17,0,0),OR(K254="12H Night",K254="Couple Half Night",K254="24H Night",K254="Couple Full Night")), AND(Q254=7,D254&gt;=TIME(6,0,0),D254&lt;TIME(12,0,0),OR(K254="12H Day",K254="Couple Half Day",K254="24H Day",K254="Couple Full Day")) ),1,0)</f>
        <v>0</v>
      </c>
      <c r="O254" s="1" t="n">
        <f aca="false">IF(OR( AND(MONTH(C254)=12,DAY(C254)&gt;=26), AND(MONTH(C254)=4,DAY(C254)&gt;=15), MONTH(C254)=5, AND(MONTH(C254)=6,DAY(C254)&lt;=10) ),1,0)</f>
        <v>0</v>
      </c>
      <c r="P254" s="1" t="str">
        <f aca="false">IF(OR(MONTH(C254)=3,MONTH(C254)=4,MONTH(C254)=5,MONTH(C254)=6), "Summer", IF(OR(MONTH(C254)=7,MONTH(C254)=8,MONTH(C254)=9,MONTH(C254)=10), "Monsoon", "Winter"))</f>
        <v>Winter</v>
      </c>
      <c r="Q254" s="1" t="n">
        <f aca="false">WEEKDAY(C254,2)</f>
        <v>2</v>
      </c>
      <c r="R254" s="0" t="n">
        <f aca="false">ROUNDDOWN(((INT(C254)+MOD(D254,1))-(INT(I254)+MOD(J254,1))),0)</f>
        <v>1</v>
      </c>
      <c r="S254" s="10"/>
    </row>
    <row r="255" customFormat="false" ht="180.95" hidden="false" customHeight="false" outlineLevel="0" collapsed="false">
      <c r="A255" s="8" t="s">
        <v>479</v>
      </c>
      <c r="B255" s="22" t="s">
        <v>480</v>
      </c>
      <c r="C255" s="18" t="n">
        <v>45602.7916666667</v>
      </c>
      <c r="D255" s="19" t="n">
        <v>45602.7916666667</v>
      </c>
      <c r="E255" s="18" t="n">
        <v>45603.75</v>
      </c>
      <c r="F255" s="19" t="n">
        <v>45603.75</v>
      </c>
      <c r="G255" s="20" t="n">
        <v>4500</v>
      </c>
      <c r="H255" s="8" t="n">
        <v>12</v>
      </c>
      <c r="I255" s="10" t="n">
        <v>45591</v>
      </c>
      <c r="J255" s="11" t="n">
        <v>0.950555555551551</v>
      </c>
      <c r="K255" s="1" t="str">
        <f aca="false">IF(L255&gt;24,     IF(H255=2,"Couple Extended Day","Extended Day"), IF(L255&lt;=12,     IF(AND(MOD(D255,1)&gt;=TIME(6,0,0),MOD(D255,1)&lt;TIME(18,0,0)),         IF(H255=2,"Couple Half Day","12H Day"),         IF(H255=2,"Couple Half Night","12H Night")), IF(L255&lt;=24,     IF(AND(MOD(D255,1)&gt;=TIME(6,0,0),MOD(D255,1)&lt;TIME(18,0,0)),         IF(H255=2,"Couple Full Day","24H Day"),         IF(H255=2,"Couple Full Night","24H Night")), "Check Data")))</f>
        <v>24H Night</v>
      </c>
      <c r="L255" s="12" t="n">
        <f aca="false">((INT(E255)+MOD(F255,1))-(INT(C255)+MOD(D255,1)))*24</f>
        <v>22.9999999990105</v>
      </c>
      <c r="M255" s="1" t="n">
        <f aca="false">IFERROR(INDEX(Sheet3!$B$2:$B$500,MATCH(1,(INT(C255)+MOD(D255,1)&lt;INT(Sheet3!$A$2:$A$500)+TIME(18,0,0))*(INT(E255)+MOD(F255,1)&gt;=INT(Sheet3!$A$2:$A$500)),0)),0)</f>
        <v>0</v>
      </c>
      <c r="N255" s="1" t="n">
        <f aca="false">IF(OR( AND(Q255=6,D255&gt;=TIME(17,0,0),OR(K255="12H Night",K255="Couple Half Night",K255="24H Night",K255="Couple Full Night")), AND(Q255=7,D255&gt;=TIME(6,0,0),D255&lt;TIME(12,0,0),OR(K255="12H Day",K255="Couple Half Day",K255="24H Day",K255="Couple Full Day")) ),1,0)</f>
        <v>0</v>
      </c>
      <c r="O255" s="1" t="n">
        <f aca="false">IF(OR( AND(MONTH(C255)=12,DAY(C255)&gt;=26), AND(MONTH(C255)=4,DAY(C255)&gt;=15), MONTH(C255)=5, AND(MONTH(C255)=6,DAY(C255)&lt;=10) ),1,0)</f>
        <v>0</v>
      </c>
      <c r="P255" s="1" t="str">
        <f aca="false">IF(OR(MONTH(C255)=3,MONTH(C255)=4,MONTH(C255)=5,MONTH(C255)=6), "Summer", IF(OR(MONTH(C255)=7,MONTH(C255)=8,MONTH(C255)=9,MONTH(C255)=10), "Monsoon", "Winter"))</f>
        <v>Winter</v>
      </c>
      <c r="Q255" s="1" t="n">
        <f aca="false">WEEKDAY(C255,2)</f>
        <v>3</v>
      </c>
      <c r="R255" s="0" t="n">
        <f aca="false">ROUNDDOWN(((INT(C255)+MOD(D255,1))-(INT(I255)+MOD(J255,1))),0)</f>
        <v>10</v>
      </c>
      <c r="S255" s="10"/>
    </row>
    <row r="256" customFormat="false" ht="180.95" hidden="false" customHeight="false" outlineLevel="0" collapsed="false">
      <c r="A256" s="8" t="s">
        <v>481</v>
      </c>
      <c r="B256" s="22" t="s">
        <v>482</v>
      </c>
      <c r="C256" s="18" t="n">
        <v>45604.3333333333</v>
      </c>
      <c r="D256" s="19" t="n">
        <v>0</v>
      </c>
      <c r="E256" s="18" t="n">
        <v>45604.75</v>
      </c>
      <c r="F256" s="19" t="n">
        <v>45604.75</v>
      </c>
      <c r="G256" s="20" t="n">
        <v>4000</v>
      </c>
      <c r="H256" s="8" t="n">
        <v>15</v>
      </c>
      <c r="I256" s="10" t="n">
        <v>45603</v>
      </c>
      <c r="J256" s="11" t="n">
        <v>0.980763888888762</v>
      </c>
      <c r="K256" s="1" t="str">
        <f aca="false">IF(L256&gt;24,     IF(H256=2,"Couple Extended Day","Extended Day"), IF(L256&lt;=12,     IF(AND(MOD(D256,1)&gt;=TIME(6,0,0),MOD(D256,1)&lt;TIME(18,0,0)),         IF(H256=2,"Couple Half Day","12H Day"),         IF(H256=2,"Couple Half Night","12H Night")), IF(L256&lt;=24,     IF(AND(MOD(D256,1)&gt;=TIME(6,0,0),MOD(D256,1)&lt;TIME(18,0,0)),         IF(H256=2,"Couple Full Day","24H Day"),         IF(H256=2,"Couple Full Night","24H Night")), "Check Data")))</f>
        <v>24H Night</v>
      </c>
      <c r="L256" s="12" t="n">
        <f aca="false">((INT(E256)+MOD(F256,1))-(INT(C256)+MOD(D256,1)))*24</f>
        <v>18</v>
      </c>
      <c r="M256" s="1" t="n">
        <f aca="false">IFERROR(INDEX(Sheet3!$B$2:$B$500,MATCH(1,(INT(C256)+MOD(D256,1)&lt;INT(Sheet3!$A$2:$A$500)+TIME(18,0,0))*(INT(E256)+MOD(F256,1)&gt;=INT(Sheet3!$A$2:$A$500)),0)),0)</f>
        <v>0</v>
      </c>
      <c r="N256" s="1" t="n">
        <f aca="false">IF(OR( AND(Q256=6,D256&gt;=TIME(17,0,0),OR(K256="12H Night",K256="Couple Half Night",K256="24H Night",K256="Couple Full Night")), AND(Q256=7,D256&gt;=TIME(6,0,0),D256&lt;TIME(12,0,0),OR(K256="12H Day",K256="Couple Half Day",K256="24H Day",K256="Couple Full Day")) ),1,0)</f>
        <v>0</v>
      </c>
      <c r="O256" s="1" t="n">
        <f aca="false">IF(OR( AND(MONTH(C256)=12,DAY(C256)&gt;=26), AND(MONTH(C256)=4,DAY(C256)&gt;=15), MONTH(C256)=5, AND(MONTH(C256)=6,DAY(C256)&lt;=10) ),1,0)</f>
        <v>0</v>
      </c>
      <c r="P256" s="1" t="str">
        <f aca="false">IF(OR(MONTH(C256)=3,MONTH(C256)=4,MONTH(C256)=5,MONTH(C256)=6), "Summer", IF(OR(MONTH(C256)=7,MONTH(C256)=8,MONTH(C256)=9,MONTH(C256)=10), "Monsoon", "Winter"))</f>
        <v>Winter</v>
      </c>
      <c r="Q256" s="1" t="n">
        <f aca="false">WEEKDAY(C256,2)</f>
        <v>5</v>
      </c>
      <c r="R256" s="0" t="n">
        <f aca="false">ROUNDDOWN(((INT(C256)+MOD(D256,1))-(INT(I256)+MOD(J256,1))),0)</f>
        <v>0</v>
      </c>
      <c r="S256" s="10"/>
    </row>
    <row r="257" customFormat="false" ht="180.95" hidden="false" customHeight="false" outlineLevel="0" collapsed="false">
      <c r="A257" s="8" t="s">
        <v>300</v>
      </c>
      <c r="B257" s="22" t="s">
        <v>483</v>
      </c>
      <c r="C257" s="18" t="n">
        <v>45604.7916666667</v>
      </c>
      <c r="D257" s="19" t="n">
        <v>45604.7916666667</v>
      </c>
      <c r="E257" s="18" t="n">
        <v>45605.75</v>
      </c>
      <c r="F257" s="19" t="n">
        <v>45605.75</v>
      </c>
      <c r="G257" s="20" t="n">
        <v>4000</v>
      </c>
      <c r="H257" s="8" t="n">
        <v>8</v>
      </c>
      <c r="I257" s="10" t="n">
        <v>45605</v>
      </c>
      <c r="J257" s="11" t="n">
        <v>0.831331018518542</v>
      </c>
      <c r="K257" s="1" t="str">
        <f aca="false">IF(L257&gt;24,     IF(H257=2,"Couple Extended Day","Extended Day"), IF(L257&lt;=12,     IF(AND(MOD(D257,1)&gt;=TIME(6,0,0),MOD(D257,1)&lt;TIME(18,0,0)),         IF(H257=2,"Couple Half Day","12H Day"),         IF(H257=2,"Couple Half Night","12H Night")), IF(L257&lt;=24,     IF(AND(MOD(D257,1)&gt;=TIME(6,0,0),MOD(D257,1)&lt;TIME(18,0,0)),         IF(H257=2,"Couple Full Day","24H Day"),         IF(H257=2,"Couple Full Night","24H Night")), "Check Data")))</f>
        <v>24H Night</v>
      </c>
      <c r="L257" s="12" t="n">
        <f aca="false">((INT(E257)+MOD(F257,1))-(INT(C257)+MOD(D257,1)))*24</f>
        <v>22.9999999990105</v>
      </c>
      <c r="M257" s="1" t="n">
        <f aca="false">IFERROR(INDEX(Sheet3!$B$2:$B$500,MATCH(1,(INT(C257)+MOD(D257,1)&lt;INT(Sheet3!$A$2:$A$500)+TIME(18,0,0))*(INT(E257)+MOD(F257,1)&gt;=INT(Sheet3!$A$2:$A$500)),0)),0)</f>
        <v>0</v>
      </c>
      <c r="N257" s="1" t="n">
        <f aca="false">IF(OR( AND(Q257=6,D257&gt;=TIME(17,0,0),OR(K257="12H Night",K257="Couple Half Night",K257="24H Night",K257="Couple Full Night")), AND(Q257=7,D257&gt;=TIME(6,0,0),D257&lt;TIME(12,0,0),OR(K257="12H Day",K257="Couple Half Day",K257="24H Day",K257="Couple Full Day")) ),1,0)</f>
        <v>0</v>
      </c>
      <c r="O257" s="1" t="n">
        <f aca="false">IF(OR( AND(MONTH(C257)=12,DAY(C257)&gt;=26), AND(MONTH(C257)=4,DAY(C257)&gt;=15), MONTH(C257)=5, AND(MONTH(C257)=6,DAY(C257)&lt;=10) ),1,0)</f>
        <v>0</v>
      </c>
      <c r="P257" s="1" t="str">
        <f aca="false">IF(OR(MONTH(C257)=3,MONTH(C257)=4,MONTH(C257)=5,MONTH(C257)=6), "Summer", IF(OR(MONTH(C257)=7,MONTH(C257)=8,MONTH(C257)=9,MONTH(C257)=10), "Monsoon", "Winter"))</f>
        <v>Winter</v>
      </c>
      <c r="Q257" s="1" t="n">
        <f aca="false">WEEKDAY(C257,2)</f>
        <v>5</v>
      </c>
      <c r="R257" s="0" t="n">
        <v>0</v>
      </c>
      <c r="S257" s="10"/>
    </row>
    <row r="258" customFormat="false" ht="192.95" hidden="false" customHeight="false" outlineLevel="0" collapsed="false">
      <c r="A258" s="8" t="s">
        <v>484</v>
      </c>
      <c r="B258" s="22" t="s">
        <v>485</v>
      </c>
      <c r="C258" s="18" t="n">
        <v>45605.7916666667</v>
      </c>
      <c r="D258" s="19" t="n">
        <v>45605.7916666667</v>
      </c>
      <c r="E258" s="18" t="n">
        <v>45606.75</v>
      </c>
      <c r="F258" s="19" t="n">
        <v>45606.75</v>
      </c>
      <c r="G258" s="20" t="n">
        <v>5000</v>
      </c>
      <c r="H258" s="8" t="n">
        <v>15</v>
      </c>
      <c r="I258" s="10" t="n">
        <v>45582</v>
      </c>
      <c r="J258" s="11" t="n">
        <v>0.44819444444147</v>
      </c>
      <c r="K258" s="1" t="str">
        <f aca="false">IF(L258&gt;24,     IF(H258=2,"Couple Extended Day","Extended Day"), IF(L258&lt;=12,     IF(AND(MOD(D258,1)&gt;=TIME(6,0,0),MOD(D258,1)&lt;TIME(18,0,0)),         IF(H258=2,"Couple Half Day","12H Day"),         IF(H258=2,"Couple Half Night","12H Night")), IF(L258&lt;=24,     IF(AND(MOD(D258,1)&gt;=TIME(6,0,0),MOD(D258,1)&lt;TIME(18,0,0)),         IF(H258=2,"Couple Full Day","24H Day"),         IF(H258=2,"Couple Full Night","24H Night")), "Check Data")))</f>
        <v>24H Night</v>
      </c>
      <c r="L258" s="12" t="n">
        <f aca="false">((INT(E258)+MOD(F258,1))-(INT(C258)+MOD(D258,1)))*24</f>
        <v>22.9999999990105</v>
      </c>
      <c r="M258" s="1" t="n">
        <f aca="false">IFERROR(INDEX(Sheet3!$B$2:$B$500,MATCH(1,(INT(C258)+MOD(D258,1)&lt;INT(Sheet3!$A$2:$A$500)+TIME(18,0,0))*(INT(E258)+MOD(F258,1)&gt;=INT(Sheet3!$A$2:$A$500)),0)),0)</f>
        <v>0</v>
      </c>
      <c r="N258" s="1" t="n">
        <f aca="false">IF(OR( AND(Q258=6,D258&gt;=TIME(17,0,0),OR(K258="12H Night",K258="Couple Half Night",K258="24H Night",K258="Couple Full Night")), AND(Q258=7,D258&gt;=TIME(6,0,0),D258&lt;TIME(12,0,0),OR(K258="12H Day",K258="Couple Half Day",K258="24H Day",K258="Couple Full Day")) ),1,0)</f>
        <v>1</v>
      </c>
      <c r="O258" s="1" t="n">
        <f aca="false">IF(OR( AND(MONTH(C258)=12,DAY(C258)&gt;=26), AND(MONTH(C258)=4,DAY(C258)&gt;=15), MONTH(C258)=5, AND(MONTH(C258)=6,DAY(C258)&lt;=10) ),1,0)</f>
        <v>0</v>
      </c>
      <c r="P258" s="1" t="str">
        <f aca="false">IF(OR(MONTH(C258)=3,MONTH(C258)=4,MONTH(C258)=5,MONTH(C258)=6), "Summer", IF(OR(MONTH(C258)=7,MONTH(C258)=8,MONTH(C258)=9,MONTH(C258)=10), "Monsoon", "Winter"))</f>
        <v>Winter</v>
      </c>
      <c r="Q258" s="1" t="n">
        <f aca="false">WEEKDAY(C258,2)</f>
        <v>6</v>
      </c>
      <c r="R258" s="0" t="n">
        <f aca="false">ROUNDDOWN(((INT(C258)+MOD(D258,1))-(INT(I258)+MOD(J258,1))),0)</f>
        <v>23</v>
      </c>
      <c r="S258" s="10"/>
    </row>
    <row r="259" customFormat="false" ht="192.95" hidden="false" customHeight="false" outlineLevel="0" collapsed="false">
      <c r="A259" s="8" t="s">
        <v>486</v>
      </c>
      <c r="B259" s="22" t="s">
        <v>487</v>
      </c>
      <c r="C259" s="18" t="n">
        <v>45606.7916666667</v>
      </c>
      <c r="D259" s="19" t="n">
        <v>45606.7916666667</v>
      </c>
      <c r="E259" s="18" t="n">
        <v>45607.75</v>
      </c>
      <c r="F259" s="19" t="n">
        <v>45607.75</v>
      </c>
      <c r="G259" s="20" t="n">
        <v>4500</v>
      </c>
      <c r="H259" s="8" t="n">
        <v>10</v>
      </c>
      <c r="I259" s="10" t="n">
        <v>45605</v>
      </c>
      <c r="J259" s="11" t="n">
        <v>0.509976851855752</v>
      </c>
      <c r="K259" s="1" t="str">
        <f aca="false">IF(L259&gt;24,     IF(H259=2,"Couple Extended Day","Extended Day"), IF(L259&lt;=12,     IF(AND(MOD(D259,1)&gt;=TIME(6,0,0),MOD(D259,1)&lt;TIME(18,0,0)),         IF(H259=2,"Couple Half Day","12H Day"),         IF(H259=2,"Couple Half Night","12H Night")), IF(L259&lt;=24,     IF(AND(MOD(D259,1)&gt;=TIME(6,0,0),MOD(D259,1)&lt;TIME(18,0,0)),         IF(H259=2,"Couple Full Day","24H Day"),         IF(H259=2,"Couple Full Night","24H Night")), "Check Data")))</f>
        <v>24H Night</v>
      </c>
      <c r="L259" s="12" t="n">
        <f aca="false">((INT(E259)+MOD(F259,1))-(INT(C259)+MOD(D259,1)))*24</f>
        <v>22.9999999990105</v>
      </c>
      <c r="M259" s="1" t="n">
        <f aca="false">IFERROR(INDEX(Sheet3!$B$2:$B$500,MATCH(1,(INT(C259)+MOD(D259,1)&lt;INT(Sheet3!$A$2:$A$500)+TIME(18,0,0))*(INT(E259)+MOD(F259,1)&gt;=INT(Sheet3!$A$2:$A$500)),0)),0)</f>
        <v>0</v>
      </c>
      <c r="N259" s="1" t="n">
        <f aca="false">IF(OR( AND(Q259=6,D259&gt;=TIME(17,0,0),OR(K259="12H Night",K259="Couple Half Night",K259="24H Night",K259="Couple Full Night")), AND(Q259=7,D259&gt;=TIME(6,0,0),D259&lt;TIME(12,0,0),OR(K259="12H Day",K259="Couple Half Day",K259="24H Day",K259="Couple Full Day")) ),1,0)</f>
        <v>0</v>
      </c>
      <c r="O259" s="1" t="n">
        <f aca="false">IF(OR( AND(MONTH(C259)=12,DAY(C259)&gt;=26), AND(MONTH(C259)=4,DAY(C259)&gt;=15), MONTH(C259)=5, AND(MONTH(C259)=6,DAY(C259)&lt;=10) ),1,0)</f>
        <v>0</v>
      </c>
      <c r="P259" s="1" t="str">
        <f aca="false">IF(OR(MONTH(C259)=3,MONTH(C259)=4,MONTH(C259)=5,MONTH(C259)=6), "Summer", IF(OR(MONTH(C259)=7,MONTH(C259)=8,MONTH(C259)=9,MONTH(C259)=10), "Monsoon", "Winter"))</f>
        <v>Winter</v>
      </c>
      <c r="Q259" s="1" t="n">
        <f aca="false">WEEKDAY(C259,2)</f>
        <v>7</v>
      </c>
      <c r="R259" s="0" t="n">
        <f aca="false">ROUNDDOWN(((INT(C259)+MOD(D259,1))-(INT(I259)+MOD(J259,1))),0)</f>
        <v>1</v>
      </c>
      <c r="S259" s="10"/>
    </row>
    <row r="260" customFormat="false" ht="225.35" hidden="false" customHeight="false" outlineLevel="0" collapsed="false">
      <c r="A260" s="8" t="s">
        <v>268</v>
      </c>
      <c r="B260" s="22" t="s">
        <v>488</v>
      </c>
      <c r="C260" s="18" t="n">
        <v>45607.8333333333</v>
      </c>
      <c r="D260" s="19" t="n">
        <v>0</v>
      </c>
      <c r="E260" s="18" t="n">
        <v>45608.3333333333</v>
      </c>
      <c r="F260" s="19" t="n">
        <v>0</v>
      </c>
      <c r="G260" s="20" t="n">
        <v>2000</v>
      </c>
      <c r="H260" s="8" t="n">
        <v>3</v>
      </c>
      <c r="I260" s="10" t="n">
        <v>45606</v>
      </c>
      <c r="J260" s="11" t="n">
        <v>0.578645833331389</v>
      </c>
      <c r="K260" s="1" t="str">
        <f aca="false">IF(L260&gt;24,     IF(H260=2,"Couple Extended Day","Extended Day"), IF(L260&lt;=12,     IF(AND(MOD(D260,1)&gt;=TIME(6,0,0),MOD(D260,1)&lt;TIME(18,0,0)),         IF(H260=2,"Couple Half Day","12H Day"),         IF(H260=2,"Couple Half Night","12H Night")), IF(L260&lt;=24,     IF(AND(MOD(D260,1)&gt;=TIME(6,0,0),MOD(D260,1)&lt;TIME(18,0,0)),         IF(H260=2,"Couple Full Day","24H Day"),         IF(H260=2,"Couple Full Night","24H Night")), "Check Data")))</f>
        <v>24H Night</v>
      </c>
      <c r="L260" s="12" t="n">
        <f aca="false">((INT(E260)+MOD(F260,1))-(INT(C260)+MOD(D260,1)))*24</f>
        <v>24</v>
      </c>
      <c r="M260" s="1" t="n">
        <f aca="false">IFERROR(INDEX(Sheet3!$B$2:$B$500,MATCH(1,(INT(C260)+MOD(D260,1)&lt;INT(Sheet3!$A$2:$A$500)+TIME(18,0,0))*(INT(E260)+MOD(F260,1)&gt;=INT(Sheet3!$A$2:$A$500)),0)),0)</f>
        <v>0</v>
      </c>
      <c r="N260" s="1" t="n">
        <f aca="false">IF(OR( AND(Q260=6,D260&gt;=TIME(17,0,0),OR(K260="12H Night",K260="Couple Half Night",K260="24H Night",K260="Couple Full Night")), AND(Q260=7,D260&gt;=TIME(6,0,0),D260&lt;TIME(12,0,0),OR(K260="12H Day",K260="Couple Half Day",K260="24H Day",K260="Couple Full Day")) ),1,0)</f>
        <v>0</v>
      </c>
      <c r="O260" s="1" t="n">
        <f aca="false">IF(OR( AND(MONTH(C260)=12,DAY(C260)&gt;=26), AND(MONTH(C260)=4,DAY(C260)&gt;=15), MONTH(C260)=5, AND(MONTH(C260)=6,DAY(C260)&lt;=10) ),1,0)</f>
        <v>0</v>
      </c>
      <c r="P260" s="1" t="str">
        <f aca="false">IF(OR(MONTH(C260)=3,MONTH(C260)=4,MONTH(C260)=5,MONTH(C260)=6), "Summer", IF(OR(MONTH(C260)=7,MONTH(C260)=8,MONTH(C260)=9,MONTH(C260)=10), "Monsoon", "Winter"))</f>
        <v>Winter</v>
      </c>
      <c r="Q260" s="1" t="n">
        <f aca="false">WEEKDAY(C260,2)</f>
        <v>1</v>
      </c>
      <c r="R260" s="0" t="n">
        <f aca="false">ROUNDDOWN(((INT(C260)+MOD(D260,1))-(INT(I260)+MOD(J260,1))),0)</f>
        <v>0</v>
      </c>
      <c r="S260" s="10"/>
    </row>
    <row r="261" customFormat="false" ht="192.95" hidden="false" customHeight="false" outlineLevel="0" collapsed="false">
      <c r="A261" s="8" t="s">
        <v>489</v>
      </c>
      <c r="B261" s="22" t="s">
        <v>490</v>
      </c>
      <c r="C261" s="18" t="n">
        <v>45609.3333333333</v>
      </c>
      <c r="D261" s="19" t="n">
        <v>0</v>
      </c>
      <c r="E261" s="18" t="n">
        <v>45609.75</v>
      </c>
      <c r="F261" s="19" t="n">
        <v>45609.75</v>
      </c>
      <c r="G261" s="20" t="n">
        <v>2000</v>
      </c>
      <c r="H261" s="8" t="n">
        <v>2</v>
      </c>
      <c r="I261" s="10" t="n">
        <v>45608</v>
      </c>
      <c r="J261" s="11" t="n">
        <v>0.762986111112697</v>
      </c>
      <c r="K261" s="1" t="str">
        <f aca="false">IF(L261&gt;24,     IF(H261=2,"Couple Extended Day","Extended Day"), IF(L261&lt;=12,     IF(AND(MOD(D261,1)&gt;=TIME(6,0,0),MOD(D261,1)&lt;TIME(18,0,0)),         IF(H261=2,"Couple Half Day","12H Day"),         IF(H261=2,"Couple Half Night","12H Night")), IF(L261&lt;=24,     IF(AND(MOD(D261,1)&gt;=TIME(6,0,0),MOD(D261,1)&lt;TIME(18,0,0)),         IF(H261=2,"Couple Full Day","24H Day"),         IF(H261=2,"Couple Full Night","24H Night")), "Check Data")))</f>
        <v>Couple Full Night</v>
      </c>
      <c r="L261" s="12" t="n">
        <f aca="false">((INT(E261)+MOD(F261,1))-(INT(C261)+MOD(D261,1)))*24</f>
        <v>18</v>
      </c>
      <c r="M261" s="1" t="n">
        <f aca="false">IFERROR(INDEX(Sheet3!$B$2:$B$500,MATCH(1,(INT(C261)+MOD(D261,1)&lt;INT(Sheet3!$A$2:$A$500)+TIME(18,0,0))*(INT(E261)+MOD(F261,1)&gt;=INT(Sheet3!$A$2:$A$500)),0)),0)</f>
        <v>0</v>
      </c>
      <c r="N261" s="1" t="n">
        <f aca="false">IF(OR( AND(Q261=6,D261&gt;=TIME(17,0,0),OR(K261="12H Night",K261="Couple Half Night",K261="24H Night",K261="Couple Full Night")), AND(Q261=7,D261&gt;=TIME(6,0,0),D261&lt;TIME(12,0,0),OR(K261="12H Day",K261="Couple Half Day",K261="24H Day",K261="Couple Full Day")) ),1,0)</f>
        <v>0</v>
      </c>
      <c r="O261" s="1" t="n">
        <f aca="false">IF(OR( AND(MONTH(C261)=12,DAY(C261)&gt;=26), AND(MONTH(C261)=4,DAY(C261)&gt;=15), MONTH(C261)=5, AND(MONTH(C261)=6,DAY(C261)&lt;=10) ),1,0)</f>
        <v>0</v>
      </c>
      <c r="P261" s="1" t="str">
        <f aca="false">IF(OR(MONTH(C261)=3,MONTH(C261)=4,MONTH(C261)=5,MONTH(C261)=6), "Summer", IF(OR(MONTH(C261)=7,MONTH(C261)=8,MONTH(C261)=9,MONTH(C261)=10), "Monsoon", "Winter"))</f>
        <v>Winter</v>
      </c>
      <c r="Q261" s="1" t="n">
        <f aca="false">WEEKDAY(C261,2)</f>
        <v>3</v>
      </c>
      <c r="R261" s="0" t="n">
        <f aca="false">ROUNDDOWN(((INT(C261)+MOD(D261,1))-(INT(I261)+MOD(J261,1))),0)</f>
        <v>0</v>
      </c>
      <c r="S261" s="10"/>
    </row>
    <row r="262" customFormat="false" ht="192.95" hidden="false" customHeight="false" outlineLevel="0" collapsed="false">
      <c r="A262" s="8" t="s">
        <v>411</v>
      </c>
      <c r="B262" s="22" t="s">
        <v>491</v>
      </c>
      <c r="C262" s="18" t="n">
        <v>45609.7916666667</v>
      </c>
      <c r="D262" s="19" t="n">
        <v>45609.7916666667</v>
      </c>
      <c r="E262" s="18" t="n">
        <v>45609.9993055556</v>
      </c>
      <c r="F262" s="19" t="n">
        <v>45609.9993055556</v>
      </c>
      <c r="G262" s="20" t="n">
        <v>1000</v>
      </c>
      <c r="H262" s="8" t="n">
        <v>7</v>
      </c>
      <c r="I262" s="10" t="n">
        <v>45609</v>
      </c>
      <c r="J262" s="11" t="n">
        <v>0.743611111116482</v>
      </c>
      <c r="K262" s="1" t="str">
        <f aca="false">IF(L262&gt;24,     IF(H262=2,"Couple Extended Day","Extended Day"), IF(L262&lt;=12,     IF(AND(MOD(D262,1)&gt;=TIME(6,0,0),MOD(D262,1)&lt;TIME(18,0,0)),         IF(H262=2,"Couple Half Day","12H Day"),         IF(H262=2,"Couple Half Night","12H Night")), IF(L262&lt;=24,     IF(AND(MOD(D262,1)&gt;=TIME(6,0,0),MOD(D262,1)&lt;TIME(18,0,0)),         IF(H262=2,"Couple Full Day","24H Day"),         IF(H262=2,"Couple Full Night","24H Night")), "Check Data")))</f>
        <v>12H Night</v>
      </c>
      <c r="L262" s="12" t="n">
        <f aca="false">((INT(E262)+MOD(F262,1))-(INT(C262)+MOD(D262,1)))*24</f>
        <v>4.98333333333721</v>
      </c>
      <c r="M262" s="1" t="n">
        <f aca="false">IFERROR(INDEX(Sheet3!$B$2:$B$500,MATCH(1,(INT(C262)+MOD(D262,1)&lt;INT(Sheet3!$A$2:$A$500)+TIME(18,0,0))*(INT(E262)+MOD(F262,1)&gt;=INT(Sheet3!$A$2:$A$500)),0)),0)</f>
        <v>0</v>
      </c>
      <c r="N262" s="1" t="n">
        <f aca="false">IF(OR( AND(Q262=6,D262&gt;=TIME(17,0,0),OR(K262="12H Night",K262="Couple Half Night",K262="24H Night",K262="Couple Full Night")), AND(Q262=7,D262&gt;=TIME(6,0,0),D262&lt;TIME(12,0,0),OR(K262="12H Day",K262="Couple Half Day",K262="24H Day",K262="Couple Full Day")) ),1,0)</f>
        <v>0</v>
      </c>
      <c r="O262" s="1" t="n">
        <f aca="false">IF(OR( AND(MONTH(C262)=12,DAY(C262)&gt;=26), AND(MONTH(C262)=4,DAY(C262)&gt;=15), MONTH(C262)=5, AND(MONTH(C262)=6,DAY(C262)&lt;=10) ),1,0)</f>
        <v>0</v>
      </c>
      <c r="P262" s="1" t="str">
        <f aca="false">IF(OR(MONTH(C262)=3,MONTH(C262)=4,MONTH(C262)=5,MONTH(C262)=6), "Summer", IF(OR(MONTH(C262)=7,MONTH(C262)=8,MONTH(C262)=9,MONTH(C262)=10), "Monsoon", "Winter"))</f>
        <v>Winter</v>
      </c>
      <c r="Q262" s="1" t="n">
        <f aca="false">WEEKDAY(C262,2)</f>
        <v>3</v>
      </c>
      <c r="R262" s="0" t="n">
        <f aca="false">ROUNDDOWN(((INT(C262)+MOD(D262,1))-(INT(I262)+MOD(J262,1))),0)</f>
        <v>0</v>
      </c>
      <c r="S262" s="10"/>
    </row>
    <row r="263" customFormat="false" ht="192.95" hidden="false" customHeight="false" outlineLevel="0" collapsed="false">
      <c r="A263" s="8" t="s">
        <v>492</v>
      </c>
      <c r="B263" s="22" t="s">
        <v>493</v>
      </c>
      <c r="C263" s="18" t="n">
        <v>45610.375</v>
      </c>
      <c r="D263" s="19" t="n">
        <v>45610.375</v>
      </c>
      <c r="E263" s="18" t="n">
        <v>45610.75</v>
      </c>
      <c r="F263" s="19" t="n">
        <v>45610.75</v>
      </c>
      <c r="G263" s="20" t="n">
        <v>1500</v>
      </c>
      <c r="H263" s="8" t="n">
        <v>2</v>
      </c>
      <c r="I263" s="10" t="n">
        <v>45609</v>
      </c>
      <c r="J263" s="11" t="n">
        <v>0.635127314817512</v>
      </c>
      <c r="K263" s="1" t="str">
        <f aca="false">IF(L263&gt;24,     IF(H263=2,"Couple Extended Day","Extended Day"), IF(L263&lt;=12,     IF(AND(MOD(D263,1)&gt;=TIME(6,0,0),MOD(D263,1)&lt;TIME(18,0,0)),         IF(H263=2,"Couple Half Day","12H Day"),         IF(H263=2,"Couple Half Night","12H Night")), IF(L263&lt;=24,     IF(AND(MOD(D263,1)&gt;=TIME(6,0,0),MOD(D263,1)&lt;TIME(18,0,0)),         IF(H263=2,"Couple Full Day","24H Day"),         IF(H263=2,"Couple Full Night","24H Night")), "Check Data")))</f>
        <v>Couple Half Day</v>
      </c>
      <c r="L263" s="12" t="n">
        <f aca="false">((INT(E263)+MOD(F263,1))-(INT(C263)+MOD(D263,1)))*24</f>
        <v>9</v>
      </c>
      <c r="M263" s="1" t="n">
        <f aca="false">IFERROR(INDEX(Sheet3!$B$2:$B$500,MATCH(1,(INT(C263)+MOD(D263,1)&lt;INT(Sheet3!$A$2:$A$500)+TIME(18,0,0))*(INT(E263)+MOD(F263,1)&gt;=INT(Sheet3!$A$2:$A$500)),0)),0)</f>
        <v>0</v>
      </c>
      <c r="N263" s="1" t="n">
        <f aca="false">IF(OR( AND(Q263=6,D263&gt;=TIME(17,0,0),OR(K263="12H Night",K263="Couple Half Night",K263="24H Night",K263="Couple Full Night")), AND(Q263=7,D263&gt;=TIME(6,0,0),D263&lt;TIME(12,0,0),OR(K263="12H Day",K263="Couple Half Day",K263="24H Day",K263="Couple Full Day")) ),1,0)</f>
        <v>0</v>
      </c>
      <c r="O263" s="1" t="n">
        <f aca="false">IF(OR( AND(MONTH(C263)=12,DAY(C263)&gt;=26), AND(MONTH(C263)=4,DAY(C263)&gt;=15), MONTH(C263)=5, AND(MONTH(C263)=6,DAY(C263)&lt;=10) ),1,0)</f>
        <v>0</v>
      </c>
      <c r="P263" s="1" t="str">
        <f aca="false">IF(OR(MONTH(C263)=3,MONTH(C263)=4,MONTH(C263)=5,MONTH(C263)=6), "Summer", IF(OR(MONTH(C263)=7,MONTH(C263)=8,MONTH(C263)=9,MONTH(C263)=10), "Monsoon", "Winter"))</f>
        <v>Winter</v>
      </c>
      <c r="Q263" s="1" t="n">
        <f aca="false">WEEKDAY(C263,2)</f>
        <v>4</v>
      </c>
      <c r="R263" s="0" t="n">
        <f aca="false">ROUNDDOWN(((INT(C263)+MOD(D263,1))-(INT(I263)+MOD(J263,1))),0)</f>
        <v>0</v>
      </c>
      <c r="S263" s="10"/>
    </row>
    <row r="264" customFormat="false" ht="225.35" hidden="false" customHeight="false" outlineLevel="0" collapsed="false">
      <c r="A264" s="8" t="s">
        <v>494</v>
      </c>
      <c r="B264" s="22" t="s">
        <v>495</v>
      </c>
      <c r="C264" s="18" t="n">
        <v>45610.7916666667</v>
      </c>
      <c r="D264" s="19" t="n">
        <v>45610.7916666667</v>
      </c>
      <c r="E264" s="18" t="n">
        <v>45611.75</v>
      </c>
      <c r="F264" s="19" t="n">
        <v>45611.75</v>
      </c>
      <c r="G264" s="20" t="n">
        <v>4500</v>
      </c>
      <c r="H264" s="8" t="n">
        <v>12</v>
      </c>
      <c r="I264" s="10" t="n">
        <v>45609</v>
      </c>
      <c r="J264" s="11" t="n">
        <v>0.662326388890509</v>
      </c>
      <c r="K264" s="1" t="str">
        <f aca="false">IF(L264&gt;24,     IF(H264=2,"Couple Extended Day","Extended Day"), IF(L264&lt;=12,     IF(AND(MOD(D264,1)&gt;=TIME(6,0,0),MOD(D264,1)&lt;TIME(18,0,0)),         IF(H264=2,"Couple Half Day","12H Day"),         IF(H264=2,"Couple Half Night","12H Night")), IF(L264&lt;=24,     IF(AND(MOD(D264,1)&gt;=TIME(6,0,0),MOD(D264,1)&lt;TIME(18,0,0)),         IF(H264=2,"Couple Full Day","24H Day"),         IF(H264=2,"Couple Full Night","24H Night")), "Check Data")))</f>
        <v>24H Night</v>
      </c>
      <c r="L264" s="12" t="n">
        <f aca="false">((INT(E264)+MOD(F264,1))-(INT(C264)+MOD(D264,1)))*24</f>
        <v>22.9999999990105</v>
      </c>
      <c r="M264" s="1" t="n">
        <f aca="false">IFERROR(INDEX(Sheet3!$B$2:$B$500,MATCH(1,(INT(C264)+MOD(D264,1)&lt;INT(Sheet3!$A$2:$A$500)+TIME(18,0,0))*(INT(E264)+MOD(F264,1)&gt;=INT(Sheet3!$A$2:$A$500)),0)),0)</f>
        <v>0</v>
      </c>
      <c r="N264" s="1" t="n">
        <f aca="false">IF(OR( AND(Q264=6,D264&gt;=TIME(17,0,0),OR(K264="12H Night",K264="Couple Half Night",K264="24H Night",K264="Couple Full Night")), AND(Q264=7,D264&gt;=TIME(6,0,0),D264&lt;TIME(12,0,0),OR(K264="12H Day",K264="Couple Half Day",K264="24H Day",K264="Couple Full Day")) ),1,0)</f>
        <v>0</v>
      </c>
      <c r="O264" s="1" t="n">
        <f aca="false">IF(OR( AND(MONTH(C264)=12,DAY(C264)&gt;=26), AND(MONTH(C264)=4,DAY(C264)&gt;=15), MONTH(C264)=5, AND(MONTH(C264)=6,DAY(C264)&lt;=10) ),1,0)</f>
        <v>0</v>
      </c>
      <c r="P264" s="1" t="str">
        <f aca="false">IF(OR(MONTH(C264)=3,MONTH(C264)=4,MONTH(C264)=5,MONTH(C264)=6), "Summer", IF(OR(MONTH(C264)=7,MONTH(C264)=8,MONTH(C264)=9,MONTH(C264)=10), "Monsoon", "Winter"))</f>
        <v>Winter</v>
      </c>
      <c r="Q264" s="1" t="n">
        <f aca="false">WEEKDAY(C264,2)</f>
        <v>4</v>
      </c>
      <c r="R264" s="0" t="n">
        <f aca="false">ROUNDDOWN(((INT(C264)+MOD(D264,1))-(INT(I264)+MOD(J264,1))),0)</f>
        <v>1</v>
      </c>
      <c r="S264" s="10"/>
    </row>
    <row r="265" customFormat="false" ht="192.95" hidden="false" customHeight="false" outlineLevel="0" collapsed="false">
      <c r="A265" s="8" t="s">
        <v>204</v>
      </c>
      <c r="B265" s="22" t="s">
        <v>496</v>
      </c>
      <c r="C265" s="18" t="n">
        <v>45612.3333333333</v>
      </c>
      <c r="D265" s="19" t="n">
        <v>0</v>
      </c>
      <c r="E265" s="18" t="n">
        <v>45613.3333333333</v>
      </c>
      <c r="F265" s="19" t="n">
        <v>0</v>
      </c>
      <c r="G265" s="20" t="n">
        <v>4500</v>
      </c>
      <c r="H265" s="8" t="n">
        <v>8</v>
      </c>
      <c r="I265" s="10" t="n">
        <v>45608</v>
      </c>
      <c r="J265" s="11" t="n">
        <v>0.575960648144248</v>
      </c>
      <c r="K265" s="1" t="str">
        <f aca="false">IF(L265&gt;24,     IF(H265=2,"Couple Extended Day","Extended Day"), IF(L265&lt;=12,     IF(AND(MOD(D265,1)&gt;=TIME(6,0,0),MOD(D265,1)&lt;TIME(18,0,0)),         IF(H265=2,"Couple Half Day","12H Day"),         IF(H265=2,"Couple Half Night","12H Night")), IF(L265&lt;=24,     IF(AND(MOD(D265,1)&gt;=TIME(6,0,0),MOD(D265,1)&lt;TIME(18,0,0)),         IF(H265=2,"Couple Full Day","24H Day"),         IF(H265=2,"Couple Full Night","24H Night")), "Check Data")))</f>
        <v>24H Night</v>
      </c>
      <c r="L265" s="12" t="n">
        <f aca="false">((INT(E265)+MOD(F265,1))-(INT(C265)+MOD(D265,1)))*24</f>
        <v>24</v>
      </c>
      <c r="M265" s="1" t="n">
        <f aca="false">IFERROR(INDEX(Sheet3!$B$2:$B$500,MATCH(1,(INT(C265)+MOD(D265,1)&lt;INT(Sheet3!$A$2:$A$500)+TIME(18,0,0))*(INT(E265)+MOD(F265,1)&gt;=INT(Sheet3!$A$2:$A$500)),0)),0)</f>
        <v>0</v>
      </c>
      <c r="N265" s="1" t="n">
        <f aca="false">IF(OR( AND(Q265=6,D265&gt;=TIME(17,0,0),OR(K265="12H Night",K265="Couple Half Night",K265="24H Night",K265="Couple Full Night")), AND(Q265=7,D265&gt;=TIME(6,0,0),D265&lt;TIME(12,0,0),OR(K265="12H Day",K265="Couple Half Day",K265="24H Day",K265="Couple Full Day")) ),1,0)</f>
        <v>0</v>
      </c>
      <c r="O265" s="1" t="n">
        <f aca="false">IF(OR( AND(MONTH(C265)=12,DAY(C265)&gt;=26), AND(MONTH(C265)=4,DAY(C265)&gt;=15), MONTH(C265)=5, AND(MONTH(C265)=6,DAY(C265)&lt;=10) ),1,0)</f>
        <v>0</v>
      </c>
      <c r="P265" s="1" t="str">
        <f aca="false">IF(OR(MONTH(C265)=3,MONTH(C265)=4,MONTH(C265)=5,MONTH(C265)=6), "Summer", IF(OR(MONTH(C265)=7,MONTH(C265)=8,MONTH(C265)=9,MONTH(C265)=10), "Monsoon", "Winter"))</f>
        <v>Winter</v>
      </c>
      <c r="Q265" s="1" t="n">
        <f aca="false">WEEKDAY(C265,2)</f>
        <v>6</v>
      </c>
      <c r="R265" s="0" t="n">
        <f aca="false">ROUNDDOWN(((INT(C265)+MOD(D265,1))-(INT(I265)+MOD(J265,1))),0)</f>
        <v>3</v>
      </c>
      <c r="S265" s="10"/>
    </row>
    <row r="266" customFormat="false" ht="192.95" hidden="false" customHeight="false" outlineLevel="0" collapsed="false">
      <c r="A266" s="8" t="s">
        <v>268</v>
      </c>
      <c r="B266" s="22" t="s">
        <v>497</v>
      </c>
      <c r="C266" s="18" t="n">
        <v>45613.375</v>
      </c>
      <c r="D266" s="19" t="n">
        <v>45613.375</v>
      </c>
      <c r="E266" s="18" t="n">
        <v>45613.7916666667</v>
      </c>
      <c r="F266" s="19" t="n">
        <v>45613.7916666667</v>
      </c>
      <c r="G266" s="20" t="n">
        <v>3500</v>
      </c>
      <c r="H266" s="8" t="n">
        <v>10</v>
      </c>
      <c r="I266" s="10" t="n">
        <v>45611</v>
      </c>
      <c r="J266" s="11" t="n">
        <v>0.909768518518831</v>
      </c>
      <c r="K266" s="1" t="str">
        <f aca="false">IF(L266&gt;24,     IF(H266=2,"Couple Extended Day","Extended Day"), IF(L266&lt;=12,     IF(AND(MOD(D266,1)&gt;=TIME(6,0,0),MOD(D266,1)&lt;TIME(18,0,0)),         IF(H266=2,"Couple Half Day","12H Day"),         IF(H266=2,"Couple Half Night","12H Night")), IF(L266&lt;=24,     IF(AND(MOD(D266,1)&gt;=TIME(6,0,0),MOD(D266,1)&lt;TIME(18,0,0)),         IF(H266=2,"Couple Full Day","24H Day"),         IF(H266=2,"Couple Full Night","24H Night")), "Check Data")))</f>
        <v>12H Day</v>
      </c>
      <c r="L266" s="12" t="n">
        <f aca="false">((INT(E266)+MOD(F266,1))-(INT(C266)+MOD(D266,1)))*24</f>
        <v>10.0000000009895</v>
      </c>
      <c r="M266" s="1" t="n">
        <f aca="false">IFERROR(INDEX(Sheet3!$B$2:$B$500,MATCH(1,(INT(C266)+MOD(D266,1)&lt;INT(Sheet3!$A$2:$A$500)+TIME(18,0,0))*(INT(E266)+MOD(F266,1)&gt;=INT(Sheet3!$A$2:$A$500)),0)),0)</f>
        <v>0</v>
      </c>
      <c r="N266" s="1" t="n">
        <f aca="false">IF(OR( AND(Q266=6,D266&gt;=TIME(17,0,0),OR(K266="12H Night",K266="Couple Half Night",K266="24H Night",K266="Couple Full Night")), AND(Q266=7,D266&gt;=TIME(6,0,0),D266&lt;TIME(12,0,0),OR(K266="12H Day",K266="Couple Half Day",K266="24H Day",K266="Couple Full Day")) ),1,0)</f>
        <v>0</v>
      </c>
      <c r="O266" s="1" t="n">
        <f aca="false">IF(OR( AND(MONTH(C266)=12,DAY(C266)&gt;=26), AND(MONTH(C266)=4,DAY(C266)&gt;=15), MONTH(C266)=5, AND(MONTH(C266)=6,DAY(C266)&lt;=10) ),1,0)</f>
        <v>0</v>
      </c>
      <c r="P266" s="1" t="str">
        <f aca="false">IF(OR(MONTH(C266)=3,MONTH(C266)=4,MONTH(C266)=5,MONTH(C266)=6), "Summer", IF(OR(MONTH(C266)=7,MONTH(C266)=8,MONTH(C266)=9,MONTH(C266)=10), "Monsoon", "Winter"))</f>
        <v>Winter</v>
      </c>
      <c r="Q266" s="1" t="n">
        <f aca="false">WEEKDAY(C266,2)</f>
        <v>7</v>
      </c>
      <c r="R266" s="0" t="n">
        <f aca="false">ROUNDDOWN(((INT(C266)+MOD(D266,1))-(INT(I266)+MOD(J266,1))),0)</f>
        <v>1</v>
      </c>
      <c r="S266" s="10"/>
    </row>
    <row r="267" customFormat="false" ht="133.3" hidden="false" customHeight="false" outlineLevel="0" collapsed="false">
      <c r="A267" s="8" t="s">
        <v>383</v>
      </c>
      <c r="B267" s="22" t="s">
        <v>498</v>
      </c>
      <c r="C267" s="18" t="n">
        <v>45614.4583333333</v>
      </c>
      <c r="D267" s="19" t="n">
        <v>0</v>
      </c>
      <c r="E267" s="18" t="n">
        <v>45614.7083333333</v>
      </c>
      <c r="F267" s="19" t="n">
        <v>0</v>
      </c>
      <c r="G267" s="20" t="n">
        <v>1000</v>
      </c>
      <c r="H267" s="8" t="n">
        <v>2</v>
      </c>
      <c r="I267" s="10" t="n">
        <v>45614</v>
      </c>
      <c r="J267" s="11" t="n">
        <v>0.441574074073287</v>
      </c>
      <c r="K267" s="1" t="str">
        <f aca="false">IF(L267&gt;24,     IF(H267=2,"Couple Extended Day","Extended Day"), IF(L267&lt;=12,     IF(AND(MOD(D267,1)&gt;=TIME(6,0,0),MOD(D267,1)&lt;TIME(18,0,0)),         IF(H267=2,"Couple Half Day","12H Day"),         IF(H267=2,"Couple Half Night","12H Night")), IF(L267&lt;=24,     IF(AND(MOD(D267,1)&gt;=TIME(6,0,0),MOD(D267,1)&lt;TIME(18,0,0)),         IF(H267=2,"Couple Full Day","24H Day"),         IF(H267=2,"Couple Full Night","24H Night")), "Check Data")))</f>
        <v>Couple Half Night</v>
      </c>
      <c r="L267" s="12" t="n">
        <f aca="false">((INT(E267)+MOD(F267,1))-(INT(C267)+MOD(D267,1)))*24</f>
        <v>0</v>
      </c>
      <c r="M267" s="1" t="n">
        <f aca="false">IFERROR(INDEX(Sheet3!$B$2:$B$500,MATCH(1,(INT(C267)+MOD(D267,1)&lt;INT(Sheet3!$A$2:$A$500)+TIME(18,0,0))*(INT(E267)+MOD(F267,1)&gt;=INT(Sheet3!$A$2:$A$500)),0)),0)</f>
        <v>0</v>
      </c>
      <c r="N267" s="1" t="n">
        <f aca="false">IF(OR( AND(Q267=6,D267&gt;=TIME(17,0,0),OR(K267="12H Night",K267="Couple Half Night",K267="24H Night",K267="Couple Full Night")), AND(Q267=7,D267&gt;=TIME(6,0,0),D267&lt;TIME(12,0,0),OR(K267="12H Day",K267="Couple Half Day",K267="24H Day",K267="Couple Full Day")) ),1,0)</f>
        <v>0</v>
      </c>
      <c r="O267" s="1" t="n">
        <f aca="false">IF(OR( AND(MONTH(C267)=12,DAY(C267)&gt;=26), AND(MONTH(C267)=4,DAY(C267)&gt;=15), MONTH(C267)=5, AND(MONTH(C267)=6,DAY(C267)&lt;=10) ),1,0)</f>
        <v>0</v>
      </c>
      <c r="P267" s="1" t="str">
        <f aca="false">IF(OR(MONTH(C267)=3,MONTH(C267)=4,MONTH(C267)=5,MONTH(C267)=6), "Summer", IF(OR(MONTH(C267)=7,MONTH(C267)=8,MONTH(C267)=9,MONTH(C267)=10), "Monsoon", "Winter"))</f>
        <v>Winter</v>
      </c>
      <c r="Q267" s="1" t="n">
        <f aca="false">WEEKDAY(C267,2)</f>
        <v>1</v>
      </c>
      <c r="R267" s="0" t="n">
        <f aca="false">ROUNDDOWN(((INT(C267)+MOD(D267,1))-(INT(I267)+MOD(J267,1))),0)</f>
        <v>-0</v>
      </c>
      <c r="S267" s="10"/>
    </row>
    <row r="268" customFormat="false" ht="212.2" hidden="false" customHeight="false" outlineLevel="0" collapsed="false">
      <c r="A268" s="8" t="s">
        <v>499</v>
      </c>
      <c r="B268" s="22" t="s">
        <v>500</v>
      </c>
      <c r="C268" s="18" t="n">
        <v>45615.3333333333</v>
      </c>
      <c r="D268" s="19" t="n">
        <v>0</v>
      </c>
      <c r="E268" s="18" t="n">
        <v>45615.75</v>
      </c>
      <c r="F268" s="19" t="n">
        <v>45615.75</v>
      </c>
      <c r="G268" s="20" t="n">
        <v>3000</v>
      </c>
      <c r="H268" s="8" t="n">
        <v>7</v>
      </c>
      <c r="I268" s="10" t="n">
        <v>45614</v>
      </c>
      <c r="J268" s="11" t="n">
        <v>0.577719907407303</v>
      </c>
      <c r="K268" s="1" t="str">
        <f aca="false">IF(L268&gt;24,     IF(H268=2,"Couple Extended Day","Extended Day"), IF(L268&lt;=12,     IF(AND(MOD(D268,1)&gt;=TIME(6,0,0),MOD(D268,1)&lt;TIME(18,0,0)),         IF(H268=2,"Couple Half Day","12H Day"),         IF(H268=2,"Couple Half Night","12H Night")), IF(L268&lt;=24,     IF(AND(MOD(D268,1)&gt;=TIME(6,0,0),MOD(D268,1)&lt;TIME(18,0,0)),         IF(H268=2,"Couple Full Day","24H Day"),         IF(H268=2,"Couple Full Night","24H Night")), "Check Data")))</f>
        <v>24H Night</v>
      </c>
      <c r="L268" s="12" t="n">
        <f aca="false">((INT(E268)+MOD(F268,1))-(INT(C268)+MOD(D268,1)))*24</f>
        <v>18</v>
      </c>
      <c r="M268" s="1" t="n">
        <f aca="false">IFERROR(INDEX(Sheet3!$B$2:$B$500,MATCH(1,(INT(C268)+MOD(D268,1)&lt;INT(Sheet3!$A$2:$A$500)+TIME(18,0,0))*(INT(E268)+MOD(F268,1)&gt;=INT(Sheet3!$A$2:$A$500)),0)),0)</f>
        <v>0</v>
      </c>
      <c r="N268" s="1" t="n">
        <f aca="false">IF(OR( AND(Q268=6,D268&gt;=TIME(17,0,0),OR(K268="12H Night",K268="Couple Half Night",K268="24H Night",K268="Couple Full Night")), AND(Q268=7,D268&gt;=TIME(6,0,0),D268&lt;TIME(12,0,0),OR(K268="12H Day",K268="Couple Half Day",K268="24H Day",K268="Couple Full Day")) ),1,0)</f>
        <v>0</v>
      </c>
      <c r="O268" s="1" t="n">
        <f aca="false">IF(OR( AND(MONTH(C268)=12,DAY(C268)&gt;=26), AND(MONTH(C268)=4,DAY(C268)&gt;=15), MONTH(C268)=5, AND(MONTH(C268)=6,DAY(C268)&lt;=10) ),1,0)</f>
        <v>0</v>
      </c>
      <c r="P268" s="1" t="str">
        <f aca="false">IF(OR(MONTH(C268)=3,MONTH(C268)=4,MONTH(C268)=5,MONTH(C268)=6), "Summer", IF(OR(MONTH(C268)=7,MONTH(C268)=8,MONTH(C268)=9,MONTH(C268)=10), "Monsoon", "Winter"))</f>
        <v>Winter</v>
      </c>
      <c r="Q268" s="1" t="n">
        <f aca="false">WEEKDAY(C268,2)</f>
        <v>2</v>
      </c>
      <c r="R268" s="0" t="n">
        <f aca="false">ROUNDDOWN(((INT(C268)+MOD(D268,1))-(INT(I268)+MOD(J268,1))),0)</f>
        <v>0</v>
      </c>
      <c r="S268" s="10"/>
    </row>
    <row r="269" customFormat="false" ht="41.3" hidden="false" customHeight="false" outlineLevel="0" collapsed="false">
      <c r="A269" s="8" t="s">
        <v>243</v>
      </c>
      <c r="B269" s="22" t="s">
        <v>501</v>
      </c>
      <c r="C269" s="18" t="n">
        <v>45617.3333333333</v>
      </c>
      <c r="D269" s="19" t="n">
        <v>0</v>
      </c>
      <c r="E269" s="18" t="n">
        <v>45617.75</v>
      </c>
      <c r="F269" s="19" t="n">
        <v>45617.75</v>
      </c>
      <c r="G269" s="20" t="n">
        <v>2000</v>
      </c>
      <c r="H269" s="8" t="n">
        <v>2</v>
      </c>
      <c r="I269" s="10" t="n">
        <v>45616</v>
      </c>
      <c r="J269" s="11" t="n">
        <v>0.869780092587465</v>
      </c>
      <c r="K269" s="1" t="str">
        <f aca="false">IF(L269&gt;24,     IF(H269=2,"Couple Extended Day","Extended Day"), IF(L269&lt;=12,     IF(AND(MOD(D269,1)&gt;=TIME(6,0,0),MOD(D269,1)&lt;TIME(18,0,0)),         IF(H269=2,"Couple Half Day","12H Day"),         IF(H269=2,"Couple Half Night","12H Night")), IF(L269&lt;=24,     IF(AND(MOD(D269,1)&gt;=TIME(6,0,0),MOD(D269,1)&lt;TIME(18,0,0)),         IF(H269=2,"Couple Full Day","24H Day"),         IF(H269=2,"Couple Full Night","24H Night")), "Check Data")))</f>
        <v>Couple Full Night</v>
      </c>
      <c r="L269" s="12" t="n">
        <f aca="false">((INT(E269)+MOD(F269,1))-(INT(C269)+MOD(D269,1)))*24</f>
        <v>18</v>
      </c>
      <c r="M269" s="1" t="n">
        <f aca="false">IFERROR(INDEX(Sheet3!$B$2:$B$500,MATCH(1,(INT(C269)+MOD(D269,1)&lt;INT(Sheet3!$A$2:$A$500)+TIME(18,0,0))*(INT(E269)+MOD(F269,1)&gt;=INT(Sheet3!$A$2:$A$500)),0)),0)</f>
        <v>0</v>
      </c>
      <c r="N269" s="1" t="n">
        <f aca="false">IF(OR( AND(Q269=6,D269&gt;=TIME(17,0,0),OR(K269="12H Night",K269="Couple Half Night",K269="24H Night",K269="Couple Full Night")), AND(Q269=7,D269&gt;=TIME(6,0,0),D269&lt;TIME(12,0,0),OR(K269="12H Day",K269="Couple Half Day",K269="24H Day",K269="Couple Full Day")) ),1,0)</f>
        <v>0</v>
      </c>
      <c r="O269" s="1" t="n">
        <f aca="false">IF(OR( AND(MONTH(C269)=12,DAY(C269)&gt;=26), AND(MONTH(C269)=4,DAY(C269)&gt;=15), MONTH(C269)=5, AND(MONTH(C269)=6,DAY(C269)&lt;=10) ),1,0)</f>
        <v>0</v>
      </c>
      <c r="P269" s="1" t="str">
        <f aca="false">IF(OR(MONTH(C269)=3,MONTH(C269)=4,MONTH(C269)=5,MONTH(C269)=6), "Summer", IF(OR(MONTH(C269)=7,MONTH(C269)=8,MONTH(C269)=9,MONTH(C269)=10), "Monsoon", "Winter"))</f>
        <v>Winter</v>
      </c>
      <c r="Q269" s="1" t="n">
        <f aca="false">WEEKDAY(C269,2)</f>
        <v>4</v>
      </c>
      <c r="R269" s="0" t="n">
        <f aca="false">ROUNDDOWN(((INT(C269)+MOD(D269,1))-(INT(I269)+MOD(J269,1))),0)</f>
        <v>0</v>
      </c>
      <c r="S269" s="10"/>
    </row>
    <row r="270" customFormat="false" ht="192.95" hidden="false" customHeight="false" outlineLevel="0" collapsed="false">
      <c r="A270" s="8" t="s">
        <v>400</v>
      </c>
      <c r="B270" s="22" t="s">
        <v>502</v>
      </c>
      <c r="C270" s="18" t="n">
        <v>45618.8333333333</v>
      </c>
      <c r="D270" s="19" t="n">
        <v>0</v>
      </c>
      <c r="E270" s="18" t="n">
        <v>45619.3333333333</v>
      </c>
      <c r="F270" s="19" t="n">
        <v>0</v>
      </c>
      <c r="G270" s="20" t="n">
        <v>2300</v>
      </c>
      <c r="H270" s="8" t="n">
        <v>15</v>
      </c>
      <c r="I270" s="10" t="n">
        <v>45618</v>
      </c>
      <c r="J270" s="11" t="n">
        <v>0.581018518518252</v>
      </c>
      <c r="K270" s="1" t="str">
        <f aca="false">IF(L270&gt;24,     IF(H270=2,"Couple Extended Day","Extended Day"), IF(L270&lt;=12,     IF(AND(MOD(D270,1)&gt;=TIME(6,0,0),MOD(D270,1)&lt;TIME(18,0,0)),         IF(H270=2,"Couple Half Day","12H Day"),         IF(H270=2,"Couple Half Night","12H Night")), IF(L270&lt;=24,     IF(AND(MOD(D270,1)&gt;=TIME(6,0,0),MOD(D270,1)&lt;TIME(18,0,0)),         IF(H270=2,"Couple Full Day","24H Day"),         IF(H270=2,"Couple Full Night","24H Night")), "Check Data")))</f>
        <v>24H Night</v>
      </c>
      <c r="L270" s="12" t="n">
        <f aca="false">((INT(E270)+MOD(F270,1))-(INT(C270)+MOD(D270,1)))*24</f>
        <v>24</v>
      </c>
      <c r="M270" s="1" t="n">
        <f aca="false">IFERROR(INDEX(Sheet3!$B$2:$B$500,MATCH(1,(INT(C270)+MOD(D270,1)&lt;INT(Sheet3!$A$2:$A$500)+TIME(18,0,0))*(INT(E270)+MOD(F270,1)&gt;=INT(Sheet3!$A$2:$A$500)),0)),0)</f>
        <v>0</v>
      </c>
      <c r="N270" s="1" t="n">
        <f aca="false">IF(OR( AND(Q270=6,D270&gt;=TIME(17,0,0),OR(K270="12H Night",K270="Couple Half Night",K270="24H Night",K270="Couple Full Night")), AND(Q270=7,D270&gt;=TIME(6,0,0),D270&lt;TIME(12,0,0),OR(K270="12H Day",K270="Couple Half Day",K270="24H Day",K270="Couple Full Day")) ),1,0)</f>
        <v>0</v>
      </c>
      <c r="O270" s="1" t="n">
        <f aca="false">IF(OR( AND(MONTH(C270)=12,DAY(C270)&gt;=26), AND(MONTH(C270)=4,DAY(C270)&gt;=15), MONTH(C270)=5, AND(MONTH(C270)=6,DAY(C270)&lt;=10) ),1,0)</f>
        <v>0</v>
      </c>
      <c r="P270" s="1" t="str">
        <f aca="false">IF(OR(MONTH(C270)=3,MONTH(C270)=4,MONTH(C270)=5,MONTH(C270)=6), "Summer", IF(OR(MONTH(C270)=7,MONTH(C270)=8,MONTH(C270)=9,MONTH(C270)=10), "Monsoon", "Winter"))</f>
        <v>Winter</v>
      </c>
      <c r="Q270" s="1" t="n">
        <f aca="false">WEEKDAY(C270,2)</f>
        <v>5</v>
      </c>
      <c r="R270" s="0" t="n">
        <f aca="false">ROUNDDOWN(((INT(C270)+MOD(D270,1))-(INT(I270)+MOD(J270,1))),0)</f>
        <v>-0</v>
      </c>
      <c r="S270" s="10"/>
    </row>
    <row r="271" customFormat="false" ht="192.95" hidden="false" customHeight="false" outlineLevel="0" collapsed="false">
      <c r="A271" s="8" t="s">
        <v>503</v>
      </c>
      <c r="B271" s="22" t="s">
        <v>504</v>
      </c>
      <c r="C271" s="18" t="n">
        <v>45619.375</v>
      </c>
      <c r="D271" s="19" t="n">
        <v>45619.375</v>
      </c>
      <c r="E271" s="18" t="n">
        <v>45619.7083333333</v>
      </c>
      <c r="F271" s="19" t="n">
        <v>0</v>
      </c>
      <c r="G271" s="20" t="n">
        <v>1500</v>
      </c>
      <c r="H271" s="8" t="n">
        <v>2</v>
      </c>
      <c r="I271" s="10" t="n">
        <v>45618</v>
      </c>
      <c r="J271" s="11" t="n">
        <v>0.961168981477384</v>
      </c>
      <c r="K271" s="1" t="str">
        <f aca="false">IF(L271&gt;24,     IF(H271=2,"Couple Extended Day","Extended Day"), IF(L271&lt;=12,     IF(AND(MOD(D271,1)&gt;=TIME(6,0,0),MOD(D271,1)&lt;TIME(18,0,0)),         IF(H271=2,"Couple Half Day","12H Day"),         IF(H271=2,"Couple Half Night","12H Night")), IF(L271&lt;=24,     IF(AND(MOD(D271,1)&gt;=TIME(6,0,0),MOD(D271,1)&lt;TIME(18,0,0)),         IF(H271=2,"Couple Full Day","24H Day"),         IF(H271=2,"Couple Full Night","24H Night")), "Check Data")))</f>
        <v>Couple Half Day</v>
      </c>
      <c r="L271" s="12" t="n">
        <f aca="false">((INT(E271)+MOD(F271,1))-(INT(C271)+MOD(D271,1)))*24</f>
        <v>-9</v>
      </c>
      <c r="M271" s="1" t="n">
        <f aca="false">IFERROR(INDEX(Sheet3!$B$2:$B$500,MATCH(1,(INT(C271)+MOD(D271,1)&lt;INT(Sheet3!$A$2:$A$500)+TIME(18,0,0))*(INT(E271)+MOD(F271,1)&gt;=INT(Sheet3!$A$2:$A$500)),0)),0)</f>
        <v>0</v>
      </c>
      <c r="N271" s="1" t="n">
        <f aca="false">IF(OR( AND(Q271=6,D271&gt;=TIME(17,0,0),OR(K271="12H Night",K271="Couple Half Night",K271="24H Night",K271="Couple Full Night")), AND(Q271=7,D271&gt;=TIME(6,0,0),D271&lt;TIME(12,0,0),OR(K271="12H Day",K271="Couple Half Day",K271="24H Day",K271="Couple Full Day")) ),1,0)</f>
        <v>0</v>
      </c>
      <c r="O271" s="1" t="n">
        <f aca="false">IF(OR( AND(MONTH(C271)=12,DAY(C271)&gt;=26), AND(MONTH(C271)=4,DAY(C271)&gt;=15), MONTH(C271)=5, AND(MONTH(C271)=6,DAY(C271)&lt;=10) ),1,0)</f>
        <v>0</v>
      </c>
      <c r="P271" s="1" t="str">
        <f aca="false">IF(OR(MONTH(C271)=3,MONTH(C271)=4,MONTH(C271)=5,MONTH(C271)=6), "Summer", IF(OR(MONTH(C271)=7,MONTH(C271)=8,MONTH(C271)=9,MONTH(C271)=10), "Monsoon", "Winter"))</f>
        <v>Winter</v>
      </c>
      <c r="Q271" s="1" t="n">
        <f aca="false">WEEKDAY(C271,2)</f>
        <v>6</v>
      </c>
      <c r="R271" s="0" t="n">
        <f aca="false">ROUNDDOWN(((INT(C271)+MOD(D271,1))-(INT(I271)+MOD(J271,1))),0)</f>
        <v>0</v>
      </c>
      <c r="S271" s="10"/>
    </row>
    <row r="272" customFormat="false" ht="192.95" hidden="false" customHeight="false" outlineLevel="0" collapsed="false">
      <c r="A272" s="8" t="s">
        <v>505</v>
      </c>
      <c r="B272" s="22" t="s">
        <v>506</v>
      </c>
      <c r="C272" s="18" t="n">
        <v>45619.7916666667</v>
      </c>
      <c r="D272" s="19" t="n">
        <v>45619.7916666667</v>
      </c>
      <c r="E272" s="18" t="n">
        <v>45620.75</v>
      </c>
      <c r="F272" s="19" t="n">
        <v>45620.75</v>
      </c>
      <c r="G272" s="20" t="n">
        <v>5000</v>
      </c>
      <c r="H272" s="8" t="n">
        <v>6</v>
      </c>
      <c r="I272" s="10" t="n">
        <v>45614</v>
      </c>
      <c r="J272" s="11" t="n">
        <v>0.581099537041157</v>
      </c>
      <c r="K272" s="1" t="str">
        <f aca="false">IF(L272&gt;24,     IF(H272=2,"Couple Extended Day","Extended Day"), IF(L272&lt;=12,     IF(AND(MOD(D272,1)&gt;=TIME(6,0,0),MOD(D272,1)&lt;TIME(18,0,0)),         IF(H272=2,"Couple Half Day","12H Day"),         IF(H272=2,"Couple Half Night","12H Night")), IF(L272&lt;=24,     IF(AND(MOD(D272,1)&gt;=TIME(6,0,0),MOD(D272,1)&lt;TIME(18,0,0)),         IF(H272=2,"Couple Full Day","24H Day"),         IF(H272=2,"Couple Full Night","24H Night")), "Check Data")))</f>
        <v>24H Night</v>
      </c>
      <c r="L272" s="12" t="n">
        <f aca="false">((INT(E272)+MOD(F272,1))-(INT(C272)+MOD(D272,1)))*24</f>
        <v>22.9999999990105</v>
      </c>
      <c r="M272" s="1" t="n">
        <f aca="false">IFERROR(INDEX(Sheet3!$B$2:$B$500,MATCH(1,(INT(C272)+MOD(D272,1)&lt;INT(Sheet3!$A$2:$A$500)+TIME(18,0,0))*(INT(E272)+MOD(F272,1)&gt;=INT(Sheet3!$A$2:$A$500)),0)),0)</f>
        <v>0</v>
      </c>
      <c r="N272" s="1" t="n">
        <f aca="false">IF(OR( AND(Q272=6,D272&gt;=TIME(17,0,0),OR(K272="12H Night",K272="Couple Half Night",K272="24H Night",K272="Couple Full Night")), AND(Q272=7,D272&gt;=TIME(6,0,0),D272&lt;TIME(12,0,0),OR(K272="12H Day",K272="Couple Half Day",K272="24H Day",K272="Couple Full Day")) ),1,0)</f>
        <v>1</v>
      </c>
      <c r="O272" s="1" t="n">
        <f aca="false">IF(OR( AND(MONTH(C272)=12,DAY(C272)&gt;=26), AND(MONTH(C272)=4,DAY(C272)&gt;=15), MONTH(C272)=5, AND(MONTH(C272)=6,DAY(C272)&lt;=10) ),1,0)</f>
        <v>0</v>
      </c>
      <c r="P272" s="1" t="str">
        <f aca="false">IF(OR(MONTH(C272)=3,MONTH(C272)=4,MONTH(C272)=5,MONTH(C272)=6), "Summer", IF(OR(MONTH(C272)=7,MONTH(C272)=8,MONTH(C272)=9,MONTH(C272)=10), "Monsoon", "Winter"))</f>
        <v>Winter</v>
      </c>
      <c r="Q272" s="1" t="n">
        <f aca="false">WEEKDAY(C272,2)</f>
        <v>6</v>
      </c>
      <c r="R272" s="0" t="n">
        <f aca="false">ROUNDDOWN(((INT(C272)+MOD(D272,1))-(INT(I272)+MOD(J272,1))),0)</f>
        <v>5</v>
      </c>
      <c r="S272" s="10"/>
    </row>
    <row r="273" customFormat="false" ht="192.95" hidden="false" customHeight="false" outlineLevel="0" collapsed="false">
      <c r="A273" s="8" t="s">
        <v>454</v>
      </c>
      <c r="B273" s="22" t="s">
        <v>507</v>
      </c>
      <c r="C273" s="18" t="n">
        <v>45620.7916666667</v>
      </c>
      <c r="D273" s="19" t="n">
        <v>45620.7916666667</v>
      </c>
      <c r="E273" s="18" t="n">
        <v>45621.3333333333</v>
      </c>
      <c r="F273" s="19" t="n">
        <v>0</v>
      </c>
      <c r="G273" s="20" t="n">
        <v>2000</v>
      </c>
      <c r="H273" s="8" t="n">
        <v>5</v>
      </c>
      <c r="I273" s="10" t="n">
        <v>45622</v>
      </c>
      <c r="J273" s="11" t="n">
        <v>0.771840277782755</v>
      </c>
      <c r="K273" s="1" t="str">
        <f aca="false">IF(L273&gt;24,     IF(H273=2,"Couple Extended Day","Extended Day"), IF(L273&lt;=12,     IF(AND(MOD(D273,1)&gt;=TIME(6,0,0),MOD(D273,1)&lt;TIME(18,0,0)),         IF(H273=2,"Couple Half Day","12H Day"),         IF(H273=2,"Couple Half Night","12H Night")), IF(L273&lt;=24,     IF(AND(MOD(D273,1)&gt;=TIME(6,0,0),MOD(D273,1)&lt;TIME(18,0,0)),         IF(H273=2,"Couple Full Day","24H Day"),         IF(H273=2,"Couple Full Night","24H Night")), "Check Data")))</f>
        <v>12H Night</v>
      </c>
      <c r="L273" s="12" t="n">
        <f aca="false">((INT(E273)+MOD(F273,1))-(INT(C273)+MOD(D273,1)))*24</f>
        <v>4.99999999901047</v>
      </c>
      <c r="M273" s="1" t="n">
        <f aca="false">IFERROR(INDEX(Sheet3!$B$2:$B$500,MATCH(1,(INT(C273)+MOD(D273,1)&lt;INT(Sheet3!$A$2:$A$500)+TIME(18,0,0))*(INT(E273)+MOD(F273,1)&gt;=INT(Sheet3!$A$2:$A$500)),0)),0)</f>
        <v>0</v>
      </c>
      <c r="N273" s="1" t="n">
        <f aca="false">IF(OR( AND(Q273=6,D273&gt;=TIME(17,0,0),OR(K273="12H Night",K273="Couple Half Night",K273="24H Night",K273="Couple Full Night")), AND(Q273=7,D273&gt;=TIME(6,0,0),D273&lt;TIME(12,0,0),OR(K273="12H Day",K273="Couple Half Day",K273="24H Day",K273="Couple Full Day")) ),1,0)</f>
        <v>0</v>
      </c>
      <c r="O273" s="1" t="n">
        <f aca="false">IF(OR( AND(MONTH(C273)=12,DAY(C273)&gt;=26), AND(MONTH(C273)=4,DAY(C273)&gt;=15), MONTH(C273)=5, AND(MONTH(C273)=6,DAY(C273)&lt;=10) ),1,0)</f>
        <v>0</v>
      </c>
      <c r="P273" s="1" t="str">
        <f aca="false">IF(OR(MONTH(C273)=3,MONTH(C273)=4,MONTH(C273)=5,MONTH(C273)=6), "Summer", IF(OR(MONTH(C273)=7,MONTH(C273)=8,MONTH(C273)=9,MONTH(C273)=10), "Monsoon", "Winter"))</f>
        <v>Winter</v>
      </c>
      <c r="Q273" s="1" t="n">
        <f aca="false">WEEKDAY(C273,2)</f>
        <v>7</v>
      </c>
      <c r="R273" s="0" t="n">
        <v>0</v>
      </c>
      <c r="S273" s="10"/>
    </row>
    <row r="274" customFormat="false" ht="192.95" hidden="false" customHeight="false" outlineLevel="0" collapsed="false">
      <c r="A274" s="8" t="s">
        <v>270</v>
      </c>
      <c r="B274" s="22" t="s">
        <v>508</v>
      </c>
      <c r="C274" s="18" t="n">
        <v>45621.375</v>
      </c>
      <c r="D274" s="19" t="n">
        <v>45621.375</v>
      </c>
      <c r="E274" s="18" t="n">
        <v>45621.75</v>
      </c>
      <c r="F274" s="19" t="n">
        <v>45621.75</v>
      </c>
      <c r="G274" s="20" t="n">
        <v>2500</v>
      </c>
      <c r="H274" s="8" t="n">
        <v>5</v>
      </c>
      <c r="I274" s="10" t="n">
        <v>45616</v>
      </c>
      <c r="J274" s="11" t="n">
        <v>0.849212962959433</v>
      </c>
      <c r="K274" s="1" t="str">
        <f aca="false">IF(L274&gt;24,     IF(H274=2,"Couple Extended Day","Extended Day"), IF(L274&lt;=12,     IF(AND(MOD(D274,1)&gt;=TIME(6,0,0),MOD(D274,1)&lt;TIME(18,0,0)),         IF(H274=2,"Couple Half Day","12H Day"),         IF(H274=2,"Couple Half Night","12H Night")), IF(L274&lt;=24,     IF(AND(MOD(D274,1)&gt;=TIME(6,0,0),MOD(D274,1)&lt;TIME(18,0,0)),         IF(H274=2,"Couple Full Day","24H Day"),         IF(H274=2,"Couple Full Night","24H Night")), "Check Data")))</f>
        <v>12H Day</v>
      </c>
      <c r="L274" s="12" t="n">
        <f aca="false">((INT(E274)+MOD(F274,1))-(INT(C274)+MOD(D274,1)))*24</f>
        <v>9</v>
      </c>
      <c r="M274" s="1" t="n">
        <f aca="false">IFERROR(INDEX(Sheet3!$B$2:$B$500,MATCH(1,(INT(C274)+MOD(D274,1)&lt;INT(Sheet3!$A$2:$A$500)+TIME(18,0,0))*(INT(E274)+MOD(F274,1)&gt;=INT(Sheet3!$A$2:$A$500)),0)),0)</f>
        <v>0</v>
      </c>
      <c r="N274" s="1" t="n">
        <f aca="false">IF(OR( AND(Q274=6,D274&gt;=TIME(17,0,0),OR(K274="12H Night",K274="Couple Half Night",K274="24H Night",K274="Couple Full Night")), AND(Q274=7,D274&gt;=TIME(6,0,0),D274&lt;TIME(12,0,0),OR(K274="12H Day",K274="Couple Half Day",K274="24H Day",K274="Couple Full Day")) ),1,0)</f>
        <v>0</v>
      </c>
      <c r="O274" s="1" t="n">
        <f aca="false">IF(OR( AND(MONTH(C274)=12,DAY(C274)&gt;=26), AND(MONTH(C274)=4,DAY(C274)&gt;=15), MONTH(C274)=5, AND(MONTH(C274)=6,DAY(C274)&lt;=10) ),1,0)</f>
        <v>0</v>
      </c>
      <c r="P274" s="1" t="str">
        <f aca="false">IF(OR(MONTH(C274)=3,MONTH(C274)=4,MONTH(C274)=5,MONTH(C274)=6), "Summer", IF(OR(MONTH(C274)=7,MONTH(C274)=8,MONTH(C274)=9,MONTH(C274)=10), "Monsoon", "Winter"))</f>
        <v>Winter</v>
      </c>
      <c r="Q274" s="1" t="n">
        <f aca="false">WEEKDAY(C274,2)</f>
        <v>1</v>
      </c>
      <c r="R274" s="0" t="s">
        <v>89</v>
      </c>
      <c r="S274" s="10"/>
    </row>
    <row r="275" customFormat="false" ht="225.35" hidden="false" customHeight="false" outlineLevel="0" collapsed="false">
      <c r="A275" s="8" t="s">
        <v>509</v>
      </c>
      <c r="B275" s="22" t="s">
        <v>510</v>
      </c>
      <c r="C275" s="18" t="n">
        <v>45623.375</v>
      </c>
      <c r="D275" s="19" t="n">
        <v>45623.375</v>
      </c>
      <c r="E275" s="18" t="n">
        <v>45623.75</v>
      </c>
      <c r="F275" s="19" t="n">
        <v>45623.75</v>
      </c>
      <c r="G275" s="20" t="n">
        <v>1900</v>
      </c>
      <c r="H275" s="8" t="n">
        <v>2</v>
      </c>
      <c r="I275" s="10" t="n">
        <v>45619</v>
      </c>
      <c r="J275" s="11" t="n">
        <v>0.908101851848183</v>
      </c>
      <c r="K275" s="1" t="str">
        <f aca="false">IF(L275&gt;24,     IF(H275=2,"Couple Extended Day","Extended Day"), IF(L275&lt;=12,     IF(AND(MOD(D275,1)&gt;=TIME(6,0,0),MOD(D275,1)&lt;TIME(18,0,0)),         IF(H275=2,"Couple Half Day","12H Day"),         IF(H275=2,"Couple Half Night","12H Night")), IF(L275&lt;=24,     IF(AND(MOD(D275,1)&gt;=TIME(6,0,0),MOD(D275,1)&lt;TIME(18,0,0)),         IF(H275=2,"Couple Full Day","24H Day"),         IF(H275=2,"Couple Full Night","24H Night")), "Check Data")))</f>
        <v>Couple Half Day</v>
      </c>
      <c r="L275" s="12" t="n">
        <f aca="false">((INT(E275)+MOD(F275,1))-(INT(C275)+MOD(D275,1)))*24</f>
        <v>9</v>
      </c>
      <c r="M275" s="1" t="n">
        <f aca="false">IFERROR(INDEX(Sheet3!$B$2:$B$500,MATCH(1,(INT(C275)+MOD(D275,1)&lt;INT(Sheet3!$A$2:$A$500)+TIME(18,0,0))*(INT(E275)+MOD(F275,1)&gt;=INT(Sheet3!$A$2:$A$500)),0)),0)</f>
        <v>0</v>
      </c>
      <c r="N275" s="1" t="n">
        <f aca="false">IF(OR( AND(Q275=6,D275&gt;=TIME(17,0,0),OR(K275="12H Night",K275="Couple Half Night",K275="24H Night",K275="Couple Full Night")), AND(Q275=7,D275&gt;=TIME(6,0,0),D275&lt;TIME(12,0,0),OR(K275="12H Day",K275="Couple Half Day",K275="24H Day",K275="Couple Full Day")) ),1,0)</f>
        <v>0</v>
      </c>
      <c r="O275" s="1" t="n">
        <f aca="false">IF(OR( AND(MONTH(C275)=12,DAY(C275)&gt;=26), AND(MONTH(C275)=4,DAY(C275)&gt;=15), MONTH(C275)=5, AND(MONTH(C275)=6,DAY(C275)&lt;=10) ),1,0)</f>
        <v>0</v>
      </c>
      <c r="P275" s="1" t="str">
        <f aca="false">IF(OR(MONTH(C275)=3,MONTH(C275)=4,MONTH(C275)=5,MONTH(C275)=6), "Summer", IF(OR(MONTH(C275)=7,MONTH(C275)=8,MONTH(C275)=9,MONTH(C275)=10), "Monsoon", "Winter"))</f>
        <v>Winter</v>
      </c>
      <c r="Q275" s="1" t="n">
        <f aca="false">WEEKDAY(C275,2)</f>
        <v>3</v>
      </c>
      <c r="R275" s="0" t="n">
        <f aca="false">ROUNDDOWN(((INT(C275)+MOD(D275,1))-(INT(I275)+MOD(J275,1))),0)</f>
        <v>3</v>
      </c>
      <c r="S275" s="10"/>
    </row>
    <row r="276" customFormat="false" ht="212.2" hidden="false" customHeight="false" outlineLevel="0" collapsed="false">
      <c r="A276" s="8" t="s">
        <v>511</v>
      </c>
      <c r="B276" s="22" t="s">
        <v>512</v>
      </c>
      <c r="C276" s="18" t="n">
        <v>45624.375</v>
      </c>
      <c r="D276" s="19" t="n">
        <v>45624.375</v>
      </c>
      <c r="E276" s="18" t="n">
        <v>45624.75</v>
      </c>
      <c r="F276" s="19" t="n">
        <v>45624.75</v>
      </c>
      <c r="G276" s="20" t="n">
        <v>3000</v>
      </c>
      <c r="H276" s="8" t="n">
        <v>4</v>
      </c>
      <c r="I276" s="10" t="n">
        <v>45621</v>
      </c>
      <c r="J276" s="11" t="n">
        <v>0.938761574070671</v>
      </c>
      <c r="K276" s="1" t="str">
        <f aca="false">IF(L276&gt;24,     IF(H276=2,"Couple Extended Day","Extended Day"), IF(L276&lt;=12,     IF(AND(MOD(D276,1)&gt;=TIME(6,0,0),MOD(D276,1)&lt;TIME(18,0,0)),         IF(H276=2,"Couple Half Day","12H Day"),         IF(H276=2,"Couple Half Night","12H Night")), IF(L276&lt;=24,     IF(AND(MOD(D276,1)&gt;=TIME(6,0,0),MOD(D276,1)&lt;TIME(18,0,0)),         IF(H276=2,"Couple Full Day","24H Day"),         IF(H276=2,"Couple Full Night","24H Night")), "Check Data")))</f>
        <v>12H Day</v>
      </c>
      <c r="L276" s="12" t="n">
        <f aca="false">((INT(E276)+MOD(F276,1))-(INT(C276)+MOD(D276,1)))*24</f>
        <v>9</v>
      </c>
      <c r="M276" s="1" t="n">
        <f aca="false">IFERROR(INDEX(Sheet3!$B$2:$B$500,MATCH(1,(INT(C276)+MOD(D276,1)&lt;INT(Sheet3!$A$2:$A$500)+TIME(18,0,0))*(INT(E276)+MOD(F276,1)&gt;=INT(Sheet3!$A$2:$A$500)),0)),0)</f>
        <v>0</v>
      </c>
      <c r="N276" s="1" t="n">
        <f aca="false">IF(OR( AND(Q276=6,D276&gt;=TIME(17,0,0),OR(K276="12H Night",K276="Couple Half Night",K276="24H Night",K276="Couple Full Night")), AND(Q276=7,D276&gt;=TIME(6,0,0),D276&lt;TIME(12,0,0),OR(K276="12H Day",K276="Couple Half Day",K276="24H Day",K276="Couple Full Day")) ),1,0)</f>
        <v>0</v>
      </c>
      <c r="O276" s="1" t="n">
        <f aca="false">IF(OR( AND(MONTH(C276)=12,DAY(C276)&gt;=26), AND(MONTH(C276)=4,DAY(C276)&gt;=15), MONTH(C276)=5, AND(MONTH(C276)=6,DAY(C276)&lt;=10) ),1,0)</f>
        <v>0</v>
      </c>
      <c r="P276" s="1" t="str">
        <f aca="false">IF(OR(MONTH(C276)=3,MONTH(C276)=4,MONTH(C276)=5,MONTH(C276)=6), "Summer", IF(OR(MONTH(C276)=7,MONTH(C276)=8,MONTH(C276)=9,MONTH(C276)=10), "Monsoon", "Winter"))</f>
        <v>Winter</v>
      </c>
      <c r="Q276" s="1" t="n">
        <f aca="false">WEEKDAY(C276,2)</f>
        <v>4</v>
      </c>
      <c r="R276" s="0" t="n">
        <f aca="false">ROUNDDOWN(((INT(C276)+MOD(D276,1))-(INT(I276)+MOD(J276,1))),0)</f>
        <v>2</v>
      </c>
      <c r="S276" s="10"/>
    </row>
    <row r="277" customFormat="false" ht="225.35" hidden="false" customHeight="false" outlineLevel="0" collapsed="false">
      <c r="A277" s="8" t="s">
        <v>338</v>
      </c>
      <c r="B277" s="22" t="s">
        <v>513</v>
      </c>
      <c r="C277" s="18" t="n">
        <v>45625.375</v>
      </c>
      <c r="D277" s="19" t="n">
        <v>45625.375</v>
      </c>
      <c r="E277" s="18" t="n">
        <v>45625.75</v>
      </c>
      <c r="F277" s="19" t="n">
        <v>45625.75</v>
      </c>
      <c r="G277" s="20" t="n">
        <v>2000</v>
      </c>
      <c r="H277" s="8" t="n">
        <v>2</v>
      </c>
      <c r="I277" s="10" t="n">
        <v>45622</v>
      </c>
      <c r="J277" s="11" t="n">
        <v>0.46015046296816</v>
      </c>
      <c r="K277" s="1" t="str">
        <f aca="false">IF(L277&gt;24,     IF(H277=2,"Couple Extended Day","Extended Day"), IF(L277&lt;=12,     IF(AND(MOD(D277,1)&gt;=TIME(6,0,0),MOD(D277,1)&lt;TIME(18,0,0)),         IF(H277=2,"Couple Half Day","12H Day"),         IF(H277=2,"Couple Half Night","12H Night")), IF(L277&lt;=24,     IF(AND(MOD(D277,1)&gt;=TIME(6,0,0),MOD(D277,1)&lt;TIME(18,0,0)),         IF(H277=2,"Couple Full Day","24H Day"),         IF(H277=2,"Couple Full Night","24H Night")), "Check Data")))</f>
        <v>Couple Half Day</v>
      </c>
      <c r="L277" s="12" t="n">
        <f aca="false">((INT(E277)+MOD(F277,1))-(INT(C277)+MOD(D277,1)))*24</f>
        <v>9</v>
      </c>
      <c r="M277" s="1" t="n">
        <f aca="false">IFERROR(INDEX(Sheet3!$B$2:$B$500,MATCH(1,(INT(C277)+MOD(D277,1)&lt;INT(Sheet3!$A$2:$A$500)+TIME(18,0,0))*(INT(E277)+MOD(F277,1)&gt;=INT(Sheet3!$A$2:$A$500)),0)),0)</f>
        <v>0</v>
      </c>
      <c r="N277" s="1" t="n">
        <f aca="false">IF(OR( AND(Q277=6,D277&gt;=TIME(17,0,0),OR(K277="12H Night",K277="Couple Half Night",K277="24H Night",K277="Couple Full Night")), AND(Q277=7,D277&gt;=TIME(6,0,0),D277&lt;TIME(12,0,0),OR(K277="12H Day",K277="Couple Half Day",K277="24H Day",K277="Couple Full Day")) ),1,0)</f>
        <v>0</v>
      </c>
      <c r="O277" s="1" t="n">
        <f aca="false">IF(OR( AND(MONTH(C277)=12,DAY(C277)&gt;=26), AND(MONTH(C277)=4,DAY(C277)&gt;=15), MONTH(C277)=5, AND(MONTH(C277)=6,DAY(C277)&lt;=10) ),1,0)</f>
        <v>0</v>
      </c>
      <c r="P277" s="1" t="str">
        <f aca="false">IF(OR(MONTH(C277)=3,MONTH(C277)=4,MONTH(C277)=5,MONTH(C277)=6), "Summer", IF(OR(MONTH(C277)=7,MONTH(C277)=8,MONTH(C277)=9,MONTH(C277)=10), "Monsoon", "Winter"))</f>
        <v>Winter</v>
      </c>
      <c r="Q277" s="1" t="n">
        <f aca="false">WEEKDAY(C277,2)</f>
        <v>5</v>
      </c>
      <c r="R277" s="0" t="n">
        <f aca="false">ROUNDDOWN(((INT(C277)+MOD(D277,1))-(INT(I277)+MOD(J277,1))),0)</f>
        <v>2</v>
      </c>
      <c r="S277" s="10"/>
    </row>
    <row r="278" customFormat="false" ht="212.2" hidden="false" customHeight="false" outlineLevel="0" collapsed="false">
      <c r="A278" s="8" t="s">
        <v>514</v>
      </c>
      <c r="B278" s="22" t="s">
        <v>515</v>
      </c>
      <c r="C278" s="18" t="n">
        <v>45625.8333333333</v>
      </c>
      <c r="D278" s="19" t="n">
        <v>0</v>
      </c>
      <c r="E278" s="18" t="n">
        <v>45626.3333333333</v>
      </c>
      <c r="F278" s="19" t="n">
        <v>0</v>
      </c>
      <c r="G278" s="20" t="n">
        <v>2500</v>
      </c>
      <c r="H278" s="8" t="n">
        <v>5</v>
      </c>
      <c r="I278" s="10" t="n">
        <v>45617</v>
      </c>
      <c r="J278" s="11" t="n">
        <v>0.948587962964664</v>
      </c>
      <c r="K278" s="1" t="str">
        <f aca="false">IF(L278&gt;24,     IF(H278=2,"Couple Extended Day","Extended Day"), IF(L278&lt;=12,     IF(AND(MOD(D278,1)&gt;=TIME(6,0,0),MOD(D278,1)&lt;TIME(18,0,0)),         IF(H278=2,"Couple Half Day","12H Day"),         IF(H278=2,"Couple Half Night","12H Night")), IF(L278&lt;=24,     IF(AND(MOD(D278,1)&gt;=TIME(6,0,0),MOD(D278,1)&lt;TIME(18,0,0)),         IF(H278=2,"Couple Full Day","24H Day"),         IF(H278=2,"Couple Full Night","24H Night")), "Check Data")))</f>
        <v>24H Night</v>
      </c>
      <c r="L278" s="12" t="n">
        <f aca="false">((INT(E278)+MOD(F278,1))-(INT(C278)+MOD(D278,1)))*24</f>
        <v>24</v>
      </c>
      <c r="M278" s="1" t="n">
        <f aca="false">IFERROR(INDEX(Sheet3!$B$2:$B$500,MATCH(1,(INT(C278)+MOD(D278,1)&lt;INT(Sheet3!$A$2:$A$500)+TIME(18,0,0))*(INT(E278)+MOD(F278,1)&gt;=INT(Sheet3!$A$2:$A$500)),0)),0)</f>
        <v>0</v>
      </c>
      <c r="N278" s="1" t="n">
        <f aca="false">IF(OR( AND(Q278=6,D278&gt;=TIME(17,0,0),OR(K278="12H Night",K278="Couple Half Night",K278="24H Night",K278="Couple Full Night")), AND(Q278=7,D278&gt;=TIME(6,0,0),D278&lt;TIME(12,0,0),OR(K278="12H Day",K278="Couple Half Day",K278="24H Day",K278="Couple Full Day")) ),1,0)</f>
        <v>0</v>
      </c>
      <c r="O278" s="1" t="n">
        <f aca="false">IF(OR( AND(MONTH(C278)=12,DAY(C278)&gt;=26), AND(MONTH(C278)=4,DAY(C278)&gt;=15), MONTH(C278)=5, AND(MONTH(C278)=6,DAY(C278)&lt;=10) ),1,0)</f>
        <v>0</v>
      </c>
      <c r="P278" s="1" t="str">
        <f aca="false">IF(OR(MONTH(C278)=3,MONTH(C278)=4,MONTH(C278)=5,MONTH(C278)=6), "Summer", IF(OR(MONTH(C278)=7,MONTH(C278)=8,MONTH(C278)=9,MONTH(C278)=10), "Monsoon", "Winter"))</f>
        <v>Winter</v>
      </c>
      <c r="Q278" s="1" t="n">
        <f aca="false">WEEKDAY(C278,2)</f>
        <v>5</v>
      </c>
      <c r="R278" s="0" t="n">
        <f aca="false">ROUNDDOWN(((INT(C278)+MOD(D278,1))-(INT(I278)+MOD(J278,1))),0)</f>
        <v>7</v>
      </c>
      <c r="S278" s="10"/>
    </row>
    <row r="279" customFormat="false" ht="251.6" hidden="false" customHeight="false" outlineLevel="0" collapsed="false">
      <c r="A279" s="8" t="s">
        <v>240</v>
      </c>
      <c r="B279" s="22" t="s">
        <v>516</v>
      </c>
      <c r="C279" s="18" t="n">
        <v>45627.2916666667</v>
      </c>
      <c r="D279" s="19" t="n">
        <v>45627.2916666667</v>
      </c>
      <c r="E279" s="18" t="n">
        <v>45627.8333333333</v>
      </c>
      <c r="F279" s="19" t="n">
        <v>0</v>
      </c>
      <c r="G279" s="20" t="n">
        <v>3500</v>
      </c>
      <c r="H279" s="8" t="n">
        <v>8</v>
      </c>
      <c r="I279" s="10" t="n">
        <v>45626</v>
      </c>
      <c r="J279" s="11" t="n">
        <v>0.730115740741898</v>
      </c>
      <c r="K279" s="1" t="str">
        <f aca="false">IF(L279&gt;24,     IF(H279=2,"Couple Extended Day","Extended Day"), IF(L279&lt;=12,     IF(AND(MOD(D279,1)&gt;=TIME(6,0,0),MOD(D279,1)&lt;TIME(18,0,0)),         IF(H279=2,"Couple Half Day","12H Day"),         IF(H279=2,"Couple Half Night","12H Night")), IF(L279&lt;=24,     IF(AND(MOD(D279,1)&gt;=TIME(6,0,0),MOD(D279,1)&lt;TIME(18,0,0)),         IF(H279=2,"Couple Full Day","24H Day"),         IF(H279=2,"Couple Full Night","24H Night")), "Check Data")))</f>
        <v>12H Day</v>
      </c>
      <c r="L279" s="12" t="n">
        <f aca="false">((INT(E279)+MOD(F279,1))-(INT(C279)+MOD(D279,1)))*24</f>
        <v>-7.00000000098953</v>
      </c>
      <c r="M279" s="1" t="n">
        <f aca="false">IFERROR(INDEX(Sheet3!$B$2:$B$500,MATCH(1,(INT(C279)+MOD(D279,1)&lt;INT(Sheet3!$A$2:$A$500)+TIME(18,0,0))*(INT(E279)+MOD(F279,1)&gt;=INT(Sheet3!$A$2:$A$500)),0)),0)</f>
        <v>0</v>
      </c>
      <c r="N279" s="1" t="n">
        <f aca="false">IF(OR( AND(Q279=6,D279&gt;=TIME(17,0,0),OR(K279="12H Night",K279="Couple Half Night",K279="24H Night",K279="Couple Full Night")), AND(Q279=7,D279&gt;=TIME(6,0,0),D279&lt;TIME(12,0,0),OR(K279="12H Day",K279="Couple Half Day",K279="24H Day",K279="Couple Full Day")) ),1,0)</f>
        <v>0</v>
      </c>
      <c r="O279" s="1" t="n">
        <f aca="false">IF(OR( AND(MONTH(C279)=12,DAY(C279)&gt;=26), AND(MONTH(C279)=4,DAY(C279)&gt;=15), MONTH(C279)=5, AND(MONTH(C279)=6,DAY(C279)&lt;=10) ),1,0)</f>
        <v>0</v>
      </c>
      <c r="P279" s="1" t="str">
        <f aca="false">IF(OR(MONTH(C279)=3,MONTH(C279)=4,MONTH(C279)=5,MONTH(C279)=6), "Summer", IF(OR(MONTH(C279)=7,MONTH(C279)=8,MONTH(C279)=9,MONTH(C279)=10), "Monsoon", "Winter"))</f>
        <v>Winter</v>
      </c>
      <c r="Q279" s="1" t="n">
        <f aca="false">WEEKDAY(C279,2)</f>
        <v>7</v>
      </c>
      <c r="R279" s="0" t="n">
        <f aca="false">ROUNDDOWN(((INT(C279)+MOD(D279,1))-(INT(I279)+MOD(J279,1))),0)</f>
        <v>0</v>
      </c>
      <c r="S279" s="10"/>
    </row>
    <row r="280" customFormat="false" ht="192.95" hidden="false" customHeight="false" outlineLevel="0" collapsed="false">
      <c r="A280" s="8" t="s">
        <v>517</v>
      </c>
      <c r="B280" s="22" t="s">
        <v>518</v>
      </c>
      <c r="C280" s="18" t="n">
        <v>45629.5</v>
      </c>
      <c r="D280" s="19" t="n">
        <v>45629.5</v>
      </c>
      <c r="E280" s="18" t="n">
        <v>45629.7083333333</v>
      </c>
      <c r="F280" s="19" t="n">
        <v>0</v>
      </c>
      <c r="G280" s="20" t="n">
        <v>1500</v>
      </c>
      <c r="H280" s="8" t="n">
        <v>2</v>
      </c>
      <c r="I280" s="10" t="n">
        <v>45626</v>
      </c>
      <c r="J280" s="11" t="n">
        <v>0.730266203703646</v>
      </c>
      <c r="K280" s="1" t="str">
        <f aca="false">IF(L280&gt;24,     IF(H280=2,"Couple Extended Day","Extended Day"), IF(L280&lt;=12,     IF(AND(MOD(D280,1)&gt;=TIME(6,0,0),MOD(D280,1)&lt;TIME(18,0,0)),         IF(H280=2,"Couple Half Day","12H Day"),         IF(H280=2,"Couple Half Night","12H Night")), IF(L280&lt;=24,     IF(AND(MOD(D280,1)&gt;=TIME(6,0,0),MOD(D280,1)&lt;TIME(18,0,0)),         IF(H280=2,"Couple Full Day","24H Day"),         IF(H280=2,"Couple Full Night","24H Night")), "Check Data")))</f>
        <v>Couple Half Day</v>
      </c>
      <c r="L280" s="12" t="n">
        <f aca="false">((INT(E280)+MOD(F280,1))-(INT(C280)+MOD(D280,1)))*24</f>
        <v>-12</v>
      </c>
      <c r="M280" s="1" t="n">
        <f aca="false">IFERROR(INDEX(Sheet3!$B$2:$B$500,MATCH(1,(INT(C280)+MOD(D280,1)&lt;INT(Sheet3!$A$2:$A$500)+TIME(18,0,0))*(INT(E280)+MOD(F280,1)&gt;=INT(Sheet3!$A$2:$A$500)),0)),0)</f>
        <v>0</v>
      </c>
      <c r="N280" s="1" t="n">
        <f aca="false">IF(OR( AND(Q280=6,D280&gt;=TIME(17,0,0),OR(K280="12H Night",K280="Couple Half Night",K280="24H Night",K280="Couple Full Night")), AND(Q280=7,D280&gt;=TIME(6,0,0),D280&lt;TIME(12,0,0),OR(K280="12H Day",K280="Couple Half Day",K280="24H Day",K280="Couple Full Day")) ),1,0)</f>
        <v>0</v>
      </c>
      <c r="O280" s="1" t="n">
        <f aca="false">IF(OR( AND(MONTH(C280)=12,DAY(C280)&gt;=26), AND(MONTH(C280)=4,DAY(C280)&gt;=15), MONTH(C280)=5, AND(MONTH(C280)=6,DAY(C280)&lt;=10) ),1,0)</f>
        <v>0</v>
      </c>
      <c r="P280" s="1" t="str">
        <f aca="false">IF(OR(MONTH(C280)=3,MONTH(C280)=4,MONTH(C280)=5,MONTH(C280)=6), "Summer", IF(OR(MONTH(C280)=7,MONTH(C280)=8,MONTH(C280)=9,MONTH(C280)=10), "Monsoon", "Winter"))</f>
        <v>Winter</v>
      </c>
      <c r="Q280" s="1" t="n">
        <f aca="false">WEEKDAY(C280,2)</f>
        <v>2</v>
      </c>
      <c r="R280" s="0" t="n">
        <f aca="false">ROUNDDOWN(((INT(C280)+MOD(D280,1))-(INT(I280)+MOD(J280,1))),0)</f>
        <v>2</v>
      </c>
      <c r="S280" s="10"/>
    </row>
    <row r="281" customFormat="false" ht="192.95" hidden="false" customHeight="false" outlineLevel="0" collapsed="false">
      <c r="A281" s="8" t="s">
        <v>514</v>
      </c>
      <c r="B281" s="22" t="s">
        <v>519</v>
      </c>
      <c r="C281" s="18" t="n">
        <v>45630.375</v>
      </c>
      <c r="D281" s="19" t="n">
        <v>45630.375</v>
      </c>
      <c r="E281" s="18" t="n">
        <v>45630.75</v>
      </c>
      <c r="F281" s="19" t="n">
        <v>45630.75</v>
      </c>
      <c r="G281" s="20" t="n">
        <v>1500</v>
      </c>
      <c r="H281" s="8" t="n">
        <v>2</v>
      </c>
      <c r="I281" s="10" t="n">
        <v>45623</v>
      </c>
      <c r="J281" s="11" t="n">
        <v>0.411157407404965</v>
      </c>
      <c r="K281" s="1" t="str">
        <f aca="false">IF(L281&gt;24,     IF(H281=2,"Couple Extended Day","Extended Day"), IF(L281&lt;=12,     IF(AND(MOD(D281,1)&gt;=TIME(6,0,0),MOD(D281,1)&lt;TIME(18,0,0)),         IF(H281=2,"Couple Half Day","12H Day"),         IF(H281=2,"Couple Half Night","12H Night")), IF(L281&lt;=24,     IF(AND(MOD(D281,1)&gt;=TIME(6,0,0),MOD(D281,1)&lt;TIME(18,0,0)),         IF(H281=2,"Couple Full Day","24H Day"),         IF(H281=2,"Couple Full Night","24H Night")), "Check Data")))</f>
        <v>Couple Half Day</v>
      </c>
      <c r="L281" s="12" t="n">
        <f aca="false">((INT(E281)+MOD(F281,1))-(INT(C281)+MOD(D281,1)))*24</f>
        <v>9</v>
      </c>
      <c r="M281" s="1" t="n">
        <f aca="false">IFERROR(INDEX(Sheet3!$B$2:$B$500,MATCH(1,(INT(C281)+MOD(D281,1)&lt;INT(Sheet3!$A$2:$A$500)+TIME(18,0,0))*(INT(E281)+MOD(F281,1)&gt;=INT(Sheet3!$A$2:$A$500)),0)),0)</f>
        <v>0</v>
      </c>
      <c r="N281" s="1" t="n">
        <f aca="false">IF(OR( AND(Q281=6,D281&gt;=TIME(17,0,0),OR(K281="12H Night",K281="Couple Half Night",K281="24H Night",K281="Couple Full Night")), AND(Q281=7,D281&gt;=TIME(6,0,0),D281&lt;TIME(12,0,0),OR(K281="12H Day",K281="Couple Half Day",K281="24H Day",K281="Couple Full Day")) ),1,0)</f>
        <v>0</v>
      </c>
      <c r="O281" s="1" t="n">
        <f aca="false">IF(OR( AND(MONTH(C281)=12,DAY(C281)&gt;=26), AND(MONTH(C281)=4,DAY(C281)&gt;=15), MONTH(C281)=5, AND(MONTH(C281)=6,DAY(C281)&lt;=10) ),1,0)</f>
        <v>0</v>
      </c>
      <c r="P281" s="1" t="str">
        <f aca="false">IF(OR(MONTH(C281)=3,MONTH(C281)=4,MONTH(C281)=5,MONTH(C281)=6), "Summer", IF(OR(MONTH(C281)=7,MONTH(C281)=8,MONTH(C281)=9,MONTH(C281)=10), "Monsoon", "Winter"))</f>
        <v>Winter</v>
      </c>
      <c r="Q281" s="1" t="n">
        <f aca="false">WEEKDAY(C281,2)</f>
        <v>3</v>
      </c>
      <c r="R281" s="0" t="n">
        <f aca="false">ROUNDDOWN(((INT(C281)+MOD(D281,1))-(INT(I281)+MOD(J281,1))),0)</f>
        <v>6</v>
      </c>
      <c r="S281" s="10"/>
    </row>
    <row r="282" customFormat="false" ht="212.2" hidden="false" customHeight="false" outlineLevel="0" collapsed="false">
      <c r="A282" s="8" t="s">
        <v>108</v>
      </c>
      <c r="B282" s="22" t="s">
        <v>520</v>
      </c>
      <c r="C282" s="18" t="n">
        <v>45631.7916666667</v>
      </c>
      <c r="D282" s="19" t="n">
        <v>45631.7916666667</v>
      </c>
      <c r="E282" s="18" t="n">
        <v>45632.75</v>
      </c>
      <c r="F282" s="19" t="n">
        <v>45632.75</v>
      </c>
      <c r="G282" s="20" t="n">
        <v>4000</v>
      </c>
      <c r="H282" s="8" t="n">
        <v>8</v>
      </c>
      <c r="I282" s="10" t="n">
        <v>45630</v>
      </c>
      <c r="J282" s="11" t="n">
        <v>0.935729166667442</v>
      </c>
      <c r="K282" s="1" t="str">
        <f aca="false">IF(L282&gt;24,     IF(H282=2,"Couple Extended Day","Extended Day"), IF(L282&lt;=12,     IF(AND(MOD(D282,1)&gt;=TIME(6,0,0),MOD(D282,1)&lt;TIME(18,0,0)),         IF(H282=2,"Couple Half Day","12H Day"),         IF(H282=2,"Couple Half Night","12H Night")), IF(L282&lt;=24,     IF(AND(MOD(D282,1)&gt;=TIME(6,0,0),MOD(D282,1)&lt;TIME(18,0,0)),         IF(H282=2,"Couple Full Day","24H Day"),         IF(H282=2,"Couple Full Night","24H Night")), "Check Data")))</f>
        <v>24H Night</v>
      </c>
      <c r="L282" s="12" t="n">
        <f aca="false">((INT(E282)+MOD(F282,1))-(INT(C282)+MOD(D282,1)))*24</f>
        <v>22.9999999990105</v>
      </c>
      <c r="M282" s="1" t="n">
        <f aca="false">IFERROR(INDEX(Sheet3!$B$2:$B$500,MATCH(1,(INT(C282)+MOD(D282,1)&lt;INT(Sheet3!$A$2:$A$500)+TIME(18,0,0))*(INT(E282)+MOD(F282,1)&gt;=INT(Sheet3!$A$2:$A$500)),0)),0)</f>
        <v>0</v>
      </c>
      <c r="N282" s="1" t="n">
        <f aca="false">IF(OR( AND(Q282=6,D282&gt;=TIME(17,0,0),OR(K282="12H Night",K282="Couple Half Night",K282="24H Night",K282="Couple Full Night")), AND(Q282=7,D282&gt;=TIME(6,0,0),D282&lt;TIME(12,0,0),OR(K282="12H Day",K282="Couple Half Day",K282="24H Day",K282="Couple Full Day")) ),1,0)</f>
        <v>0</v>
      </c>
      <c r="O282" s="1" t="n">
        <f aca="false">IF(OR( AND(MONTH(C282)=12,DAY(C282)&gt;=26), AND(MONTH(C282)=4,DAY(C282)&gt;=15), MONTH(C282)=5, AND(MONTH(C282)=6,DAY(C282)&lt;=10) ),1,0)</f>
        <v>0</v>
      </c>
      <c r="P282" s="1" t="str">
        <f aca="false">IF(OR(MONTH(C282)=3,MONTH(C282)=4,MONTH(C282)=5,MONTH(C282)=6), "Summer", IF(OR(MONTH(C282)=7,MONTH(C282)=8,MONTH(C282)=9,MONTH(C282)=10), "Monsoon", "Winter"))</f>
        <v>Winter</v>
      </c>
      <c r="Q282" s="1" t="n">
        <f aca="false">WEEKDAY(C282,2)</f>
        <v>4</v>
      </c>
      <c r="R282" s="0" t="n">
        <f aca="false">ROUNDDOWN(((INT(C282)+MOD(D282,1))-(INT(I282)+MOD(J282,1))),0)</f>
        <v>0</v>
      </c>
      <c r="S282" s="10"/>
    </row>
    <row r="283" customFormat="false" ht="225.35" hidden="false" customHeight="false" outlineLevel="0" collapsed="false">
      <c r="A283" s="8" t="s">
        <v>353</v>
      </c>
      <c r="B283" s="22" t="s">
        <v>521</v>
      </c>
      <c r="C283" s="18" t="n">
        <v>45632.7916666667</v>
      </c>
      <c r="D283" s="19" t="n">
        <v>45632.7916666667</v>
      </c>
      <c r="E283" s="18" t="n">
        <v>45633.75</v>
      </c>
      <c r="F283" s="19" t="n">
        <v>45633.75</v>
      </c>
      <c r="G283" s="20" t="n">
        <v>3800</v>
      </c>
      <c r="H283" s="8" t="n">
        <v>5</v>
      </c>
      <c r="I283" s="10" t="n">
        <v>45632</v>
      </c>
      <c r="J283" s="11" t="n">
        <v>0.600648148145405</v>
      </c>
      <c r="K283" s="1" t="str">
        <f aca="false">IF(L283&gt;24,     IF(H283=2,"Couple Extended Day","Extended Day"), IF(L283&lt;=12,     IF(AND(MOD(D283,1)&gt;=TIME(6,0,0),MOD(D283,1)&lt;TIME(18,0,0)),         IF(H283=2,"Couple Half Day","12H Day"),         IF(H283=2,"Couple Half Night","12H Night")), IF(L283&lt;=24,     IF(AND(MOD(D283,1)&gt;=TIME(6,0,0),MOD(D283,1)&lt;TIME(18,0,0)),         IF(H283=2,"Couple Full Day","24H Day"),         IF(H283=2,"Couple Full Night","24H Night")), "Check Data")))</f>
        <v>24H Night</v>
      </c>
      <c r="L283" s="12" t="n">
        <f aca="false">((INT(E283)+MOD(F283,1))-(INT(C283)+MOD(D283,1)))*24</f>
        <v>22.9999999990105</v>
      </c>
      <c r="M283" s="1" t="n">
        <f aca="false">IFERROR(INDEX(Sheet3!$B$2:$B$500,MATCH(1,(INT(C283)+MOD(D283,1)&lt;INT(Sheet3!$A$2:$A$500)+TIME(18,0,0))*(INT(E283)+MOD(F283,1)&gt;=INT(Sheet3!$A$2:$A$500)),0)),0)</f>
        <v>0</v>
      </c>
      <c r="N283" s="1" t="n">
        <f aca="false">IF(OR( AND(Q283=6,D283&gt;=TIME(17,0,0),OR(K283="12H Night",K283="Couple Half Night",K283="24H Night",K283="Couple Full Night")), AND(Q283=7,D283&gt;=TIME(6,0,0),D283&lt;TIME(12,0,0),OR(K283="12H Day",K283="Couple Half Day",K283="24H Day",K283="Couple Full Day")) ),1,0)</f>
        <v>0</v>
      </c>
      <c r="O283" s="1" t="n">
        <f aca="false">IF(OR( AND(MONTH(C283)=12,DAY(C283)&gt;=26), AND(MONTH(C283)=4,DAY(C283)&gt;=15), MONTH(C283)=5, AND(MONTH(C283)=6,DAY(C283)&lt;=10) ),1,0)</f>
        <v>0</v>
      </c>
      <c r="P283" s="1" t="str">
        <f aca="false">IF(OR(MONTH(C283)=3,MONTH(C283)=4,MONTH(C283)=5,MONTH(C283)=6), "Summer", IF(OR(MONTH(C283)=7,MONTH(C283)=8,MONTH(C283)=9,MONTH(C283)=10), "Monsoon", "Winter"))</f>
        <v>Winter</v>
      </c>
      <c r="Q283" s="1" t="n">
        <f aca="false">WEEKDAY(C283,2)</f>
        <v>5</v>
      </c>
      <c r="R283" s="0" t="n">
        <f aca="false">ROUNDDOWN(((INT(C283)+MOD(D283,1))-(INT(I283)+MOD(J283,1))),0)</f>
        <v>0</v>
      </c>
      <c r="S283" s="10"/>
    </row>
    <row r="284" customFormat="false" ht="15.75" hidden="false" customHeight="false" outlineLevel="0" collapsed="false">
      <c r="A284" s="8" t="s">
        <v>522</v>
      </c>
      <c r="B284" s="8" t="s">
        <v>523</v>
      </c>
      <c r="C284" s="18" t="n">
        <v>45635</v>
      </c>
      <c r="D284" s="19" t="n">
        <v>45635</v>
      </c>
      <c r="E284" s="18" t="n">
        <v>45635.3229166667</v>
      </c>
      <c r="F284" s="19" t="n">
        <v>45635.3229166667</v>
      </c>
      <c r="G284" s="20" t="n">
        <v>2000</v>
      </c>
      <c r="I284" s="10" t="n">
        <v>45635</v>
      </c>
      <c r="J284" s="11" t="n">
        <v>0.688865740739861</v>
      </c>
      <c r="K284" s="1" t="str">
        <f aca="false">IF(L284&gt;24,     IF(H284=2,"Couple Extended Day","Extended Day"), IF(L284&lt;=12,     IF(AND(MOD(D284,1)&gt;=TIME(6,0,0),MOD(D284,1)&lt;TIME(18,0,0)),         IF(H284=2,"Couple Half Day","12H Day"),         IF(H284=2,"Couple Half Night","12H Night")), IF(L284&lt;=24,     IF(AND(MOD(D284,1)&gt;=TIME(6,0,0),MOD(D284,1)&lt;TIME(18,0,0)),         IF(H284=2,"Couple Full Day","24H Day"),         IF(H284=2,"Couple Full Night","24H Night")), "Check Data")))</f>
        <v>12H Night</v>
      </c>
      <c r="L284" s="12" t="n">
        <f aca="false">((INT(E284)+MOD(F284,1))-(INT(C284)+MOD(D284,1)))*24</f>
        <v>7.75000000098953</v>
      </c>
      <c r="M284" s="1" t="n">
        <f aca="false">IFERROR(INDEX(Sheet3!$B$2:$B$500,MATCH(1,(INT(C284)+MOD(D284,1)&lt;INT(Sheet3!$A$2:$A$500)+TIME(18,0,0))*(INT(E284)+MOD(F284,1)&gt;=INT(Sheet3!$A$2:$A$500)),0)),0)</f>
        <v>0</v>
      </c>
      <c r="N284" s="1" t="n">
        <f aca="false">IF(OR( AND(Q284=6,D284&gt;=TIME(17,0,0),OR(K284="12H Night",K284="Couple Half Night",K284="24H Night",K284="Couple Full Night")), AND(Q284=7,D284&gt;=TIME(6,0,0),D284&lt;TIME(12,0,0),OR(K284="12H Day",K284="Couple Half Day",K284="24H Day",K284="Couple Full Day")) ),1,0)</f>
        <v>0</v>
      </c>
      <c r="O284" s="1" t="n">
        <f aca="false">IF(OR( AND(MONTH(C284)=12,DAY(C284)&gt;=26), AND(MONTH(C284)=4,DAY(C284)&gt;=15), MONTH(C284)=5, AND(MONTH(C284)=6,DAY(C284)&lt;=10) ),1,0)</f>
        <v>0</v>
      </c>
      <c r="P284" s="1" t="str">
        <f aca="false">IF(OR(MONTH(C284)=3,MONTH(C284)=4,MONTH(C284)=5,MONTH(C284)=6), "Summer", IF(OR(MONTH(C284)=7,MONTH(C284)=8,MONTH(C284)=9,MONTH(C284)=10), "Monsoon", "Winter"))</f>
        <v>Winter</v>
      </c>
      <c r="Q284" s="1" t="n">
        <f aca="false">WEEKDAY(C284,2)</f>
        <v>1</v>
      </c>
      <c r="R284" s="0" t="n">
        <f aca="false">ROUNDDOWN(((INT(C284)+MOD(D284,1))-(INT(I284)+MOD(J284,1))),0)</f>
        <v>-0</v>
      </c>
      <c r="S284" s="10"/>
    </row>
    <row r="285" customFormat="false" ht="212.2" hidden="false" customHeight="false" outlineLevel="0" collapsed="false">
      <c r="A285" s="8" t="s">
        <v>514</v>
      </c>
      <c r="B285" s="22" t="s">
        <v>524</v>
      </c>
      <c r="C285" s="18" t="n">
        <v>45635.3333333333</v>
      </c>
      <c r="D285" s="19" t="n">
        <v>0</v>
      </c>
      <c r="E285" s="18" t="n">
        <v>45635.75</v>
      </c>
      <c r="F285" s="19" t="n">
        <v>45635.75</v>
      </c>
      <c r="G285" s="20" t="n">
        <v>2700</v>
      </c>
      <c r="H285" s="8" t="n">
        <v>7</v>
      </c>
      <c r="I285" s="10" t="n">
        <v>45632</v>
      </c>
      <c r="J285" s="11" t="n">
        <v>0.713298611110081</v>
      </c>
      <c r="K285" s="1" t="str">
        <f aca="false">IF(L285&gt;24,     IF(H285=2,"Couple Extended Day","Extended Day"), IF(L285&lt;=12,     IF(AND(MOD(D285,1)&gt;=TIME(6,0,0),MOD(D285,1)&lt;TIME(18,0,0)),         IF(H285=2,"Couple Half Day","12H Day"),         IF(H285=2,"Couple Half Night","12H Night")), IF(L285&lt;=24,     IF(AND(MOD(D285,1)&gt;=TIME(6,0,0),MOD(D285,1)&lt;TIME(18,0,0)),         IF(H285=2,"Couple Full Day","24H Day"),         IF(H285=2,"Couple Full Night","24H Night")), "Check Data")))</f>
        <v>24H Night</v>
      </c>
      <c r="L285" s="12" t="n">
        <f aca="false">((INT(E285)+MOD(F285,1))-(INT(C285)+MOD(D285,1)))*24</f>
        <v>18</v>
      </c>
      <c r="M285" s="1" t="n">
        <f aca="false">IFERROR(INDEX(Sheet3!$B$2:$B$500,MATCH(1,(INT(C285)+MOD(D285,1)&lt;INT(Sheet3!$A$2:$A$500)+TIME(18,0,0))*(INT(E285)+MOD(F285,1)&gt;=INT(Sheet3!$A$2:$A$500)),0)),0)</f>
        <v>0</v>
      </c>
      <c r="N285" s="1" t="n">
        <f aca="false">IF(OR( AND(Q285=6,D285&gt;=TIME(17,0,0),OR(K285="12H Night",K285="Couple Half Night",K285="24H Night",K285="Couple Full Night")), AND(Q285=7,D285&gt;=TIME(6,0,0),D285&lt;TIME(12,0,0),OR(K285="12H Day",K285="Couple Half Day",K285="24H Day",K285="Couple Full Day")) ),1,0)</f>
        <v>0</v>
      </c>
      <c r="O285" s="1" t="n">
        <f aca="false">IF(OR( AND(MONTH(C285)=12,DAY(C285)&gt;=26), AND(MONTH(C285)=4,DAY(C285)&gt;=15), MONTH(C285)=5, AND(MONTH(C285)=6,DAY(C285)&lt;=10) ),1,0)</f>
        <v>0</v>
      </c>
      <c r="P285" s="1" t="str">
        <f aca="false">IF(OR(MONTH(C285)=3,MONTH(C285)=4,MONTH(C285)=5,MONTH(C285)=6), "Summer", IF(OR(MONTH(C285)=7,MONTH(C285)=8,MONTH(C285)=9,MONTH(C285)=10), "Monsoon", "Winter"))</f>
        <v>Winter</v>
      </c>
      <c r="Q285" s="1" t="n">
        <f aca="false">WEEKDAY(C285,2)</f>
        <v>1</v>
      </c>
      <c r="R285" s="0" t="n">
        <f aca="false">ROUNDDOWN(((INT(C285)+MOD(D285,1))-(INT(I285)+MOD(J285,1))),0)</f>
        <v>2</v>
      </c>
      <c r="S285" s="10"/>
    </row>
    <row r="286" customFormat="false" ht="192.95" hidden="false" customHeight="false" outlineLevel="0" collapsed="false">
      <c r="A286" s="8" t="s">
        <v>428</v>
      </c>
      <c r="B286" s="22" t="s">
        <v>525</v>
      </c>
      <c r="C286" s="18" t="n">
        <v>45637.375</v>
      </c>
      <c r="D286" s="19" t="n">
        <v>45637.375</v>
      </c>
      <c r="E286" s="18" t="n">
        <v>45637.75</v>
      </c>
      <c r="F286" s="19" t="n">
        <v>45637.75</v>
      </c>
      <c r="G286" s="20" t="n">
        <v>1500</v>
      </c>
      <c r="H286" s="8" t="n">
        <v>2</v>
      </c>
      <c r="I286" s="10" t="n">
        <v>45635</v>
      </c>
      <c r="J286" s="11" t="n">
        <v>0.688402777777812</v>
      </c>
      <c r="K286" s="1" t="str">
        <f aca="false">IF(L286&gt;24,     IF(H286=2,"Couple Extended Day","Extended Day"), IF(L286&lt;=12,     IF(AND(MOD(D286,1)&gt;=TIME(6,0,0),MOD(D286,1)&lt;TIME(18,0,0)),         IF(H286=2,"Couple Half Day","12H Day"),         IF(H286=2,"Couple Half Night","12H Night")), IF(L286&lt;=24,     IF(AND(MOD(D286,1)&gt;=TIME(6,0,0),MOD(D286,1)&lt;TIME(18,0,0)),         IF(H286=2,"Couple Full Day","24H Day"),         IF(H286=2,"Couple Full Night","24H Night")), "Check Data")))</f>
        <v>Couple Half Day</v>
      </c>
      <c r="L286" s="12" t="n">
        <f aca="false">((INT(E286)+MOD(F286,1))-(INT(C286)+MOD(D286,1)))*24</f>
        <v>9</v>
      </c>
      <c r="M286" s="1" t="n">
        <f aca="false">IFERROR(INDEX(Sheet3!$B$2:$B$500,MATCH(1,(INT(C286)+MOD(D286,1)&lt;INT(Sheet3!$A$2:$A$500)+TIME(18,0,0))*(INT(E286)+MOD(F286,1)&gt;=INT(Sheet3!$A$2:$A$500)),0)),0)</f>
        <v>0</v>
      </c>
      <c r="N286" s="1" t="n">
        <f aca="false">IF(OR( AND(Q286=6,D286&gt;=TIME(17,0,0),OR(K286="12H Night",K286="Couple Half Night",K286="24H Night",K286="Couple Full Night")), AND(Q286=7,D286&gt;=TIME(6,0,0),D286&lt;TIME(12,0,0),OR(K286="12H Day",K286="Couple Half Day",K286="24H Day",K286="Couple Full Day")) ),1,0)</f>
        <v>0</v>
      </c>
      <c r="O286" s="1" t="n">
        <f aca="false">IF(OR( AND(MONTH(C286)=12,DAY(C286)&gt;=26), AND(MONTH(C286)=4,DAY(C286)&gt;=15), MONTH(C286)=5, AND(MONTH(C286)=6,DAY(C286)&lt;=10) ),1,0)</f>
        <v>0</v>
      </c>
      <c r="P286" s="1" t="str">
        <f aca="false">IF(OR(MONTH(C286)=3,MONTH(C286)=4,MONTH(C286)=5,MONTH(C286)=6), "Summer", IF(OR(MONTH(C286)=7,MONTH(C286)=8,MONTH(C286)=9,MONTH(C286)=10), "Monsoon", "Winter"))</f>
        <v>Winter</v>
      </c>
      <c r="Q286" s="1" t="n">
        <f aca="false">WEEKDAY(C286,2)</f>
        <v>3</v>
      </c>
      <c r="R286" s="0" t="n">
        <f aca="false">ROUNDDOWN(((INT(C286)+MOD(D286,1))-(INT(I286)+MOD(J286,1))),0)</f>
        <v>1</v>
      </c>
      <c r="S286" s="10"/>
    </row>
    <row r="287" customFormat="false" ht="192.95" hidden="false" customHeight="false" outlineLevel="0" collapsed="false">
      <c r="A287" s="8" t="s">
        <v>526</v>
      </c>
      <c r="B287" s="22" t="s">
        <v>527</v>
      </c>
      <c r="C287" s="18" t="n">
        <v>45637.7916666667</v>
      </c>
      <c r="D287" s="19" t="n">
        <v>45637.7916666667</v>
      </c>
      <c r="E287" s="18" t="n">
        <v>45638.3333333333</v>
      </c>
      <c r="F287" s="19" t="n">
        <v>0</v>
      </c>
      <c r="G287" s="20" t="n">
        <v>2000</v>
      </c>
      <c r="H287" s="8" t="n">
        <v>2</v>
      </c>
      <c r="I287" s="10" t="n">
        <v>45637</v>
      </c>
      <c r="J287" s="11" t="n">
        <v>0.769965277781007</v>
      </c>
      <c r="K287" s="1" t="s">
        <v>437</v>
      </c>
      <c r="L287" s="12" t="n">
        <f aca="false">((INT(E287)+MOD(F287,1))-(INT(C287)+MOD(D287,1)))*24</f>
        <v>4.99999999901047</v>
      </c>
      <c r="M287" s="1" t="n">
        <f aca="false">IFERROR(INDEX(Sheet3!$B$2:$B$500,MATCH(1,(INT(C287)+MOD(D287,1)&lt;INT(Sheet3!$A$2:$A$500)+TIME(18,0,0))*(INT(E287)+MOD(F287,1)&gt;=INT(Sheet3!$A$2:$A$500)),0)),0)</f>
        <v>0</v>
      </c>
      <c r="N287" s="1" t="n">
        <f aca="false">IF(OR( AND(Q287=6,D287&gt;=TIME(17,0,0),OR(K287="12H Night",K287="Couple Half Night",K287="24H Night",K287="Couple Full Night")), AND(Q287=7,D287&gt;=TIME(6,0,0),D287&lt;TIME(12,0,0),OR(K287="12H Day",K287="Couple Half Day",K287="24H Day",K287="Couple Full Day")) ),1,0)</f>
        <v>0</v>
      </c>
      <c r="O287" s="1" t="n">
        <f aca="false">IF(OR( AND(MONTH(C287)=12,DAY(C287)&gt;=26), AND(MONTH(C287)=4,DAY(C287)&gt;=15), MONTH(C287)=5, AND(MONTH(C287)=6,DAY(C287)&lt;=10) ),1,0)</f>
        <v>0</v>
      </c>
      <c r="P287" s="1" t="str">
        <f aca="false">IF(OR(MONTH(C287)=3,MONTH(C287)=4,MONTH(C287)=5,MONTH(C287)=6), "Summer", IF(OR(MONTH(C287)=7,MONTH(C287)=8,MONTH(C287)=9,MONTH(C287)=10), "Monsoon", "Winter"))</f>
        <v>Winter</v>
      </c>
      <c r="Q287" s="1" t="n">
        <f aca="false">WEEKDAY(C287,2)</f>
        <v>3</v>
      </c>
      <c r="R287" s="0" t="n">
        <f aca="false">ROUNDDOWN(((INT(C287)+MOD(D287,1))-(INT(I287)+MOD(J287,1))),0)</f>
        <v>0</v>
      </c>
      <c r="S287" s="10"/>
    </row>
    <row r="288" customFormat="false" ht="133.3" hidden="false" customHeight="false" outlineLevel="0" collapsed="false">
      <c r="A288" s="8" t="s">
        <v>298</v>
      </c>
      <c r="B288" s="22" t="s">
        <v>528</v>
      </c>
      <c r="C288" s="18" t="n">
        <v>45639.625</v>
      </c>
      <c r="D288" s="19" t="n">
        <v>45639.625</v>
      </c>
      <c r="E288" s="18" t="n">
        <v>45640.5833333333</v>
      </c>
      <c r="F288" s="19" t="n">
        <v>0</v>
      </c>
      <c r="G288" s="20" t="n">
        <v>3000</v>
      </c>
      <c r="H288" s="8" t="n">
        <v>10</v>
      </c>
      <c r="I288" s="10" t="n">
        <v>45638</v>
      </c>
      <c r="J288" s="11" t="n">
        <v>0.881516203706273</v>
      </c>
      <c r="K288" s="1" t="str">
        <f aca="false">IF(L288&gt;24,     IF(H288=2,"Couple Extended Day","Extended Day"), IF(L288&lt;=12,     IF(AND(MOD(D288,1)&gt;=TIME(6,0,0),MOD(D288,1)&lt;TIME(18,0,0)),         IF(H288=2,"Couple Half Day","12H Day"),         IF(H288=2,"Couple Half Night","12H Night")), IF(L288&lt;=24,     IF(AND(MOD(D288,1)&gt;=TIME(6,0,0),MOD(D288,1)&lt;TIME(18,0,0)),         IF(H288=2,"Couple Full Day","24H Day"),         IF(H288=2,"Couple Full Night","24H Night")), "Check Data")))</f>
        <v>12H Day</v>
      </c>
      <c r="L288" s="12" t="n">
        <f aca="false">((INT(E288)+MOD(F288,1))-(INT(C288)+MOD(D288,1)))*24</f>
        <v>9</v>
      </c>
      <c r="M288" s="1" t="n">
        <f aca="false">IFERROR(INDEX(Sheet3!$B$2:$B$500,MATCH(1,(INT(C288)+MOD(D288,1)&lt;INT(Sheet3!$A$2:$A$500)+TIME(18,0,0))*(INT(E288)+MOD(F288,1)&gt;=INT(Sheet3!$A$2:$A$500)),0)),0)</f>
        <v>0</v>
      </c>
      <c r="N288" s="1" t="n">
        <f aca="false">IF(OR( AND(Q288=6,D288&gt;=TIME(17,0,0),OR(K288="12H Night",K288="Couple Half Night",K288="24H Night",K288="Couple Full Night")), AND(Q288=7,D288&gt;=TIME(6,0,0),D288&lt;TIME(12,0,0),OR(K288="12H Day",K288="Couple Half Day",K288="24H Day",K288="Couple Full Day")) ),1,0)</f>
        <v>0</v>
      </c>
      <c r="O288" s="1" t="n">
        <f aca="false">IF(OR( AND(MONTH(C288)=12,DAY(C288)&gt;=26), AND(MONTH(C288)=4,DAY(C288)&gt;=15), MONTH(C288)=5, AND(MONTH(C288)=6,DAY(C288)&lt;=10) ),1,0)</f>
        <v>0</v>
      </c>
      <c r="P288" s="1" t="str">
        <f aca="false">IF(OR(MONTH(C288)=3,MONTH(C288)=4,MONTH(C288)=5,MONTH(C288)=6), "Summer", IF(OR(MONTH(C288)=7,MONTH(C288)=8,MONTH(C288)=9,MONTH(C288)=10), "Monsoon", "Winter"))</f>
        <v>Winter</v>
      </c>
      <c r="Q288" s="1" t="n">
        <f aca="false">WEEKDAY(C288,2)</f>
        <v>5</v>
      </c>
      <c r="R288" s="0" t="n">
        <f aca="false">ROUNDDOWN(((INT(C288)+MOD(D288,1))-(INT(I288)+MOD(J288,1))),0)</f>
        <v>0</v>
      </c>
      <c r="S288" s="10"/>
    </row>
    <row r="289" customFormat="false" ht="212.2" hidden="false" customHeight="false" outlineLevel="0" collapsed="false">
      <c r="A289" s="8" t="s">
        <v>529</v>
      </c>
      <c r="B289" s="22" t="s">
        <v>530</v>
      </c>
      <c r="C289" s="18" t="n">
        <v>45640.7083333333</v>
      </c>
      <c r="D289" s="19" t="n">
        <v>0</v>
      </c>
      <c r="E289" s="18" t="n">
        <v>45641.2916666667</v>
      </c>
      <c r="F289" s="19" t="n">
        <v>45641.2916666667</v>
      </c>
      <c r="G289" s="20" t="n">
        <v>2500</v>
      </c>
      <c r="H289" s="8" t="n">
        <v>8</v>
      </c>
      <c r="I289" s="10" t="n">
        <v>45639</v>
      </c>
      <c r="J289" s="11" t="n">
        <v>0.923240740739861</v>
      </c>
      <c r="K289" s="1" t="str">
        <f aca="false">IF(L289&gt;24,     IF(H289=2,"Couple Extended Day","Extended Day"), IF(L289&lt;=12,     IF(AND(MOD(D289,1)&gt;=TIME(6,0,0),MOD(D289,1)&lt;TIME(18,0,0)),         IF(H289=2,"Couple Half Day","12H Day"),         IF(H289=2,"Couple Half Night","12H Night")), IF(L289&lt;=24,     IF(AND(MOD(D289,1)&gt;=TIME(6,0,0),MOD(D289,1)&lt;TIME(18,0,0)),         IF(H289=2,"Couple Full Day","24H Day"),         IF(H289=2,"Couple Full Night","24H Night")), "Check Data")))</f>
        <v>Extended Day</v>
      </c>
      <c r="L289" s="12" t="n">
        <f aca="false">((INT(E289)+MOD(F289,1))-(INT(C289)+MOD(D289,1)))*24</f>
        <v>31.0000000009895</v>
      </c>
      <c r="M289" s="1" t="n">
        <f aca="false">IFERROR(INDEX(Sheet3!$B$2:$B$500,MATCH(1,(INT(C289)+MOD(D289,1)&lt;INT(Sheet3!$A$2:$A$500)+TIME(18,0,0))*(INT(E289)+MOD(F289,1)&gt;=INT(Sheet3!$A$2:$A$500)),0)),0)</f>
        <v>0</v>
      </c>
      <c r="N289" s="1" t="n">
        <f aca="false">IF(OR( AND(Q289=6,D289&gt;=TIME(17,0,0),OR(K289="12H Night",K289="Couple Half Night",K289="24H Night",K289="Couple Full Night")), AND(Q289=7,D289&gt;=TIME(6,0,0),D289&lt;TIME(12,0,0),OR(K289="12H Day",K289="Couple Half Day",K289="24H Day",K289="Couple Full Day")) ),1,0)</f>
        <v>0</v>
      </c>
      <c r="O289" s="1" t="n">
        <f aca="false">IF(OR( AND(MONTH(C289)=12,DAY(C289)&gt;=26), AND(MONTH(C289)=4,DAY(C289)&gt;=15), MONTH(C289)=5, AND(MONTH(C289)=6,DAY(C289)&lt;=10) ),1,0)</f>
        <v>0</v>
      </c>
      <c r="P289" s="1" t="str">
        <f aca="false">IF(OR(MONTH(C289)=3,MONTH(C289)=4,MONTH(C289)=5,MONTH(C289)=6), "Summer", IF(OR(MONTH(C289)=7,MONTH(C289)=8,MONTH(C289)=9,MONTH(C289)=10), "Monsoon", "Winter"))</f>
        <v>Winter</v>
      </c>
      <c r="Q289" s="1" t="n">
        <f aca="false">WEEKDAY(C289,2)</f>
        <v>6</v>
      </c>
      <c r="R289" s="0" t="n">
        <f aca="false">ROUNDDOWN(((INT(C289)+MOD(D289,1))-(INT(I289)+MOD(J289,1))),0)</f>
        <v>0</v>
      </c>
      <c r="S289" s="10"/>
    </row>
    <row r="290" customFormat="false" ht="15.75" hidden="false" customHeight="false" outlineLevel="0" collapsed="false">
      <c r="A290" s="8" t="s">
        <v>531</v>
      </c>
      <c r="B290" s="8" t="s">
        <v>43</v>
      </c>
      <c r="C290" s="18" t="n">
        <v>45641.8333333333</v>
      </c>
      <c r="D290" s="19" t="n">
        <v>0</v>
      </c>
      <c r="E290" s="18" t="n">
        <v>45642.5</v>
      </c>
      <c r="F290" s="19" t="n">
        <v>45642.5</v>
      </c>
      <c r="G290" s="20" t="n">
        <v>2500</v>
      </c>
      <c r="I290" s="10" t="n">
        <v>45641</v>
      </c>
      <c r="J290" s="11" t="n">
        <v>0.929502314815185</v>
      </c>
      <c r="K290" s="1" t="str">
        <f aca="false">IF(L290&gt;24,     IF(H290=2,"Couple Extended Day","Extended Day"), IF(L290&lt;=12,     IF(AND(MOD(D290,1)&gt;=TIME(6,0,0),MOD(D290,1)&lt;TIME(18,0,0)),         IF(H290=2,"Couple Half Day","12H Day"),         IF(H290=2,"Couple Half Night","12H Night")), IF(L290&lt;=24,     IF(AND(MOD(D290,1)&gt;=TIME(6,0,0),MOD(D290,1)&lt;TIME(18,0,0)),         IF(H290=2,"Couple Full Day","24H Day"),         IF(H290=2,"Couple Full Night","24H Night")), "Check Data")))</f>
        <v>Extended Day</v>
      </c>
      <c r="L290" s="12" t="n">
        <f aca="false">((INT(E290)+MOD(F290,1))-(INT(C290)+MOD(D290,1)))*24</f>
        <v>36</v>
      </c>
      <c r="M290" s="1" t="n">
        <f aca="false">IFERROR(INDEX(Sheet3!$B$2:$B$500,MATCH(1,(INT(C290)+MOD(D290,1)&lt;INT(Sheet3!$A$2:$A$500)+TIME(18,0,0))*(INT(E290)+MOD(F290,1)&gt;=INT(Sheet3!$A$2:$A$500)),0)),0)</f>
        <v>0</v>
      </c>
      <c r="N290" s="1" t="n">
        <f aca="false">IF(OR( AND(Q290=6,D290&gt;=TIME(17,0,0),OR(K290="12H Night",K290="Couple Half Night",K290="24H Night",K290="Couple Full Night")), AND(Q290=7,D290&gt;=TIME(6,0,0),D290&lt;TIME(12,0,0),OR(K290="12H Day",K290="Couple Half Day",K290="24H Day",K290="Couple Full Day")) ),1,0)</f>
        <v>0</v>
      </c>
      <c r="O290" s="1" t="n">
        <f aca="false">IF(OR( AND(MONTH(C290)=12,DAY(C290)&gt;=26), AND(MONTH(C290)=4,DAY(C290)&gt;=15), MONTH(C290)=5, AND(MONTH(C290)=6,DAY(C290)&lt;=10) ),1,0)</f>
        <v>0</v>
      </c>
      <c r="P290" s="1" t="str">
        <f aca="false">IF(OR(MONTH(C290)=3,MONTH(C290)=4,MONTH(C290)=5,MONTH(C290)=6), "Summer", IF(OR(MONTH(C290)=7,MONTH(C290)=8,MONTH(C290)=9,MONTH(C290)=10), "Monsoon", "Winter"))</f>
        <v>Winter</v>
      </c>
      <c r="Q290" s="1" t="n">
        <f aca="false">WEEKDAY(C290,2)</f>
        <v>7</v>
      </c>
      <c r="R290" s="0" t="n">
        <f aca="false">ROUNDDOWN(((INT(C290)+MOD(D290,1))-(INT(I290)+MOD(J290,1))),0)</f>
        <v>-0</v>
      </c>
      <c r="S290" s="10"/>
    </row>
    <row r="291" customFormat="false" ht="238.45" hidden="false" customHeight="false" outlineLevel="0" collapsed="false">
      <c r="A291" s="8" t="s">
        <v>192</v>
      </c>
      <c r="B291" s="22" t="s">
        <v>532</v>
      </c>
      <c r="C291" s="18" t="n">
        <v>45644.375</v>
      </c>
      <c r="D291" s="19" t="n">
        <v>45644.375</v>
      </c>
      <c r="E291" s="18" t="n">
        <v>45644.7083333333</v>
      </c>
      <c r="F291" s="19" t="n">
        <v>0</v>
      </c>
      <c r="G291" s="20" t="n">
        <v>1500</v>
      </c>
      <c r="H291" s="8" t="n">
        <v>2</v>
      </c>
      <c r="I291" s="10" t="n">
        <v>45642</v>
      </c>
      <c r="J291" s="11" t="n">
        <v>0.510995370364977</v>
      </c>
      <c r="K291" s="1" t="str">
        <f aca="false">IF(L291&gt;24,     IF(H291=2,"Couple Extended Day","Extended Day"), IF(L291&lt;=12,     IF(AND(MOD(D291,1)&gt;=TIME(6,0,0),MOD(D291,1)&lt;TIME(18,0,0)),         IF(H291=2,"Couple Half Day","12H Day"),         IF(H291=2,"Couple Half Night","12H Night")), IF(L291&lt;=24,     IF(AND(MOD(D291,1)&gt;=TIME(6,0,0),MOD(D291,1)&lt;TIME(18,0,0)),         IF(H291=2,"Couple Full Day","24H Day"),         IF(H291=2,"Couple Full Night","24H Night")), "Check Data")))</f>
        <v>Couple Half Day</v>
      </c>
      <c r="L291" s="12" t="n">
        <f aca="false">((INT(E291)+MOD(F291,1))-(INT(C291)+MOD(D291,1)))*24</f>
        <v>-9</v>
      </c>
      <c r="M291" s="1" t="n">
        <f aca="false">IFERROR(INDEX(Sheet3!$B$2:$B$500,MATCH(1,(INT(C291)+MOD(D291,1)&lt;INT(Sheet3!$A$2:$A$500)+TIME(18,0,0))*(INT(E291)+MOD(F291,1)&gt;=INT(Sheet3!$A$2:$A$500)),0)),0)</f>
        <v>0</v>
      </c>
      <c r="N291" s="1" t="n">
        <f aca="false">IF(OR( AND(Q291=6,D291&gt;=TIME(17,0,0),OR(K291="12H Night",K291="Couple Half Night",K291="24H Night",K291="Couple Full Night")), AND(Q291=7,D291&gt;=TIME(6,0,0),D291&lt;TIME(12,0,0),OR(K291="12H Day",K291="Couple Half Day",K291="24H Day",K291="Couple Full Day")) ),1,0)</f>
        <v>0</v>
      </c>
      <c r="O291" s="1" t="n">
        <f aca="false">IF(OR( AND(MONTH(C291)=12,DAY(C291)&gt;=26), AND(MONTH(C291)=4,DAY(C291)&gt;=15), MONTH(C291)=5, AND(MONTH(C291)=6,DAY(C291)&lt;=10) ),1,0)</f>
        <v>0</v>
      </c>
      <c r="P291" s="1" t="str">
        <f aca="false">IF(OR(MONTH(C291)=3,MONTH(C291)=4,MONTH(C291)=5,MONTH(C291)=6), "Summer", IF(OR(MONTH(C291)=7,MONTH(C291)=8,MONTH(C291)=9,MONTH(C291)=10), "Monsoon", "Winter"))</f>
        <v>Winter</v>
      </c>
      <c r="Q291" s="1" t="n">
        <f aca="false">WEEKDAY(C291,2)</f>
        <v>3</v>
      </c>
      <c r="R291" s="0" t="n">
        <f aca="false">ROUNDDOWN(((INT(C291)+MOD(D291,1))-(INT(I291)+MOD(J291,1))),0)</f>
        <v>1</v>
      </c>
      <c r="S291" s="10"/>
    </row>
    <row r="292" customFormat="false" ht="212.2" hidden="false" customHeight="false" outlineLevel="0" collapsed="false">
      <c r="A292" s="8" t="s">
        <v>400</v>
      </c>
      <c r="B292" s="22" t="s">
        <v>533</v>
      </c>
      <c r="C292" s="18" t="n">
        <v>45645.3333333333</v>
      </c>
      <c r="D292" s="19" t="n">
        <v>0</v>
      </c>
      <c r="E292" s="18" t="n">
        <v>45645.75</v>
      </c>
      <c r="F292" s="19" t="n">
        <v>45645.75</v>
      </c>
      <c r="G292" s="20" t="n">
        <v>2500</v>
      </c>
      <c r="H292" s="8" t="n">
        <v>15</v>
      </c>
      <c r="I292" s="10" t="n">
        <v>45641</v>
      </c>
      <c r="J292" s="11" t="n">
        <v>0.758113425923507</v>
      </c>
      <c r="K292" s="1" t="str">
        <f aca="false">IF(L292&gt;24,     IF(H292=2,"Couple Extended Day","Extended Day"), IF(L292&lt;=12,     IF(AND(MOD(D292,1)&gt;=TIME(6,0,0),MOD(D292,1)&lt;TIME(18,0,0)),         IF(H292=2,"Couple Half Day","12H Day"),         IF(H292=2,"Couple Half Night","12H Night")), IF(L292&lt;=24,     IF(AND(MOD(D292,1)&gt;=TIME(6,0,0),MOD(D292,1)&lt;TIME(18,0,0)),         IF(H292=2,"Couple Full Day","24H Day"),         IF(H292=2,"Couple Full Night","24H Night")), "Check Data")))</f>
        <v>24H Night</v>
      </c>
      <c r="L292" s="12" t="n">
        <f aca="false">((INT(E292)+MOD(F292,1))-(INT(C292)+MOD(D292,1)))*24</f>
        <v>18</v>
      </c>
      <c r="M292" s="1" t="n">
        <f aca="false">IFERROR(INDEX(Sheet3!$B$2:$B$500,MATCH(1,(INT(C292)+MOD(D292,1)&lt;INT(Sheet3!$A$2:$A$500)+TIME(18,0,0))*(INT(E292)+MOD(F292,1)&gt;=INT(Sheet3!$A$2:$A$500)),0)),0)</f>
        <v>0</v>
      </c>
      <c r="N292" s="1" t="n">
        <f aca="false">IF(OR( AND(Q292=6,D292&gt;=TIME(17,0,0),OR(K292="12H Night",K292="Couple Half Night",K292="24H Night",K292="Couple Full Night")), AND(Q292=7,D292&gt;=TIME(6,0,0),D292&lt;TIME(12,0,0),OR(K292="12H Day",K292="Couple Half Day",K292="24H Day",K292="Couple Full Day")) ),1,0)</f>
        <v>0</v>
      </c>
      <c r="O292" s="1" t="n">
        <f aca="false">IF(OR( AND(MONTH(C292)=12,DAY(C292)&gt;=26), AND(MONTH(C292)=4,DAY(C292)&gt;=15), MONTH(C292)=5, AND(MONTH(C292)=6,DAY(C292)&lt;=10) ),1,0)</f>
        <v>0</v>
      </c>
      <c r="P292" s="1" t="str">
        <f aca="false">IF(OR(MONTH(C292)=3,MONTH(C292)=4,MONTH(C292)=5,MONTH(C292)=6), "Summer", IF(OR(MONTH(C292)=7,MONTH(C292)=8,MONTH(C292)=9,MONTH(C292)=10), "Monsoon", "Winter"))</f>
        <v>Winter</v>
      </c>
      <c r="Q292" s="1" t="n">
        <f aca="false">WEEKDAY(C292,2)</f>
        <v>4</v>
      </c>
      <c r="R292" s="0" t="n">
        <f aca="false">ROUNDDOWN(((INT(C292)+MOD(D292,1))-(INT(I292)+MOD(J292,1))),0)</f>
        <v>3</v>
      </c>
      <c r="S292" s="10"/>
    </row>
    <row r="293" customFormat="false" ht="54.45" hidden="false" customHeight="false" outlineLevel="0" collapsed="false">
      <c r="A293" s="8" t="s">
        <v>240</v>
      </c>
      <c r="B293" s="22" t="s">
        <v>534</v>
      </c>
      <c r="C293" s="18" t="n">
        <v>45646.3333333333</v>
      </c>
      <c r="D293" s="19" t="n">
        <v>0</v>
      </c>
      <c r="E293" s="18" t="n">
        <v>45646.78125</v>
      </c>
      <c r="F293" s="19" t="n">
        <v>45646.78125</v>
      </c>
      <c r="G293" s="20" t="n">
        <v>0</v>
      </c>
      <c r="I293" s="10" t="n">
        <v>45641</v>
      </c>
      <c r="J293" s="11" t="n">
        <v>0.737164351856331</v>
      </c>
      <c r="K293" s="1" t="str">
        <f aca="false">IF(L293&gt;24,     IF(H293=2,"Couple Extended Day","Extended Day"), IF(L293&lt;=12,     IF(AND(MOD(D293,1)&gt;=TIME(6,0,0),MOD(D293,1)&lt;TIME(18,0,0)),         IF(H293=2,"Couple Half Day","12H Day"),         IF(H293=2,"Couple Half Night","12H Night")), IF(L293&lt;=24,     IF(AND(MOD(D293,1)&gt;=TIME(6,0,0),MOD(D293,1)&lt;TIME(18,0,0)),         IF(H293=2,"Couple Full Day","24H Day"),         IF(H293=2,"Couple Full Night","24H Night")), "Check Data")))</f>
        <v>24H Night</v>
      </c>
      <c r="L293" s="12" t="n">
        <f aca="false">((INT(E293)+MOD(F293,1))-(INT(C293)+MOD(D293,1)))*24</f>
        <v>18.75</v>
      </c>
      <c r="M293" s="1" t="n">
        <f aca="false">IFERROR(INDEX(Sheet3!$B$2:$B$500,MATCH(1,(INT(C293)+MOD(D293,1)&lt;INT(Sheet3!$A$2:$A$500)+TIME(18,0,0))*(INT(E293)+MOD(F293,1)&gt;=INT(Sheet3!$A$2:$A$500)),0)),0)</f>
        <v>0</v>
      </c>
      <c r="N293" s="1" t="n">
        <f aca="false">IF(OR( AND(Q293=6,D293&gt;=TIME(17,0,0),OR(K293="12H Night",K293="Couple Half Night",K293="24H Night",K293="Couple Full Night")), AND(Q293=7,D293&gt;=TIME(6,0,0),D293&lt;TIME(12,0,0),OR(K293="12H Day",K293="Couple Half Day",K293="24H Day",K293="Couple Full Day")) ),1,0)</f>
        <v>0</v>
      </c>
      <c r="O293" s="1" t="n">
        <f aca="false">IF(OR( AND(MONTH(C293)=12,DAY(C293)&gt;=26), AND(MONTH(C293)=4,DAY(C293)&gt;=15), MONTH(C293)=5, AND(MONTH(C293)=6,DAY(C293)&lt;=10) ),1,0)</f>
        <v>0</v>
      </c>
      <c r="P293" s="1" t="str">
        <f aca="false">IF(OR(MONTH(C293)=3,MONTH(C293)=4,MONTH(C293)=5,MONTH(C293)=6), "Summer", IF(OR(MONTH(C293)=7,MONTH(C293)=8,MONTH(C293)=9,MONTH(C293)=10), "Monsoon", "Winter"))</f>
        <v>Winter</v>
      </c>
      <c r="Q293" s="1" t="n">
        <f aca="false">WEEKDAY(C293,2)</f>
        <v>5</v>
      </c>
      <c r="R293" s="0" t="n">
        <f aca="false">ROUNDDOWN(((INT(C293)+MOD(D293,1))-(INT(I293)+MOD(J293,1))),0)</f>
        <v>4</v>
      </c>
      <c r="S293" s="10"/>
    </row>
    <row r="294" customFormat="false" ht="192.95" hidden="false" customHeight="false" outlineLevel="0" collapsed="false">
      <c r="A294" s="8" t="s">
        <v>535</v>
      </c>
      <c r="B294" s="22" t="s">
        <v>536</v>
      </c>
      <c r="C294" s="18" t="n">
        <v>45647.7916666667</v>
      </c>
      <c r="D294" s="19" t="n">
        <v>45647.7916666667</v>
      </c>
      <c r="E294" s="18" t="n">
        <v>45648.7916666667</v>
      </c>
      <c r="F294" s="19" t="n">
        <v>45648.7916666667</v>
      </c>
      <c r="G294" s="20" t="n">
        <v>5000</v>
      </c>
      <c r="H294" s="8" t="n">
        <v>8</v>
      </c>
      <c r="I294" s="10" t="n">
        <v>45645</v>
      </c>
      <c r="J294" s="11" t="n">
        <v>0.927002314812847</v>
      </c>
      <c r="K294" s="1" t="str">
        <f aca="false">IF(L294&gt;24,     IF(H294=2,"Couple Extended Day","Extended Day"), IF(L294&lt;=12,     IF(AND(MOD(D294,1)&gt;=TIME(6,0,0),MOD(D294,1)&lt;TIME(18,0,0)),         IF(H294=2,"Couple Half Day","12H Day"),         IF(H294=2,"Couple Half Night","12H Night")), IF(L294&lt;=24,     IF(AND(MOD(D294,1)&gt;=TIME(6,0,0),MOD(D294,1)&lt;TIME(18,0,0)),         IF(H294=2,"Couple Full Day","24H Day"),         IF(H294=2,"Couple Full Night","24H Night")), "Check Data")))</f>
        <v>24H Night</v>
      </c>
      <c r="L294" s="12" t="n">
        <f aca="false">((INT(E294)+MOD(F294,1))-(INT(C294)+MOD(D294,1)))*24</f>
        <v>24</v>
      </c>
      <c r="M294" s="1" t="n">
        <f aca="false">IFERROR(INDEX(Sheet3!$B$2:$B$500,MATCH(1,(INT(C294)+MOD(D294,1)&lt;INT(Sheet3!$A$2:$A$500)+TIME(18,0,0))*(INT(E294)+MOD(F294,1)&gt;=INT(Sheet3!$A$2:$A$500)),0)),0)</f>
        <v>0</v>
      </c>
      <c r="N294" s="1" t="n">
        <f aca="false">IF(OR( AND(Q294=6,D294&gt;=TIME(17,0,0),OR(K294="12H Night",K294="Couple Half Night",K294="24H Night",K294="Couple Full Night")), AND(Q294=7,D294&gt;=TIME(6,0,0),D294&lt;TIME(12,0,0),OR(K294="12H Day",K294="Couple Half Day",K294="24H Day",K294="Couple Full Day")) ),1,0)</f>
        <v>1</v>
      </c>
      <c r="O294" s="1" t="n">
        <f aca="false">IF(OR( AND(MONTH(C294)=12,DAY(C294)&gt;=26), AND(MONTH(C294)=4,DAY(C294)&gt;=15), MONTH(C294)=5, AND(MONTH(C294)=6,DAY(C294)&lt;=10) ),1,0)</f>
        <v>0</v>
      </c>
      <c r="P294" s="1" t="str">
        <f aca="false">IF(OR(MONTH(C294)=3,MONTH(C294)=4,MONTH(C294)=5,MONTH(C294)=6), "Summer", IF(OR(MONTH(C294)=7,MONTH(C294)=8,MONTH(C294)=9,MONTH(C294)=10), "Monsoon", "Winter"))</f>
        <v>Winter</v>
      </c>
      <c r="Q294" s="1" t="n">
        <f aca="false">WEEKDAY(C294,2)</f>
        <v>6</v>
      </c>
      <c r="R294" s="0" t="n">
        <f aca="false">ROUNDDOWN(((INT(C294)+MOD(D294,1))-(INT(I294)+MOD(J294,1))),0)</f>
        <v>1</v>
      </c>
      <c r="S294" s="10"/>
    </row>
    <row r="295" customFormat="false" ht="192.95" hidden="false" customHeight="false" outlineLevel="0" collapsed="false">
      <c r="A295" s="8" t="s">
        <v>537</v>
      </c>
      <c r="B295" s="22" t="s">
        <v>538</v>
      </c>
      <c r="C295" s="18" t="n">
        <v>45651.5416666667</v>
      </c>
      <c r="D295" s="19" t="n">
        <v>45651.5416666667</v>
      </c>
      <c r="E295" s="18" t="n">
        <v>45651.75</v>
      </c>
      <c r="F295" s="19" t="n">
        <v>45651.75</v>
      </c>
      <c r="G295" s="20" t="n">
        <v>1500</v>
      </c>
      <c r="H295" s="8" t="n">
        <v>2</v>
      </c>
      <c r="I295" s="10" t="n">
        <v>45651</v>
      </c>
      <c r="J295" s="11" t="n">
        <v>0.564166666663368</v>
      </c>
      <c r="K295" s="1" t="str">
        <f aca="false">IF(L295&gt;24,     IF(H295=2,"Couple Extended Day","Extended Day"), IF(L295&lt;=12,     IF(AND(MOD(D295,1)&gt;=TIME(6,0,0),MOD(D295,1)&lt;TIME(18,0,0)),         IF(H295=2,"Couple Half Day","12H Day"),         IF(H295=2,"Couple Half Night","12H Night")), IF(L295&lt;=24,     IF(AND(MOD(D295,1)&gt;=TIME(6,0,0),MOD(D295,1)&lt;TIME(18,0,0)),         IF(H295=2,"Couple Full Day","24H Day"),         IF(H295=2,"Couple Full Night","24H Night")), "Check Data")))</f>
        <v>Couple Half Day</v>
      </c>
      <c r="L295" s="12" t="n">
        <f aca="false">((INT(E295)+MOD(F295,1))-(INT(C295)+MOD(D295,1)))*24</f>
        <v>4.99999999901047</v>
      </c>
      <c r="M295" s="1" t="str">
        <f aca="false">IFERROR(INDEX(Sheet3!$B$2:$B$500,MATCH(1,(INT(C295)+MOD(D295,1)&lt;INT(Sheet3!$A$2:$A$500)+TIME(18,0,0))*(INT(E295)+MOD(F295,1)&gt;=INT(Sheet3!$A$2:$A$500)),0)),0)</f>
        <v>Christmas</v>
      </c>
      <c r="N295" s="1" t="n">
        <f aca="false">IF(OR( AND(Q295=6,D295&gt;=TIME(17,0,0),OR(K295="12H Night",K295="Couple Half Night",K295="24H Night",K295="Couple Full Night")), AND(Q295=7,D295&gt;=TIME(6,0,0),D295&lt;TIME(12,0,0),OR(K295="12H Day",K295="Couple Half Day",K295="24H Day",K295="Couple Full Day")) ),1,0)</f>
        <v>0</v>
      </c>
      <c r="O295" s="1" t="n">
        <f aca="false">IF(OR( AND(MONTH(C295)=12,DAY(C295)&gt;=26), AND(MONTH(C295)=4,DAY(C295)&gt;=15), MONTH(C295)=5, AND(MONTH(C295)=6,DAY(C295)&lt;=10) ),1,0)</f>
        <v>0</v>
      </c>
      <c r="P295" s="1" t="str">
        <f aca="false">IF(OR(MONTH(C295)=3,MONTH(C295)=4,MONTH(C295)=5,MONTH(C295)=6), "Summer", IF(OR(MONTH(C295)=7,MONTH(C295)=8,MONTH(C295)=9,MONTH(C295)=10), "Monsoon", "Winter"))</f>
        <v>Winter</v>
      </c>
      <c r="Q295" s="1" t="n">
        <f aca="false">WEEKDAY(C295,2)</f>
        <v>3</v>
      </c>
      <c r="R295" s="0" t="n">
        <f aca="false">ROUNDDOWN(((INT(C295)+MOD(D295,1))-(INT(I295)+MOD(J295,1))),0)</f>
        <v>-0</v>
      </c>
      <c r="S295" s="10"/>
    </row>
    <row r="296" customFormat="false" ht="192.95" hidden="false" customHeight="false" outlineLevel="0" collapsed="false">
      <c r="A296" s="8" t="s">
        <v>458</v>
      </c>
      <c r="B296" s="22" t="s">
        <v>539</v>
      </c>
      <c r="C296" s="18" t="n">
        <v>45653.4166666667</v>
      </c>
      <c r="D296" s="19" t="n">
        <v>45653.4166666667</v>
      </c>
      <c r="E296" s="18" t="n">
        <v>45654.75</v>
      </c>
      <c r="F296" s="19" t="n">
        <v>45654.75</v>
      </c>
      <c r="G296" s="20" t="n">
        <v>4500</v>
      </c>
      <c r="H296" s="8" t="n">
        <v>2</v>
      </c>
      <c r="I296" s="10" t="n">
        <v>45651</v>
      </c>
      <c r="J296" s="11" t="n">
        <v>0.463738425925845</v>
      </c>
      <c r="K296" s="1" t="str">
        <f aca="false">IF(L296&gt;24,     IF(H296=2,"Couple Extended Day","Extended Day"), IF(L296&lt;=12,     IF(AND(MOD(D296,1)&gt;=TIME(6,0,0),MOD(D296,1)&lt;TIME(18,0,0)),         IF(H296=2,"Couple Half Day","12H Day"),         IF(H296=2,"Couple Half Night","12H Night")), IF(L296&lt;=24,     IF(AND(MOD(D296,1)&gt;=TIME(6,0,0),MOD(D296,1)&lt;TIME(18,0,0)),         IF(H296=2,"Couple Full Day","24H Day"),         IF(H296=2,"Couple Full Night","24H Night")), "Check Data")))</f>
        <v>Couple Extended Day</v>
      </c>
      <c r="L296" s="12" t="n">
        <f aca="false">((INT(E296)+MOD(F296,1))-(INT(C296)+MOD(D296,1)))*24</f>
        <v>31.9999999990105</v>
      </c>
      <c r="M296" s="1" t="n">
        <f aca="false">IFERROR(INDEX(Sheet3!$B$2:$B$500,MATCH(1,(INT(C296)+MOD(D296,1)&lt;INT(Sheet3!$A$2:$A$500)+TIME(18,0,0))*(INT(E296)+MOD(F296,1)&gt;=INT(Sheet3!$A$2:$A$500)),0)),0)</f>
        <v>0</v>
      </c>
      <c r="N296" s="1" t="n">
        <f aca="false">IF(OR( AND(Q296=6,D296&gt;=TIME(17,0,0),OR(K296="12H Night",K296="Couple Half Night",K296="24H Night",K296="Couple Full Night")), AND(Q296=7,D296&gt;=TIME(6,0,0),D296&lt;TIME(12,0,0),OR(K296="12H Day",K296="Couple Half Day",K296="24H Day",K296="Couple Full Day")) ),1,0)</f>
        <v>0</v>
      </c>
      <c r="O296" s="1" t="n">
        <f aca="false">IF(OR( AND(MONTH(C296)=12,DAY(C296)&gt;=26), AND(MONTH(C296)=4,DAY(C296)&gt;=15), MONTH(C296)=5, AND(MONTH(C296)=6,DAY(C296)&lt;=10) ),1,0)</f>
        <v>1</v>
      </c>
      <c r="P296" s="1" t="str">
        <f aca="false">IF(OR(MONTH(C296)=3,MONTH(C296)=4,MONTH(C296)=5,MONTH(C296)=6), "Summer", IF(OR(MONTH(C296)=7,MONTH(C296)=8,MONTH(C296)=9,MONTH(C296)=10), "Monsoon", "Winter"))</f>
        <v>Winter</v>
      </c>
      <c r="Q296" s="1" t="n">
        <f aca="false">WEEKDAY(C296,2)</f>
        <v>5</v>
      </c>
      <c r="R296" s="0" t="n">
        <f aca="false">ROUNDDOWN(((INT(C296)+MOD(D296,1))-(INT(I296)+MOD(J296,1))),0)</f>
        <v>1</v>
      </c>
      <c r="S296" s="10"/>
    </row>
    <row r="297" customFormat="false" ht="192.95" hidden="false" customHeight="false" outlineLevel="0" collapsed="false">
      <c r="A297" s="8" t="s">
        <v>540</v>
      </c>
      <c r="B297" s="22" t="s">
        <v>541</v>
      </c>
      <c r="C297" s="18" t="n">
        <v>45654.7916666667</v>
      </c>
      <c r="D297" s="19" t="n">
        <v>45654.7916666667</v>
      </c>
      <c r="E297" s="18" t="n">
        <v>45655.7916666667</v>
      </c>
      <c r="F297" s="19" t="n">
        <v>45655.7916666667</v>
      </c>
      <c r="G297" s="20" t="n">
        <v>5000</v>
      </c>
      <c r="H297" s="8" t="n">
        <v>4</v>
      </c>
      <c r="I297" s="10" t="n">
        <v>45648</v>
      </c>
      <c r="J297" s="11" t="n">
        <v>0.936354166668021</v>
      </c>
      <c r="K297" s="1" t="str">
        <f aca="false">IF(L297&gt;24,     IF(H297=2,"Couple Extended Day","Extended Day"), IF(L297&lt;=12,     IF(AND(MOD(D297,1)&gt;=TIME(6,0,0),MOD(D297,1)&lt;TIME(18,0,0)),         IF(H297=2,"Couple Half Day","12H Day"),         IF(H297=2,"Couple Half Night","12H Night")), IF(L297&lt;=24,     IF(AND(MOD(D297,1)&gt;=TIME(6,0,0),MOD(D297,1)&lt;TIME(18,0,0)),         IF(H297=2,"Couple Full Day","24H Day"),         IF(H297=2,"Couple Full Night","24H Night")), "Check Data")))</f>
        <v>24H Night</v>
      </c>
      <c r="L297" s="12" t="n">
        <f aca="false">((INT(E297)+MOD(F297,1))-(INT(C297)+MOD(D297,1)))*24</f>
        <v>24</v>
      </c>
      <c r="M297" s="1" t="n">
        <f aca="false">IFERROR(INDEX(Sheet3!$B$2:$B$500,MATCH(1,(INT(C297)+MOD(D297,1)&lt;INT(Sheet3!$A$2:$A$500)+TIME(18,0,0))*(INT(E297)+MOD(F297,1)&gt;=INT(Sheet3!$A$2:$A$500)),0)),0)</f>
        <v>0</v>
      </c>
      <c r="N297" s="1" t="n">
        <f aca="false">IF(OR( AND(Q297=6,D297&gt;=TIME(17,0,0),OR(K297="12H Night",K297="Couple Half Night",K297="24H Night",K297="Couple Full Night")), AND(Q297=7,D297&gt;=TIME(6,0,0),D297&lt;TIME(12,0,0),OR(K297="12H Day",K297="Couple Half Day",K297="24H Day",K297="Couple Full Day")) ),1,0)</f>
        <v>1</v>
      </c>
      <c r="O297" s="1" t="n">
        <f aca="false">IF(OR( AND(MONTH(C297)=12,DAY(C297)&gt;=26), AND(MONTH(C297)=4,DAY(C297)&gt;=15), MONTH(C297)=5, AND(MONTH(C297)=6,DAY(C297)&lt;=10) ),1,0)</f>
        <v>1</v>
      </c>
      <c r="P297" s="1" t="str">
        <f aca="false">IF(OR(MONTH(C297)=3,MONTH(C297)=4,MONTH(C297)=5,MONTH(C297)=6), "Summer", IF(OR(MONTH(C297)=7,MONTH(C297)=8,MONTH(C297)=9,MONTH(C297)=10), "Monsoon", "Winter"))</f>
        <v>Winter</v>
      </c>
      <c r="Q297" s="1" t="n">
        <f aca="false">WEEKDAY(C297,2)</f>
        <v>6</v>
      </c>
      <c r="R297" s="0" t="n">
        <f aca="false">ROUNDDOWN(((INT(C297)+MOD(D297,1))-(INT(I297)+MOD(J297,1))),0)</f>
        <v>5</v>
      </c>
      <c r="S297" s="10"/>
    </row>
    <row r="298" customFormat="false" ht="225.35" hidden="false" customHeight="false" outlineLevel="0" collapsed="false">
      <c r="A298" s="8" t="s">
        <v>542</v>
      </c>
      <c r="B298" s="22" t="s">
        <v>543</v>
      </c>
      <c r="C298" s="18" t="n">
        <v>45657.5</v>
      </c>
      <c r="D298" s="19" t="n">
        <v>45657.5</v>
      </c>
      <c r="E298" s="18" t="n">
        <v>45657.75</v>
      </c>
      <c r="F298" s="19" t="n">
        <v>45657.75</v>
      </c>
      <c r="G298" s="20" t="n">
        <v>2700</v>
      </c>
      <c r="H298" s="8" t="n">
        <v>3</v>
      </c>
      <c r="I298" s="10" t="n">
        <v>45653</v>
      </c>
      <c r="J298" s="11" t="n">
        <v>0.73043981481169</v>
      </c>
      <c r="K298" s="1" t="str">
        <f aca="false">IF(L298&gt;24,     IF(H298=2,"Couple Extended Day","Extended Day"), IF(L298&lt;=12,     IF(AND(MOD(D298,1)&gt;=TIME(6,0,0),MOD(D298,1)&lt;TIME(18,0,0)),         IF(H298=2,"Couple Half Day","12H Day"),         IF(H298=2,"Couple Half Night","12H Night")), IF(L298&lt;=24,     IF(AND(MOD(D298,1)&gt;=TIME(6,0,0),MOD(D298,1)&lt;TIME(18,0,0)),         IF(H298=2,"Couple Full Day","24H Day"),         IF(H298=2,"Couple Full Night","24H Night")), "Check Data")))</f>
        <v>12H Day</v>
      </c>
      <c r="L298" s="12" t="n">
        <f aca="false">((INT(E298)+MOD(F298,1))-(INT(C298)+MOD(D298,1)))*24</f>
        <v>6</v>
      </c>
      <c r="M298" s="1" t="str">
        <f aca="false">IFERROR(INDEX(Sheet3!$B$2:$B$500,MATCH(1,(INT(C298)+MOD(D298,1)&lt;INT(Sheet3!$A$2:$A$500)+TIME(18,0,0))*(INT(E298)+MOD(F298,1)&gt;=INT(Sheet3!$A$2:$A$500)),0)),0)</f>
        <v>New Year's Eve</v>
      </c>
      <c r="N298" s="1" t="n">
        <f aca="false">IF(OR( AND(Q298=6,D298&gt;=TIME(17,0,0),OR(K298="12H Night",K298="Couple Half Night",K298="24H Night",K298="Couple Full Night")), AND(Q298=7,D298&gt;=TIME(6,0,0),D298&lt;TIME(12,0,0),OR(K298="12H Day",K298="Couple Half Day",K298="24H Day",K298="Couple Full Day")) ),1,0)</f>
        <v>0</v>
      </c>
      <c r="O298" s="1" t="n">
        <f aca="false">IF(OR( AND(MONTH(C298)=12,DAY(C298)&gt;=26), AND(MONTH(C298)=4,DAY(C298)&gt;=15), MONTH(C298)=5, AND(MONTH(C298)=6,DAY(C298)&lt;=10) ),1,0)</f>
        <v>1</v>
      </c>
      <c r="P298" s="1" t="str">
        <f aca="false">IF(OR(MONTH(C298)=3,MONTH(C298)=4,MONTH(C298)=5,MONTH(C298)=6), "Summer", IF(OR(MONTH(C298)=7,MONTH(C298)=8,MONTH(C298)=9,MONTH(C298)=10), "Monsoon", "Winter"))</f>
        <v>Winter</v>
      </c>
      <c r="Q298" s="1" t="n">
        <f aca="false">WEEKDAY(C298,2)</f>
        <v>2</v>
      </c>
      <c r="R298" s="0" t="n">
        <f aca="false">ROUNDDOWN(((INT(C298)+MOD(D298,1))-(INT(I298)+MOD(J298,1))),0)</f>
        <v>3</v>
      </c>
      <c r="S298" s="10"/>
    </row>
    <row r="299" customFormat="false" ht="212.2" hidden="false" customHeight="false" outlineLevel="0" collapsed="false">
      <c r="A299" s="8" t="s">
        <v>544</v>
      </c>
      <c r="B299" s="22" t="s">
        <v>545</v>
      </c>
      <c r="C299" s="18" t="n">
        <v>45657.7916666667</v>
      </c>
      <c r="D299" s="19" t="n">
        <v>45657.7916666667</v>
      </c>
      <c r="E299" s="18" t="n">
        <v>45658.3333333333</v>
      </c>
      <c r="F299" s="19" t="n">
        <v>0</v>
      </c>
      <c r="G299" s="20" t="n">
        <v>4000</v>
      </c>
      <c r="H299" s="8" t="n">
        <v>8</v>
      </c>
      <c r="I299" s="10" t="n">
        <v>45657</v>
      </c>
      <c r="J299" s="11" t="n">
        <v>0.466458333336053</v>
      </c>
      <c r="K299" s="1" t="str">
        <f aca="false">IF(L299&gt;24,     IF(H299=2,"Couple Extended Day","Extended Day"), IF(L299&lt;=12,     IF(AND(MOD(D299,1)&gt;=TIME(6,0,0),MOD(D299,1)&lt;TIME(18,0,0)),         IF(H299=2,"Couple Half Day","12H Day"),         IF(H299=2,"Couple Half Night","12H Night")), IF(L299&lt;=24,     IF(AND(MOD(D299,1)&gt;=TIME(6,0,0),MOD(D299,1)&lt;TIME(18,0,0)),         IF(H299=2,"Couple Full Day","24H Day"),         IF(H299=2,"Couple Full Night","24H Night")), "Check Data")))</f>
        <v>12H Night</v>
      </c>
      <c r="L299" s="12" t="n">
        <f aca="false">((INT(E299)+MOD(F299,1))-(INT(C299)+MOD(D299,1)))*24</f>
        <v>4.99999999901047</v>
      </c>
      <c r="M299" s="1" t="str">
        <f aca="false">IFERROR(INDEX(Sheet3!$B$2:$B$500,MATCH(1,(INT(C299)+MOD(D299,1)&lt;INT(Sheet3!$A$2:$A$500)+TIME(18,0,0))*(INT(E299)+MOD(F299,1)&gt;=INT(Sheet3!$A$2:$A$500)),0)),0)</f>
        <v>New Year</v>
      </c>
      <c r="N299" s="1" t="n">
        <f aca="false">IF(OR( AND(Q299=6,D299&gt;=TIME(17,0,0),OR(K299="12H Night",K299="Couple Half Night",K299="24H Night",K299="Couple Full Night")), AND(Q299=7,D299&gt;=TIME(6,0,0),D299&lt;TIME(12,0,0),OR(K299="12H Day",K299="Couple Half Day",K299="24H Day",K299="Couple Full Day")) ),1,0)</f>
        <v>0</v>
      </c>
      <c r="O299" s="1" t="n">
        <f aca="false">IF(OR( AND(MONTH(C299)=12,DAY(C299)&gt;=26), AND(MONTH(C299)=4,DAY(C299)&gt;=15), MONTH(C299)=5, AND(MONTH(C299)=6,DAY(C299)&lt;=10) ),1,0)</f>
        <v>1</v>
      </c>
      <c r="P299" s="1" t="str">
        <f aca="false">IF(OR(MONTH(C299)=3,MONTH(C299)=4,MONTH(C299)=5,MONTH(C299)=6), "Summer", IF(OR(MONTH(C299)=7,MONTH(C299)=8,MONTH(C299)=9,MONTH(C299)=10), "Monsoon", "Winter"))</f>
        <v>Winter</v>
      </c>
      <c r="Q299" s="1" t="n">
        <f aca="false">WEEKDAY(C299,2)</f>
        <v>2</v>
      </c>
      <c r="R299" s="0" t="n">
        <f aca="false">ROUNDDOWN(((INT(C299)+MOD(D299,1))-(INT(I299)+MOD(J299,1))),0)</f>
        <v>0</v>
      </c>
      <c r="S299" s="10"/>
    </row>
    <row r="300" customFormat="false" ht="199.05" hidden="false" customHeight="false" outlineLevel="0" collapsed="false">
      <c r="A300" s="8" t="s">
        <v>546</v>
      </c>
      <c r="B300" s="22" t="s">
        <v>547</v>
      </c>
      <c r="C300" s="18" t="n">
        <v>45659.375</v>
      </c>
      <c r="D300" s="19" t="n">
        <v>45659.375</v>
      </c>
      <c r="E300" s="18" t="n">
        <v>45659.7083333333</v>
      </c>
      <c r="F300" s="19" t="n">
        <v>0</v>
      </c>
      <c r="G300" s="20" t="n">
        <v>2000</v>
      </c>
      <c r="H300" s="8" t="n">
        <v>2</v>
      </c>
      <c r="I300" s="10" t="n">
        <v>45656</v>
      </c>
      <c r="J300" s="11" t="n">
        <v>0.577847222222766</v>
      </c>
      <c r="K300" s="1" t="str">
        <f aca="false">IF(L300&gt;24,     IF(H300=2,"Couple Extended Day","Extended Day"), IF(L300&lt;=12,     IF(AND(MOD(D300,1)&gt;=TIME(6,0,0),MOD(D300,1)&lt;TIME(18,0,0)),         IF(H300=2,"Couple Half Day","12H Day"),         IF(H300=2,"Couple Half Night","12H Night")), IF(L300&lt;=24,     IF(AND(MOD(D300,1)&gt;=TIME(6,0,0),MOD(D300,1)&lt;TIME(18,0,0)),         IF(H300=2,"Couple Full Day","24H Day"),         IF(H300=2,"Couple Full Night","24H Night")), "Check Data")))</f>
        <v>Couple Half Day</v>
      </c>
      <c r="L300" s="12" t="n">
        <f aca="false">((INT(E300)+MOD(F300,1))-(INT(C300)+MOD(D300,1)))*24</f>
        <v>-9</v>
      </c>
      <c r="M300" s="1" t="n">
        <f aca="false">IFERROR(INDEX(Sheet3!$B$2:$B$500,MATCH(1,(INT(C300)+MOD(D300,1)&lt;INT(Sheet3!$A$2:$A$500)+TIME(18,0,0))*(INT(E300)+MOD(F300,1)&gt;=INT(Sheet3!$A$2:$A$500)),0)),0)</f>
        <v>0</v>
      </c>
      <c r="N300" s="1" t="n">
        <f aca="false">IF(OR( AND(Q300=6,D300&gt;=TIME(17,0,0),OR(K300="12H Night",K300="Couple Half Night",K300="24H Night",K300="Couple Full Night")), AND(Q300=7,D300&gt;=TIME(6,0,0),D300&lt;TIME(12,0,0),OR(K300="12H Day",K300="Couple Half Day",K300="24H Day",K300="Couple Full Day")) ),1,0)</f>
        <v>0</v>
      </c>
      <c r="O300" s="1" t="n">
        <f aca="false">IF(OR( AND(MONTH(C300)=12,DAY(C300)&gt;=26), AND(MONTH(C300)=4,DAY(C300)&gt;=15), MONTH(C300)=5, AND(MONTH(C300)=6,DAY(C300)&lt;=10) ),1,0)</f>
        <v>0</v>
      </c>
      <c r="P300" s="1" t="str">
        <f aca="false">IF(OR(MONTH(C300)=3,MONTH(C300)=4,MONTH(C300)=5,MONTH(C300)=6), "Summer", IF(OR(MONTH(C300)=7,MONTH(C300)=8,MONTH(C300)=9,MONTH(C300)=10), "Monsoon", "Winter"))</f>
        <v>Winter</v>
      </c>
      <c r="Q300" s="1" t="n">
        <f aca="false">WEEKDAY(C300,2)</f>
        <v>4</v>
      </c>
      <c r="R300" s="0" t="n">
        <f aca="false">ROUNDDOWN(((INT(C300)+MOD(D300,1))-(INT(I300)+MOD(J300,1))),0)</f>
        <v>2</v>
      </c>
      <c r="S300" s="10"/>
    </row>
    <row r="301" customFormat="false" ht="185.9" hidden="false" customHeight="false" outlineLevel="0" collapsed="false">
      <c r="A301" s="8" t="s">
        <v>548</v>
      </c>
      <c r="B301" s="22" t="s">
        <v>549</v>
      </c>
      <c r="C301" s="18" t="n">
        <v>45661.3333333333</v>
      </c>
      <c r="D301" s="19" t="n">
        <v>0</v>
      </c>
      <c r="E301" s="18" t="n">
        <v>45661.75</v>
      </c>
      <c r="F301" s="19" t="n">
        <v>45661.75</v>
      </c>
      <c r="G301" s="20" t="n">
        <v>3000</v>
      </c>
      <c r="H301" s="8" t="n">
        <v>5</v>
      </c>
      <c r="I301" s="10" t="n">
        <v>45662</v>
      </c>
      <c r="J301" s="11" t="n">
        <v>0.0375115740753241</v>
      </c>
      <c r="K301" s="1" t="str">
        <f aca="false">IF(L301&gt;24,     IF(H301=2,"Couple Extended Day","Extended Day"), IF(L301&lt;=12,     IF(AND(MOD(D301,1)&gt;=TIME(6,0,0),MOD(D301,1)&lt;TIME(18,0,0)),         IF(H301=2,"Couple Half Day","12H Day"),         IF(H301=2,"Couple Half Night","12H Night")), IF(L301&lt;=24,     IF(AND(MOD(D301,1)&gt;=TIME(6,0,0),MOD(D301,1)&lt;TIME(18,0,0)),         IF(H301=2,"Couple Full Day","24H Day"),         IF(H301=2,"Couple Full Night","24H Night")), "Check Data")))</f>
        <v>24H Night</v>
      </c>
      <c r="L301" s="12" t="n">
        <f aca="false">((INT(E301)+MOD(F301,1))-(INT(C301)+MOD(D301,1)))*24</f>
        <v>18</v>
      </c>
      <c r="M301" s="1" t="n">
        <f aca="false">IFERROR(INDEX(Sheet3!$B$2:$B$500,MATCH(1,(INT(C301)+MOD(D301,1)&lt;INT(Sheet3!$A$2:$A$500)+TIME(18,0,0))*(INT(E301)+MOD(F301,1)&gt;=INT(Sheet3!$A$2:$A$500)),0)),0)</f>
        <v>0</v>
      </c>
      <c r="N301" s="1" t="n">
        <f aca="false">IF(OR( AND(Q301=6,D301&gt;=TIME(17,0,0),OR(K301="12H Night",K301="Couple Half Night",K301="24H Night",K301="Couple Full Night")), AND(Q301=7,D301&gt;=TIME(6,0,0),D301&lt;TIME(12,0,0),OR(K301="12H Day",K301="Couple Half Day",K301="24H Day",K301="Couple Full Day")) ),1,0)</f>
        <v>0</v>
      </c>
      <c r="O301" s="1" t="n">
        <f aca="false">IF(OR( AND(MONTH(C301)=12,DAY(C301)&gt;=26), AND(MONTH(C301)=4,DAY(C301)&gt;=15), MONTH(C301)=5, AND(MONTH(C301)=6,DAY(C301)&lt;=10) ),1,0)</f>
        <v>0</v>
      </c>
      <c r="P301" s="1" t="str">
        <f aca="false">IF(OR(MONTH(C301)=3,MONTH(C301)=4,MONTH(C301)=5,MONTH(C301)=6), "Summer", IF(OR(MONTH(C301)=7,MONTH(C301)=8,MONTH(C301)=9,MONTH(C301)=10), "Monsoon", "Winter"))</f>
        <v>Winter</v>
      </c>
      <c r="Q301" s="1" t="n">
        <f aca="false">WEEKDAY(C301,2)</f>
        <v>6</v>
      </c>
      <c r="R301" s="0" t="n">
        <f aca="false">ROUNDDOWN(((INT(C301)+MOD(D301,1))-(INT(I301)+MOD(J301,1))),0)</f>
        <v>-1</v>
      </c>
      <c r="S301" s="10"/>
    </row>
    <row r="302" customFormat="false" ht="120.15" hidden="false" customHeight="false" outlineLevel="0" collapsed="false">
      <c r="A302" s="8" t="s">
        <v>550</v>
      </c>
      <c r="B302" s="22" t="s">
        <v>551</v>
      </c>
      <c r="C302" s="18" t="n">
        <v>45661.7916666667</v>
      </c>
      <c r="D302" s="19" t="n">
        <v>45661.7916666667</v>
      </c>
      <c r="E302" s="18" t="n">
        <v>45662.75</v>
      </c>
      <c r="F302" s="19" t="n">
        <v>45662.75</v>
      </c>
      <c r="G302" s="20" t="n">
        <v>5000</v>
      </c>
      <c r="H302" s="8" t="n">
        <v>15</v>
      </c>
      <c r="I302" s="10" t="n">
        <v>45654</v>
      </c>
      <c r="J302" s="11" t="n">
        <v>0.887893518520289</v>
      </c>
      <c r="K302" s="1" t="str">
        <f aca="false">IF(L302&gt;24,     IF(H302=2,"Couple Extended Day","Extended Day"), IF(L302&lt;=12,     IF(AND(MOD(D302,1)&gt;=TIME(6,0,0),MOD(D302,1)&lt;TIME(18,0,0)),         IF(H302=2,"Couple Half Day","12H Day"),         IF(H302=2,"Couple Half Night","12H Night")), IF(L302&lt;=24,     IF(AND(MOD(D302,1)&gt;=TIME(6,0,0),MOD(D302,1)&lt;TIME(18,0,0)),         IF(H302=2,"Couple Full Day","24H Day"),         IF(H302=2,"Couple Full Night","24H Night")), "Check Data")))</f>
        <v>24H Night</v>
      </c>
      <c r="L302" s="12" t="n">
        <f aca="false">((INT(E302)+MOD(F302,1))-(INT(C302)+MOD(D302,1)))*24</f>
        <v>22.9999999990105</v>
      </c>
      <c r="M302" s="1" t="n">
        <f aca="false">IFERROR(INDEX(Sheet3!$B$2:$B$500,MATCH(1,(INT(C302)+MOD(D302,1)&lt;INT(Sheet3!$A$2:$A$500)+TIME(18,0,0))*(INT(E302)+MOD(F302,1)&gt;=INT(Sheet3!$A$2:$A$500)),0)),0)</f>
        <v>0</v>
      </c>
      <c r="N302" s="1" t="n">
        <f aca="false">IF(OR( AND(Q302=6,D302&gt;=TIME(17,0,0),OR(K302="12H Night",K302="Couple Half Night",K302="24H Night",K302="Couple Full Night")), AND(Q302=7,D302&gt;=TIME(6,0,0),D302&lt;TIME(12,0,0),OR(K302="12H Day",K302="Couple Half Day",K302="24H Day",K302="Couple Full Day")) ),1,0)</f>
        <v>1</v>
      </c>
      <c r="O302" s="1" t="n">
        <f aca="false">IF(OR( AND(MONTH(C302)=12,DAY(C302)&gt;=26), AND(MONTH(C302)=4,DAY(C302)&gt;=15), MONTH(C302)=5, AND(MONTH(C302)=6,DAY(C302)&lt;=10) ),1,0)</f>
        <v>0</v>
      </c>
      <c r="P302" s="1" t="str">
        <f aca="false">IF(OR(MONTH(C302)=3,MONTH(C302)=4,MONTH(C302)=5,MONTH(C302)=6), "Summer", IF(OR(MONTH(C302)=7,MONTH(C302)=8,MONTH(C302)=9,MONTH(C302)=10), "Monsoon", "Winter"))</f>
        <v>Winter</v>
      </c>
      <c r="Q302" s="1" t="n">
        <f aca="false">WEEKDAY(C302,2)</f>
        <v>6</v>
      </c>
      <c r="R302" s="0" t="n">
        <f aca="false">ROUNDDOWN(((INT(C302)+MOD(D302,1))-(INT(I302)+MOD(J302,1))),0)</f>
        <v>6</v>
      </c>
      <c r="S302" s="10"/>
    </row>
    <row r="303" customFormat="false" ht="212.2" hidden="false" customHeight="false" outlineLevel="0" collapsed="false">
      <c r="A303" s="8" t="s">
        <v>552</v>
      </c>
      <c r="B303" s="22" t="s">
        <v>553</v>
      </c>
      <c r="C303" s="18" t="n">
        <v>45663.375</v>
      </c>
      <c r="D303" s="19" t="n">
        <v>45663.375</v>
      </c>
      <c r="E303" s="18" t="n">
        <v>45663.75</v>
      </c>
      <c r="F303" s="19" t="n">
        <v>45663.75</v>
      </c>
      <c r="G303" s="20" t="n">
        <v>2500</v>
      </c>
      <c r="H303" s="8" t="n">
        <v>5</v>
      </c>
      <c r="I303" s="10" t="n">
        <v>45662</v>
      </c>
      <c r="J303" s="11" t="n">
        <v>0.791550925925544</v>
      </c>
      <c r="K303" s="1" t="str">
        <f aca="false">IF(L303&gt;24,     IF(H303=2,"Couple Extended Day","Extended Day"), IF(L303&lt;=12,     IF(AND(MOD(D303,1)&gt;=TIME(6,0,0),MOD(D303,1)&lt;TIME(18,0,0)),         IF(H303=2,"Couple Half Day","12H Day"),         IF(H303=2,"Couple Half Night","12H Night")), IF(L303&lt;=24,     IF(AND(MOD(D303,1)&gt;=TIME(6,0,0),MOD(D303,1)&lt;TIME(18,0,0)),         IF(H303=2,"Couple Full Day","24H Day"),         IF(H303=2,"Couple Full Night","24H Night")), "Check Data")))</f>
        <v>12H Day</v>
      </c>
      <c r="L303" s="12" t="n">
        <f aca="false">((INT(E303)+MOD(F303,1))-(INT(C303)+MOD(D303,1)))*24</f>
        <v>9</v>
      </c>
      <c r="M303" s="1" t="n">
        <f aca="false">IFERROR(INDEX(Sheet3!$B$2:$B$500,MATCH(1,(INT(C303)+MOD(D303,1)&lt;INT(Sheet3!$A$2:$A$500)+TIME(18,0,0))*(INT(E303)+MOD(F303,1)&gt;=INT(Sheet3!$A$2:$A$500)),0)),0)</f>
        <v>0</v>
      </c>
      <c r="N303" s="1" t="n">
        <f aca="false">IF(OR( AND(Q303=6,D303&gt;=TIME(17,0,0),OR(K303="12H Night",K303="Couple Half Night",K303="24H Night",K303="Couple Full Night")), AND(Q303=7,D303&gt;=TIME(6,0,0),D303&lt;TIME(12,0,0),OR(K303="12H Day",K303="Couple Half Day",K303="24H Day",K303="Couple Full Day")) ),1,0)</f>
        <v>0</v>
      </c>
      <c r="O303" s="1" t="n">
        <f aca="false">IF(OR( AND(MONTH(C303)=12,DAY(C303)&gt;=26), AND(MONTH(C303)=4,DAY(C303)&gt;=15), MONTH(C303)=5, AND(MONTH(C303)=6,DAY(C303)&lt;=10) ),1,0)</f>
        <v>0</v>
      </c>
      <c r="P303" s="1" t="str">
        <f aca="false">IF(OR(MONTH(C303)=3,MONTH(C303)=4,MONTH(C303)=5,MONTH(C303)=6), "Summer", IF(OR(MONTH(C303)=7,MONTH(C303)=8,MONTH(C303)=9,MONTH(C303)=10), "Monsoon", "Winter"))</f>
        <v>Winter</v>
      </c>
      <c r="Q303" s="1" t="n">
        <f aca="false">WEEKDAY(C303,2)</f>
        <v>1</v>
      </c>
      <c r="R303" s="0" t="n">
        <f aca="false">ROUNDDOWN(((INT(C303)+MOD(D303,1))-(INT(I303)+MOD(J303,1))),0)</f>
        <v>0</v>
      </c>
      <c r="S303" s="10"/>
    </row>
    <row r="304" customFormat="false" ht="180.95" hidden="false" customHeight="false" outlineLevel="0" collapsed="false">
      <c r="A304" s="8" t="s">
        <v>341</v>
      </c>
      <c r="B304" s="22" t="s">
        <v>554</v>
      </c>
      <c r="C304" s="18" t="n">
        <v>45665.375</v>
      </c>
      <c r="D304" s="19" t="n">
        <v>45665.375</v>
      </c>
      <c r="E304" s="18" t="n">
        <v>45665.75</v>
      </c>
      <c r="F304" s="19" t="n">
        <v>45665.75</v>
      </c>
      <c r="G304" s="20" t="n">
        <v>2500</v>
      </c>
      <c r="H304" s="8" t="n">
        <v>4</v>
      </c>
      <c r="I304" s="10" t="n">
        <v>45663</v>
      </c>
      <c r="J304" s="11" t="n">
        <v>0.593240740738113</v>
      </c>
      <c r="K304" s="1" t="str">
        <f aca="false">IF(L304&gt;24,     IF(H304=2,"Couple Extended Day","Extended Day"), IF(L304&lt;=12,     IF(AND(MOD(D304,1)&gt;=TIME(6,0,0),MOD(D304,1)&lt;TIME(18,0,0)),         IF(H304=2,"Couple Half Day","12H Day"),         IF(H304=2,"Couple Half Night","12H Night")), IF(L304&lt;=24,     IF(AND(MOD(D304,1)&gt;=TIME(6,0,0),MOD(D304,1)&lt;TIME(18,0,0)),         IF(H304=2,"Couple Full Day","24H Day"),         IF(H304=2,"Couple Full Night","24H Night")), "Check Data")))</f>
        <v>12H Day</v>
      </c>
      <c r="L304" s="12" t="n">
        <f aca="false">((INT(E304)+MOD(F304,1))-(INT(C304)+MOD(D304,1)))*24</f>
        <v>9</v>
      </c>
      <c r="M304" s="1" t="n">
        <f aca="false">IFERROR(INDEX(Sheet3!$B$2:$B$500,MATCH(1,(INT(C304)+MOD(D304,1)&lt;INT(Sheet3!$A$2:$A$500)+TIME(18,0,0))*(INT(E304)+MOD(F304,1)&gt;=INT(Sheet3!$A$2:$A$500)),0)),0)</f>
        <v>0</v>
      </c>
      <c r="N304" s="1" t="n">
        <f aca="false">IF(OR( AND(Q304=6,D304&gt;=TIME(17,0,0),OR(K304="12H Night",K304="Couple Half Night",K304="24H Night",K304="Couple Full Night")), AND(Q304=7,D304&gt;=TIME(6,0,0),D304&lt;TIME(12,0,0),OR(K304="12H Day",K304="Couple Half Day",K304="24H Day",K304="Couple Full Day")) ),1,0)</f>
        <v>0</v>
      </c>
      <c r="O304" s="1" t="n">
        <f aca="false">IF(OR( AND(MONTH(C304)=12,DAY(C304)&gt;=26), AND(MONTH(C304)=4,DAY(C304)&gt;=15), MONTH(C304)=5, AND(MONTH(C304)=6,DAY(C304)&lt;=10) ),1,0)</f>
        <v>0</v>
      </c>
      <c r="P304" s="1" t="str">
        <f aca="false">IF(OR(MONTH(C304)=3,MONTH(C304)=4,MONTH(C304)=5,MONTH(C304)=6), "Summer", IF(OR(MONTH(C304)=7,MONTH(C304)=8,MONTH(C304)=9,MONTH(C304)=10), "Monsoon", "Winter"))</f>
        <v>Winter</v>
      </c>
      <c r="Q304" s="1" t="n">
        <f aca="false">WEEKDAY(C304,2)</f>
        <v>3</v>
      </c>
      <c r="R304" s="0" t="n">
        <f aca="false">ROUNDDOWN(((INT(C304)+MOD(D304,1))-(INT(I304)+MOD(J304,1))),0)</f>
        <v>1</v>
      </c>
      <c r="S304" s="10"/>
    </row>
    <row r="305" customFormat="false" ht="180.95" hidden="false" customHeight="false" outlineLevel="0" collapsed="false">
      <c r="A305" s="8" t="s">
        <v>555</v>
      </c>
      <c r="B305" s="22" t="s">
        <v>556</v>
      </c>
      <c r="C305" s="18" t="n">
        <v>45665.7916666667</v>
      </c>
      <c r="D305" s="19" t="n">
        <v>45665.7916666667</v>
      </c>
      <c r="E305" s="18" t="n">
        <v>45666.75</v>
      </c>
      <c r="F305" s="19" t="n">
        <v>45666.75</v>
      </c>
      <c r="G305" s="20" t="n">
        <v>4200</v>
      </c>
      <c r="H305" s="8" t="n">
        <v>10</v>
      </c>
      <c r="I305" s="10" t="n">
        <v>45664</v>
      </c>
      <c r="J305" s="11" t="n">
        <v>0.573634259257234</v>
      </c>
      <c r="K305" s="1" t="str">
        <f aca="false">IF(L305&gt;24,     IF(H305=2,"Couple Extended Day","Extended Day"), IF(L305&lt;=12,     IF(AND(MOD(D305,1)&gt;=TIME(6,0,0),MOD(D305,1)&lt;TIME(18,0,0)),         IF(H305=2,"Couple Half Day","12H Day"),         IF(H305=2,"Couple Half Night","12H Night")), IF(L305&lt;=24,     IF(AND(MOD(D305,1)&gt;=TIME(6,0,0),MOD(D305,1)&lt;TIME(18,0,0)),         IF(H305=2,"Couple Full Day","24H Day"),         IF(H305=2,"Couple Full Night","24H Night")), "Check Data")))</f>
        <v>24H Night</v>
      </c>
      <c r="L305" s="12" t="n">
        <f aca="false">((INT(E305)+MOD(F305,1))-(INT(C305)+MOD(D305,1)))*24</f>
        <v>22.9999999990105</v>
      </c>
      <c r="M305" s="1" t="n">
        <f aca="false">IFERROR(INDEX(Sheet3!$B$2:$B$500,MATCH(1,(INT(C305)+MOD(D305,1)&lt;INT(Sheet3!$A$2:$A$500)+TIME(18,0,0))*(INT(E305)+MOD(F305,1)&gt;=INT(Sheet3!$A$2:$A$500)),0)),0)</f>
        <v>0</v>
      </c>
      <c r="N305" s="1" t="n">
        <f aca="false">IF(OR( AND(Q305=6,D305&gt;=TIME(17,0,0),OR(K305="12H Night",K305="Couple Half Night",K305="24H Night",K305="Couple Full Night")), AND(Q305=7,D305&gt;=TIME(6,0,0),D305&lt;TIME(12,0,0),OR(K305="12H Day",K305="Couple Half Day",K305="24H Day",K305="Couple Full Day")) ),1,0)</f>
        <v>0</v>
      </c>
      <c r="O305" s="1" t="n">
        <f aca="false">IF(OR( AND(MONTH(C305)=12,DAY(C305)&gt;=26), AND(MONTH(C305)=4,DAY(C305)&gt;=15), MONTH(C305)=5, AND(MONTH(C305)=6,DAY(C305)&lt;=10) ),1,0)</f>
        <v>0</v>
      </c>
      <c r="P305" s="1" t="str">
        <f aca="false">IF(OR(MONTH(C305)=3,MONTH(C305)=4,MONTH(C305)=5,MONTH(C305)=6), "Summer", IF(OR(MONTH(C305)=7,MONTH(C305)=8,MONTH(C305)=9,MONTH(C305)=10), "Monsoon", "Winter"))</f>
        <v>Winter</v>
      </c>
      <c r="Q305" s="1" t="n">
        <f aca="false">WEEKDAY(C305,2)</f>
        <v>3</v>
      </c>
      <c r="R305" s="0" t="n">
        <f aca="false">ROUNDDOWN(((INT(C305)+MOD(D305,1))-(INT(I305)+MOD(J305,1))),0)</f>
        <v>1</v>
      </c>
      <c r="S305" s="10"/>
    </row>
    <row r="306" customFormat="false" ht="212.2" hidden="false" customHeight="false" outlineLevel="0" collapsed="false">
      <c r="A306" s="8" t="s">
        <v>108</v>
      </c>
      <c r="B306" s="22" t="s">
        <v>557</v>
      </c>
      <c r="C306" s="18" t="n">
        <v>45667.375</v>
      </c>
      <c r="D306" s="19" t="n">
        <v>45667.375</v>
      </c>
      <c r="E306" s="18" t="n">
        <v>45667.75</v>
      </c>
      <c r="F306" s="19" t="n">
        <v>45667.75</v>
      </c>
      <c r="G306" s="20" t="n">
        <v>2000</v>
      </c>
      <c r="H306" s="8" t="n">
        <v>2</v>
      </c>
      <c r="I306" s="10" t="n">
        <v>45664</v>
      </c>
      <c r="J306" s="11" t="n">
        <v>0.604016203702488</v>
      </c>
      <c r="K306" s="1" t="str">
        <f aca="false">IF(L306&gt;24,     IF(H306=2,"Couple Extended Day","Extended Day"), IF(L306&lt;=12,     IF(AND(MOD(D306,1)&gt;=TIME(6,0,0),MOD(D306,1)&lt;TIME(18,0,0)),         IF(H306=2,"Couple Half Day","12H Day"),         IF(H306=2,"Couple Half Night","12H Night")), IF(L306&lt;=24,     IF(AND(MOD(D306,1)&gt;=TIME(6,0,0),MOD(D306,1)&lt;TIME(18,0,0)),         IF(H306=2,"Couple Full Day","24H Day"),         IF(H306=2,"Couple Full Night","24H Night")), "Check Data")))</f>
        <v>Couple Half Day</v>
      </c>
      <c r="L306" s="12" t="n">
        <f aca="false">((INT(E306)+MOD(F306,1))-(INT(C306)+MOD(D306,1)))*24</f>
        <v>9</v>
      </c>
      <c r="M306" s="1" t="n">
        <f aca="false">IFERROR(INDEX(Sheet3!$B$2:$B$500,MATCH(1,(INT(C306)+MOD(D306,1)&lt;INT(Sheet3!$A$2:$A$500)+TIME(18,0,0))*(INT(E306)+MOD(F306,1)&gt;=INT(Sheet3!$A$2:$A$500)),0)),0)</f>
        <v>0</v>
      </c>
      <c r="N306" s="1" t="n">
        <f aca="false">IF(OR( AND(Q306=6,D306&gt;=TIME(17,0,0),OR(K306="12H Night",K306="Couple Half Night",K306="24H Night",K306="Couple Full Night")), AND(Q306=7,D306&gt;=TIME(6,0,0),D306&lt;TIME(12,0,0),OR(K306="12H Day",K306="Couple Half Day",K306="24H Day",K306="Couple Full Day")) ),1,0)</f>
        <v>0</v>
      </c>
      <c r="O306" s="1" t="n">
        <f aca="false">IF(OR( AND(MONTH(C306)=12,DAY(C306)&gt;=26), AND(MONTH(C306)=4,DAY(C306)&gt;=15), MONTH(C306)=5, AND(MONTH(C306)=6,DAY(C306)&lt;=10) ),1,0)</f>
        <v>0</v>
      </c>
      <c r="P306" s="1" t="str">
        <f aca="false">IF(OR(MONTH(C306)=3,MONTH(C306)=4,MONTH(C306)=5,MONTH(C306)=6), "Summer", IF(OR(MONTH(C306)=7,MONTH(C306)=8,MONTH(C306)=9,MONTH(C306)=10), "Monsoon", "Winter"))</f>
        <v>Winter</v>
      </c>
      <c r="Q306" s="1" t="n">
        <f aca="false">WEEKDAY(C306,2)</f>
        <v>5</v>
      </c>
      <c r="R306" s="0" t="n">
        <f aca="false">ROUNDDOWN(((INT(C306)+MOD(D306,1))-(INT(I306)+MOD(J306,1))),0)</f>
        <v>2</v>
      </c>
      <c r="S306" s="10"/>
    </row>
    <row r="307" customFormat="false" ht="225.35" hidden="false" customHeight="false" outlineLevel="0" collapsed="false">
      <c r="A307" s="8" t="s">
        <v>338</v>
      </c>
      <c r="B307" s="22" t="s">
        <v>558</v>
      </c>
      <c r="C307" s="18" t="n">
        <v>45668.375</v>
      </c>
      <c r="D307" s="19" t="n">
        <v>45668.375</v>
      </c>
      <c r="E307" s="18" t="n">
        <v>45668.75</v>
      </c>
      <c r="F307" s="19" t="n">
        <v>45668.75</v>
      </c>
      <c r="G307" s="20" t="n">
        <v>2000</v>
      </c>
      <c r="H307" s="8" t="n">
        <v>2</v>
      </c>
      <c r="I307" s="10" t="n">
        <v>45664</v>
      </c>
      <c r="J307" s="11" t="n">
        <v>0.412754629629491</v>
      </c>
      <c r="K307" s="1" t="str">
        <f aca="false">IF(L307&gt;24,     IF(H307=2,"Couple Extended Day","Extended Day"), IF(L307&lt;=12,     IF(AND(MOD(D307,1)&gt;=TIME(6,0,0),MOD(D307,1)&lt;TIME(18,0,0)),         IF(H307=2,"Couple Half Day","12H Day"),         IF(H307=2,"Couple Half Night","12H Night")), IF(L307&lt;=24,     IF(AND(MOD(D307,1)&gt;=TIME(6,0,0),MOD(D307,1)&lt;TIME(18,0,0)),         IF(H307=2,"Couple Full Day","24H Day"),         IF(H307=2,"Couple Full Night","24H Night")), "Check Data")))</f>
        <v>Couple Half Day</v>
      </c>
      <c r="L307" s="12" t="n">
        <f aca="false">((INT(E307)+MOD(F307,1))-(INT(C307)+MOD(D307,1)))*24</f>
        <v>9</v>
      </c>
      <c r="M307" s="1" t="n">
        <f aca="false">IFERROR(INDEX(Sheet3!$B$2:$B$500,MATCH(1,(INT(C307)+MOD(D307,1)&lt;INT(Sheet3!$A$2:$A$500)+TIME(18,0,0))*(INT(E307)+MOD(F307,1)&gt;=INT(Sheet3!$A$2:$A$500)),0)),0)</f>
        <v>0</v>
      </c>
      <c r="N307" s="1" t="n">
        <f aca="false">IF(OR( AND(Q307=6,D307&gt;=TIME(17,0,0),OR(K307="12H Night",K307="Couple Half Night",K307="24H Night",K307="Couple Full Night")), AND(Q307=7,D307&gt;=TIME(6,0,0),D307&lt;TIME(12,0,0),OR(K307="12H Day",K307="Couple Half Day",K307="24H Day",K307="Couple Full Day")) ),1,0)</f>
        <v>0</v>
      </c>
      <c r="O307" s="1" t="n">
        <f aca="false">IF(OR( AND(MONTH(C307)=12,DAY(C307)&gt;=26), AND(MONTH(C307)=4,DAY(C307)&gt;=15), MONTH(C307)=5, AND(MONTH(C307)=6,DAY(C307)&lt;=10) ),1,0)</f>
        <v>0</v>
      </c>
      <c r="P307" s="1" t="str">
        <f aca="false">IF(OR(MONTH(C307)=3,MONTH(C307)=4,MONTH(C307)=5,MONTH(C307)=6), "Summer", IF(OR(MONTH(C307)=7,MONTH(C307)=8,MONTH(C307)=9,MONTH(C307)=10), "Monsoon", "Winter"))</f>
        <v>Winter</v>
      </c>
      <c r="Q307" s="1" t="n">
        <f aca="false">WEEKDAY(C307,2)</f>
        <v>6</v>
      </c>
      <c r="R307" s="0" t="n">
        <f aca="false">ROUNDDOWN(((INT(C307)+MOD(D307,1))-(INT(I307)+MOD(J307,1))),0)</f>
        <v>3</v>
      </c>
      <c r="S307" s="10"/>
    </row>
    <row r="308" customFormat="false" ht="238.45" hidden="false" customHeight="false" outlineLevel="0" collapsed="false">
      <c r="A308" s="8" t="s">
        <v>353</v>
      </c>
      <c r="B308" s="22" t="s">
        <v>559</v>
      </c>
      <c r="C308" s="18" t="n">
        <v>45668.7916666667</v>
      </c>
      <c r="D308" s="19" t="n">
        <v>45668.7916666667</v>
      </c>
      <c r="E308" s="18" t="n">
        <v>45669.75</v>
      </c>
      <c r="F308" s="19" t="n">
        <v>45669.75</v>
      </c>
      <c r="G308" s="20" t="n">
        <v>5000</v>
      </c>
      <c r="H308" s="8" t="n">
        <v>2</v>
      </c>
      <c r="I308" s="10" t="n">
        <v>45668</v>
      </c>
      <c r="J308" s="11" t="n">
        <v>0.556018518516794</v>
      </c>
      <c r="K308" s="1" t="str">
        <f aca="false">IF(L308&gt;24,     IF(H308=2,"Couple Extended Day","Extended Day"), IF(L308&lt;=12,     IF(AND(MOD(D308,1)&gt;=TIME(6,0,0),MOD(D308,1)&lt;TIME(18,0,0)),         IF(H308=2,"Couple Half Day","12H Day"),         IF(H308=2,"Couple Half Night","12H Night")), IF(L308&lt;=24,     IF(AND(MOD(D308,1)&gt;=TIME(6,0,0),MOD(D308,1)&lt;TIME(18,0,0)),         IF(H308=2,"Couple Full Day","24H Day"),         IF(H308=2,"Couple Full Night","24H Night")), "Check Data")))</f>
        <v>Couple Full Night</v>
      </c>
      <c r="L308" s="12" t="n">
        <f aca="false">((INT(E308)+MOD(F308,1))-(INT(C308)+MOD(D308,1)))*24</f>
        <v>22.9999999990105</v>
      </c>
      <c r="M308" s="1" t="n">
        <f aca="false">IFERROR(INDEX(Sheet3!$B$2:$B$500,MATCH(1,(INT(C308)+MOD(D308,1)&lt;INT(Sheet3!$A$2:$A$500)+TIME(18,0,0))*(INT(E308)+MOD(F308,1)&gt;=INT(Sheet3!$A$2:$A$500)),0)),0)</f>
        <v>0</v>
      </c>
      <c r="N308" s="1" t="n">
        <f aca="false">IF(OR( AND(Q308=6,D308&gt;=TIME(17,0,0),OR(K308="12H Night",K308="Couple Half Night",K308="24H Night",K308="Couple Full Night")), AND(Q308=7,D308&gt;=TIME(6,0,0),D308&lt;TIME(12,0,0),OR(K308="12H Day",K308="Couple Half Day",K308="24H Day",K308="Couple Full Day")) ),1,0)</f>
        <v>1</v>
      </c>
      <c r="O308" s="1" t="n">
        <f aca="false">IF(OR( AND(MONTH(C308)=12,DAY(C308)&gt;=26), AND(MONTH(C308)=4,DAY(C308)&gt;=15), MONTH(C308)=5, AND(MONTH(C308)=6,DAY(C308)&lt;=10) ),1,0)</f>
        <v>0</v>
      </c>
      <c r="P308" s="1" t="str">
        <f aca="false">IF(OR(MONTH(C308)=3,MONTH(C308)=4,MONTH(C308)=5,MONTH(C308)=6), "Summer", IF(OR(MONTH(C308)=7,MONTH(C308)=8,MONTH(C308)=9,MONTH(C308)=10), "Monsoon", "Winter"))</f>
        <v>Winter</v>
      </c>
      <c r="Q308" s="1" t="n">
        <f aca="false">WEEKDAY(C308,2)</f>
        <v>6</v>
      </c>
      <c r="R308" s="0" t="n">
        <f aca="false">ROUNDDOWN(((INT(C308)+MOD(D308,1))-(INT(I308)+MOD(J308,1))),0)</f>
        <v>0</v>
      </c>
      <c r="S308" s="10"/>
    </row>
    <row r="309" customFormat="false" ht="212.2" hidden="false" customHeight="false" outlineLevel="0" collapsed="false">
      <c r="A309" s="8" t="s">
        <v>416</v>
      </c>
      <c r="B309" s="22" t="s">
        <v>560</v>
      </c>
      <c r="C309" s="18" t="n">
        <v>45669.7916666667</v>
      </c>
      <c r="D309" s="19" t="n">
        <v>45669.7916666667</v>
      </c>
      <c r="E309" s="18" t="n">
        <v>45670.75</v>
      </c>
      <c r="F309" s="19" t="n">
        <v>45670.75</v>
      </c>
      <c r="G309" s="20" t="n">
        <v>4000</v>
      </c>
      <c r="H309" s="8" t="n">
        <v>10</v>
      </c>
      <c r="I309" s="10" t="n">
        <v>45668</v>
      </c>
      <c r="J309" s="11" t="n">
        <v>0.782708333332269</v>
      </c>
      <c r="K309" s="1" t="str">
        <f aca="false">IF(L309&gt;24,     IF(H309=2,"Couple Extended Day","Extended Day"), IF(L309&lt;=12,     IF(AND(MOD(D309,1)&gt;=TIME(6,0,0),MOD(D309,1)&lt;TIME(18,0,0)),         IF(H309=2,"Couple Half Day","12H Day"),         IF(H309=2,"Couple Half Night","12H Night")), IF(L309&lt;=24,     IF(AND(MOD(D309,1)&gt;=TIME(6,0,0),MOD(D309,1)&lt;TIME(18,0,0)),         IF(H309=2,"Couple Full Day","24H Day"),         IF(H309=2,"Couple Full Night","24H Night")), "Check Data")))</f>
        <v>24H Night</v>
      </c>
      <c r="L309" s="12" t="n">
        <f aca="false">((INT(E309)+MOD(F309,1))-(INT(C309)+MOD(D309,1)))*24</f>
        <v>22.9999999990105</v>
      </c>
      <c r="M309" s="1" t="n">
        <f aca="false">IFERROR(INDEX(Sheet3!$B$2:$B$500,MATCH(1,(INT(C309)+MOD(D309,1)&lt;INT(Sheet3!$A$2:$A$500)+TIME(18,0,0))*(INT(E309)+MOD(F309,1)&gt;=INT(Sheet3!$A$2:$A$500)),0)),0)</f>
        <v>0</v>
      </c>
      <c r="N309" s="1" t="n">
        <f aca="false">IF(OR( AND(Q309=6,D309&gt;=TIME(17,0,0),OR(K309="12H Night",K309="Couple Half Night",K309="24H Night",K309="Couple Full Night")), AND(Q309=7,D309&gt;=TIME(6,0,0),D309&lt;TIME(12,0,0),OR(K309="12H Day",K309="Couple Half Day",K309="24H Day",K309="Couple Full Day")) ),1,0)</f>
        <v>0</v>
      </c>
      <c r="O309" s="1" t="n">
        <f aca="false">IF(OR( AND(MONTH(C309)=12,DAY(C309)&gt;=26), AND(MONTH(C309)=4,DAY(C309)&gt;=15), MONTH(C309)=5, AND(MONTH(C309)=6,DAY(C309)&lt;=10) ),1,0)</f>
        <v>0</v>
      </c>
      <c r="P309" s="1" t="str">
        <f aca="false">IF(OR(MONTH(C309)=3,MONTH(C309)=4,MONTH(C309)=5,MONTH(C309)=6), "Summer", IF(OR(MONTH(C309)=7,MONTH(C309)=8,MONTH(C309)=9,MONTH(C309)=10), "Monsoon", "Winter"))</f>
        <v>Winter</v>
      </c>
      <c r="Q309" s="1" t="n">
        <f aca="false">WEEKDAY(C309,2)</f>
        <v>7</v>
      </c>
      <c r="R309" s="0" t="n">
        <f aca="false">ROUNDDOWN(((INT(C309)+MOD(D309,1))-(INT(I309)+MOD(J309,1))),0)</f>
        <v>1</v>
      </c>
      <c r="S309" s="10"/>
    </row>
    <row r="310" customFormat="false" ht="225.35" hidden="false" customHeight="false" outlineLevel="0" collapsed="false">
      <c r="A310" s="8" t="s">
        <v>302</v>
      </c>
      <c r="B310" s="22" t="s">
        <v>561</v>
      </c>
      <c r="C310" s="18" t="n">
        <v>45670.7916666667</v>
      </c>
      <c r="D310" s="19" t="n">
        <v>45670.7916666667</v>
      </c>
      <c r="E310" s="18" t="n">
        <v>45671.75</v>
      </c>
      <c r="F310" s="19" t="n">
        <v>45671.75</v>
      </c>
      <c r="G310" s="20" t="n">
        <v>8000</v>
      </c>
      <c r="H310" s="8" t="n">
        <v>10</v>
      </c>
      <c r="I310" s="10" t="n">
        <v>45665</v>
      </c>
      <c r="J310" s="11" t="n">
        <v>0.931620370371088</v>
      </c>
      <c r="K310" s="1" t="str">
        <f aca="false">IF(L310&gt;24,     IF(H310=2,"Couple Extended Day","Extended Day"), IF(L310&lt;=12,     IF(AND(MOD(D310,1)&gt;=TIME(6,0,0),MOD(D310,1)&lt;TIME(18,0,0)),         IF(H310=2,"Couple Half Day","12H Day"),         IF(H310=2,"Couple Half Night","12H Night")), IF(L310&lt;=24,     IF(AND(MOD(D310,1)&gt;=TIME(6,0,0),MOD(D310,1)&lt;TIME(18,0,0)),         IF(H310=2,"Couple Full Day","24H Day"),         IF(H310=2,"Couple Full Night","24H Night")), "Check Data")))</f>
        <v>24H Night</v>
      </c>
      <c r="L310" s="12" t="n">
        <f aca="false">((INT(E310)+MOD(F310,1))-(INT(C310)+MOD(D310,1)))*24</f>
        <v>22.9999999990105</v>
      </c>
      <c r="M310" s="1" t="str">
        <f aca="false">IFERROR(INDEX(Sheet3!$B$2:$B$500,MATCH(1,(INT(C310)+MOD(D310,1)&lt;INT(Sheet3!$A$2:$A$500)+TIME(18,0,0))*(INT(E310)+MOD(F310,1)&gt;=INT(Sheet3!$A$2:$A$500)),0)),0)</f>
        <v>Makar Sankranti</v>
      </c>
      <c r="N310" s="1" t="n">
        <f aca="false">IF(OR( AND(Q310=6,D310&gt;=TIME(17,0,0),OR(K310="12H Night",K310="Couple Half Night",K310="24H Night",K310="Couple Full Night")), AND(Q310=7,D310&gt;=TIME(6,0,0),D310&lt;TIME(12,0,0),OR(K310="12H Day",K310="Couple Half Day",K310="24H Day",K310="Couple Full Day")) ),1,0)</f>
        <v>0</v>
      </c>
      <c r="O310" s="1" t="n">
        <f aca="false">IF(OR( AND(MONTH(C310)=12,DAY(C310)&gt;=26), AND(MONTH(C310)=4,DAY(C310)&gt;=15), MONTH(C310)=5, AND(MONTH(C310)=6,DAY(C310)&lt;=10) ),1,0)</f>
        <v>0</v>
      </c>
      <c r="P310" s="1" t="str">
        <f aca="false">IF(OR(MONTH(C310)=3,MONTH(C310)=4,MONTH(C310)=5,MONTH(C310)=6), "Summer", IF(OR(MONTH(C310)=7,MONTH(C310)=8,MONTH(C310)=9,MONTH(C310)=10), "Monsoon", "Winter"))</f>
        <v>Winter</v>
      </c>
      <c r="Q310" s="1" t="n">
        <f aca="false">WEEKDAY(C310,2)</f>
        <v>1</v>
      </c>
      <c r="R310" s="0" t="n">
        <f aca="false">ROUNDDOWN(((INT(C310)+MOD(D310,1))-(INT(I310)+MOD(J310,1))),0)</f>
        <v>4</v>
      </c>
      <c r="S310" s="10"/>
    </row>
    <row r="311" customFormat="false" ht="212.2" hidden="false" customHeight="false" outlineLevel="0" collapsed="false">
      <c r="A311" s="8" t="s">
        <v>562</v>
      </c>
      <c r="B311" s="22" t="s">
        <v>563</v>
      </c>
      <c r="C311" s="18" t="n">
        <v>45672.8333333333</v>
      </c>
      <c r="D311" s="19" t="n">
        <v>0</v>
      </c>
      <c r="E311" s="18" t="n">
        <v>45673.75</v>
      </c>
      <c r="F311" s="19" t="n">
        <v>45673.75</v>
      </c>
      <c r="G311" s="20" t="n">
        <v>4000</v>
      </c>
      <c r="H311" s="8" t="n">
        <v>8</v>
      </c>
      <c r="I311" s="10" t="n">
        <v>45663</v>
      </c>
      <c r="J311" s="11" t="n">
        <v>0.856504629628032</v>
      </c>
      <c r="K311" s="1" t="str">
        <f aca="false">IF(L311&gt;24,     IF(H311=2,"Couple Extended Day","Extended Day"), IF(L311&lt;=12,     IF(AND(MOD(D311,1)&gt;=TIME(6,0,0),MOD(D311,1)&lt;TIME(18,0,0)),         IF(H311=2,"Couple Half Day","12H Day"),         IF(H311=2,"Couple Half Night","12H Night")), IF(L311&lt;=24,     IF(AND(MOD(D311,1)&gt;=TIME(6,0,0),MOD(D311,1)&lt;TIME(18,0,0)),         IF(H311=2,"Couple Full Day","24H Day"),         IF(H311=2,"Couple Full Night","24H Night")), "Check Data")))</f>
        <v>Extended Day</v>
      </c>
      <c r="L311" s="12" t="n">
        <f aca="false">((INT(E311)+MOD(F311,1))-(INT(C311)+MOD(D311,1)))*24</f>
        <v>42</v>
      </c>
      <c r="M311" s="1" t="n">
        <f aca="false">IFERROR(INDEX(Sheet3!$B$2:$B$500,MATCH(1,(INT(C311)+MOD(D311,1)&lt;INT(Sheet3!$A$2:$A$500)+TIME(18,0,0))*(INT(E311)+MOD(F311,1)&gt;=INT(Sheet3!$A$2:$A$500)),0)),0)</f>
        <v>0</v>
      </c>
      <c r="N311" s="1" t="n">
        <f aca="false">IF(OR( AND(Q311=6,D311&gt;=TIME(17,0,0),OR(K311="12H Night",K311="Couple Half Night",K311="24H Night",K311="Couple Full Night")), AND(Q311=7,D311&gt;=TIME(6,0,0),D311&lt;TIME(12,0,0),OR(K311="12H Day",K311="Couple Half Day",K311="24H Day",K311="Couple Full Day")) ),1,0)</f>
        <v>0</v>
      </c>
      <c r="O311" s="1" t="n">
        <f aca="false">IF(OR( AND(MONTH(C311)=12,DAY(C311)&gt;=26), AND(MONTH(C311)=4,DAY(C311)&gt;=15), MONTH(C311)=5, AND(MONTH(C311)=6,DAY(C311)&lt;=10) ),1,0)</f>
        <v>0</v>
      </c>
      <c r="P311" s="1" t="str">
        <f aca="false">IF(OR(MONTH(C311)=3,MONTH(C311)=4,MONTH(C311)=5,MONTH(C311)=6), "Summer", IF(OR(MONTH(C311)=7,MONTH(C311)=8,MONTH(C311)=9,MONTH(C311)=10), "Monsoon", "Winter"))</f>
        <v>Winter</v>
      </c>
      <c r="Q311" s="1" t="n">
        <f aca="false">WEEKDAY(C311,2)</f>
        <v>3</v>
      </c>
      <c r="R311" s="0" t="n">
        <f aca="false">ROUNDDOWN(((INT(C311)+MOD(D311,1))-(INT(I311)+MOD(J311,1))),0)</f>
        <v>8</v>
      </c>
      <c r="S311" s="10"/>
    </row>
    <row r="312" customFormat="false" ht="15.75" hidden="false" customHeight="false" outlineLevel="0" collapsed="false">
      <c r="A312" s="8" t="s">
        <v>243</v>
      </c>
      <c r="B312" s="8" t="s">
        <v>564</v>
      </c>
      <c r="C312" s="18" t="n">
        <v>45674.375</v>
      </c>
      <c r="D312" s="19" t="n">
        <v>45674.375</v>
      </c>
      <c r="E312" s="18" t="n">
        <v>45674.75</v>
      </c>
      <c r="F312" s="19" t="n">
        <v>45674.75</v>
      </c>
      <c r="G312" s="20" t="n">
        <v>1500</v>
      </c>
      <c r="I312" s="10" t="n">
        <v>45674</v>
      </c>
      <c r="J312" s="11" t="n">
        <v>0.438877314809363</v>
      </c>
      <c r="K312" s="1" t="str">
        <f aca="false">IF(L312&gt;24,     IF(H312=2,"Couple Extended Day","Extended Day"), IF(L312&lt;=12,     IF(AND(MOD(D312,1)&gt;=TIME(6,0,0),MOD(D312,1)&lt;TIME(18,0,0)),         IF(H312=2,"Couple Half Day","12H Day"),         IF(H312=2,"Couple Half Night","12H Night")), IF(L312&lt;=24,     IF(AND(MOD(D312,1)&gt;=TIME(6,0,0),MOD(D312,1)&lt;TIME(18,0,0)),         IF(H312=2,"Couple Full Day","24H Day"),         IF(H312=2,"Couple Full Night","24H Night")), "Check Data")))</f>
        <v>12H Day</v>
      </c>
      <c r="L312" s="12" t="n">
        <f aca="false">((INT(E312)+MOD(F312,1))-(INT(C312)+MOD(D312,1)))*24</f>
        <v>9</v>
      </c>
      <c r="M312" s="1" t="n">
        <f aca="false">IFERROR(INDEX(Sheet3!$B$2:$B$500,MATCH(1,(INT(C312)+MOD(D312,1)&lt;INT(Sheet3!$A$2:$A$500)+TIME(18,0,0))*(INT(E312)+MOD(F312,1)&gt;=INT(Sheet3!$A$2:$A$500)),0)),0)</f>
        <v>0</v>
      </c>
      <c r="N312" s="1" t="n">
        <f aca="false">IF(OR( AND(Q312=6,D312&gt;=TIME(17,0,0),OR(K312="12H Night",K312="Couple Half Night",K312="24H Night",K312="Couple Full Night")), AND(Q312=7,D312&gt;=TIME(6,0,0),D312&lt;TIME(12,0,0),OR(K312="12H Day",K312="Couple Half Day",K312="24H Day",K312="Couple Full Day")) ),1,0)</f>
        <v>0</v>
      </c>
      <c r="O312" s="1" t="n">
        <f aca="false">IF(OR( AND(MONTH(C312)=12,DAY(C312)&gt;=26), AND(MONTH(C312)=4,DAY(C312)&gt;=15), MONTH(C312)=5, AND(MONTH(C312)=6,DAY(C312)&lt;=10) ),1,0)</f>
        <v>0</v>
      </c>
      <c r="P312" s="1" t="str">
        <f aca="false">IF(OR(MONTH(C312)=3,MONTH(C312)=4,MONTH(C312)=5,MONTH(C312)=6), "Summer", IF(OR(MONTH(C312)=7,MONTH(C312)=8,MONTH(C312)=9,MONTH(C312)=10), "Monsoon", "Winter"))</f>
        <v>Winter</v>
      </c>
      <c r="Q312" s="1" t="n">
        <f aca="false">WEEKDAY(C312,2)</f>
        <v>5</v>
      </c>
      <c r="R312" s="0" t="n">
        <f aca="false">ROUNDDOWN(((INT(C312)+MOD(D312,1))-(INT(I312)+MOD(J312,1))),0)</f>
        <v>-0</v>
      </c>
      <c r="S312" s="10"/>
    </row>
    <row r="313" customFormat="false" ht="225.35" hidden="false" customHeight="false" outlineLevel="0" collapsed="false">
      <c r="A313" s="8" t="s">
        <v>565</v>
      </c>
      <c r="B313" s="22" t="s">
        <v>566</v>
      </c>
      <c r="C313" s="18" t="n">
        <v>45675.7916666667</v>
      </c>
      <c r="D313" s="19" t="n">
        <v>45675.7916666667</v>
      </c>
      <c r="E313" s="18" t="n">
        <v>45676.75</v>
      </c>
      <c r="F313" s="19" t="n">
        <v>45676.75</v>
      </c>
      <c r="G313" s="20" t="n">
        <v>5000</v>
      </c>
      <c r="H313" s="8" t="n">
        <v>10</v>
      </c>
      <c r="I313" s="10" t="n">
        <v>45671</v>
      </c>
      <c r="J313" s="11" t="n">
        <v>0.489375000004653</v>
      </c>
      <c r="K313" s="1" t="str">
        <f aca="false">IF(L313&gt;24,     IF(H313=2,"Couple Extended Day","Extended Day"), IF(L313&lt;=12,     IF(AND(MOD(D313,1)&gt;=TIME(6,0,0),MOD(D313,1)&lt;TIME(18,0,0)),         IF(H313=2,"Couple Half Day","12H Day"),         IF(H313=2,"Couple Half Night","12H Night")), IF(L313&lt;=24,     IF(AND(MOD(D313,1)&gt;=TIME(6,0,0),MOD(D313,1)&lt;TIME(18,0,0)),         IF(H313=2,"Couple Full Day","24H Day"),         IF(H313=2,"Couple Full Night","24H Night")), "Check Data")))</f>
        <v>24H Night</v>
      </c>
      <c r="L313" s="12" t="n">
        <f aca="false">((INT(E313)+MOD(F313,1))-(INT(C313)+MOD(D313,1)))*24</f>
        <v>22.9999999990105</v>
      </c>
      <c r="M313" s="1" t="n">
        <f aca="false">IFERROR(INDEX(Sheet3!$B$2:$B$500,MATCH(1,(INT(C313)+MOD(D313,1)&lt;INT(Sheet3!$A$2:$A$500)+TIME(18,0,0))*(INT(E313)+MOD(F313,1)&gt;=INT(Sheet3!$A$2:$A$500)),0)),0)</f>
        <v>0</v>
      </c>
      <c r="N313" s="1" t="n">
        <f aca="false">IF(OR( AND(Q313=6,D313&gt;=TIME(17,0,0),OR(K313="12H Night",K313="Couple Half Night",K313="24H Night",K313="Couple Full Night")), AND(Q313=7,D313&gt;=TIME(6,0,0),D313&lt;TIME(12,0,0),OR(K313="12H Day",K313="Couple Half Day",K313="24H Day",K313="Couple Full Day")) ),1,0)</f>
        <v>1</v>
      </c>
      <c r="O313" s="1" t="n">
        <f aca="false">IF(OR( AND(MONTH(C313)=12,DAY(C313)&gt;=26), AND(MONTH(C313)=4,DAY(C313)&gt;=15), MONTH(C313)=5, AND(MONTH(C313)=6,DAY(C313)&lt;=10) ),1,0)</f>
        <v>0</v>
      </c>
      <c r="P313" s="1" t="str">
        <f aca="false">IF(OR(MONTH(C313)=3,MONTH(C313)=4,MONTH(C313)=5,MONTH(C313)=6), "Summer", IF(OR(MONTH(C313)=7,MONTH(C313)=8,MONTH(C313)=9,MONTH(C313)=10), "Monsoon", "Winter"))</f>
        <v>Winter</v>
      </c>
      <c r="Q313" s="1" t="n">
        <f aca="false">WEEKDAY(C313,2)</f>
        <v>6</v>
      </c>
      <c r="R313" s="0" t="n">
        <f aca="false">ROUNDDOWN(((INT(C313)+MOD(D313,1))-(INT(I313)+MOD(J313,1))),0)</f>
        <v>4</v>
      </c>
      <c r="S313" s="10"/>
    </row>
    <row r="314" customFormat="false" ht="146.45" hidden="false" customHeight="false" outlineLevel="0" collapsed="false">
      <c r="A314" s="8" t="s">
        <v>567</v>
      </c>
      <c r="B314" s="22" t="s">
        <v>568</v>
      </c>
      <c r="C314" s="18" t="n">
        <v>45681.625</v>
      </c>
      <c r="D314" s="19" t="n">
        <v>45681.625</v>
      </c>
      <c r="E314" s="18" t="n">
        <v>45681.7916666667</v>
      </c>
      <c r="F314" s="19" t="n">
        <v>45681.7916666667</v>
      </c>
      <c r="G314" s="20" t="n">
        <v>1500</v>
      </c>
      <c r="H314" s="8" t="n">
        <v>4</v>
      </c>
      <c r="I314" s="10" t="n">
        <v>45681</v>
      </c>
      <c r="J314" s="11" t="n">
        <v>0.657708333332269</v>
      </c>
      <c r="K314" s="1" t="str">
        <f aca="false">IF(L314&gt;24,     IF(H314=2,"Couple Extended Day","Extended Day"), IF(L314&lt;=12,     IF(AND(MOD(D314,1)&gt;=TIME(6,0,0),MOD(D314,1)&lt;TIME(18,0,0)),         IF(H314=2,"Couple Half Day","12H Day"),         IF(H314=2,"Couple Half Night","12H Night")), IF(L314&lt;=24,     IF(AND(MOD(D314,1)&gt;=TIME(6,0,0),MOD(D314,1)&lt;TIME(18,0,0)),         IF(H314=2,"Couple Full Day","24H Day"),         IF(H314=2,"Couple Full Night","24H Night")), "Check Data")))</f>
        <v>12H Day</v>
      </c>
      <c r="L314" s="12" t="n">
        <f aca="false">((INT(E314)+MOD(F314,1))-(INT(C314)+MOD(D314,1)))*24</f>
        <v>4.00000000098953</v>
      </c>
      <c r="M314" s="1" t="n">
        <f aca="false">IFERROR(INDEX(Sheet3!$B$2:$B$500,MATCH(1,(INT(C314)+MOD(D314,1)&lt;INT(Sheet3!$A$2:$A$500)+TIME(18,0,0))*(INT(E314)+MOD(F314,1)&gt;=INT(Sheet3!$A$2:$A$500)),0)),0)</f>
        <v>0</v>
      </c>
      <c r="N314" s="1" t="n">
        <f aca="false">IF(OR( AND(Q314=6,D314&gt;=TIME(17,0,0),OR(K314="12H Night",K314="Couple Half Night",K314="24H Night",K314="Couple Full Night")), AND(Q314=7,D314&gt;=TIME(6,0,0),D314&lt;TIME(12,0,0),OR(K314="12H Day",K314="Couple Half Day",K314="24H Day",K314="Couple Full Day")) ),1,0)</f>
        <v>0</v>
      </c>
      <c r="O314" s="1" t="n">
        <f aca="false">IF(OR( AND(MONTH(C314)=12,DAY(C314)&gt;=26), AND(MONTH(C314)=4,DAY(C314)&gt;=15), MONTH(C314)=5, AND(MONTH(C314)=6,DAY(C314)&lt;=10) ),1,0)</f>
        <v>0</v>
      </c>
      <c r="P314" s="1" t="str">
        <f aca="false">IF(OR(MONTH(C314)=3,MONTH(C314)=4,MONTH(C314)=5,MONTH(C314)=6), "Summer", IF(OR(MONTH(C314)=7,MONTH(C314)=8,MONTH(C314)=9,MONTH(C314)=10), "Monsoon", "Winter"))</f>
        <v>Winter</v>
      </c>
      <c r="Q314" s="1" t="n">
        <f aca="false">WEEKDAY(C314,2)</f>
        <v>5</v>
      </c>
      <c r="R314" s="0" t="n">
        <f aca="false">ROUNDDOWN(((INT(C314)+MOD(D314,1))-(INT(I314)+MOD(J314,1))),0)</f>
        <v>-0</v>
      </c>
      <c r="S314" s="10"/>
    </row>
    <row r="315" customFormat="false" ht="204.9" hidden="false" customHeight="false" outlineLevel="0" collapsed="false">
      <c r="A315" s="8" t="s">
        <v>258</v>
      </c>
      <c r="B315" s="22" t="s">
        <v>569</v>
      </c>
      <c r="C315" s="18" t="n">
        <v>45681.9166666667</v>
      </c>
      <c r="D315" s="19" t="n">
        <v>45681.9166666667</v>
      </c>
      <c r="E315" s="18" t="n">
        <v>45682.4166666667</v>
      </c>
      <c r="F315" s="19" t="n">
        <v>45682.4166666667</v>
      </c>
      <c r="G315" s="20" t="n">
        <v>2500</v>
      </c>
      <c r="H315" s="8" t="n">
        <v>7</v>
      </c>
      <c r="I315" s="10" t="n">
        <v>45680</v>
      </c>
      <c r="J315" s="11" t="n">
        <v>0.891400462962338</v>
      </c>
      <c r="K315" s="1" t="str">
        <f aca="false">IF(L315&gt;24,     IF(H315=2,"Couple Extended Day","Extended Day"), IF(L315&lt;=12,     IF(AND(MOD(D315,1)&gt;=TIME(6,0,0),MOD(D315,1)&lt;TIME(18,0,0)),         IF(H315=2,"Couple Half Day","12H Day"),         IF(H315=2,"Couple Half Night","12H Night")), IF(L315&lt;=24,     IF(AND(MOD(D315,1)&gt;=TIME(6,0,0),MOD(D315,1)&lt;TIME(18,0,0)),         IF(H315=2,"Couple Full Day","24H Day"),         IF(H315=2,"Couple Full Night","24H Night")), "Check Data")))</f>
        <v>12H Night</v>
      </c>
      <c r="L315" s="12" t="n">
        <f aca="false">((INT(E315)+MOD(F315,1))-(INT(C315)+MOD(D315,1)))*24</f>
        <v>12</v>
      </c>
      <c r="M315" s="1" t="n">
        <f aca="false">IFERROR(INDEX(Sheet3!$B$2:$B$500,MATCH(1,(INT(C315)+MOD(D315,1)&lt;INT(Sheet3!$A$2:$A$500)+TIME(18,0,0))*(INT(E315)+MOD(F315,1)&gt;=INT(Sheet3!$A$2:$A$500)),0)),0)</f>
        <v>0</v>
      </c>
      <c r="N315" s="1" t="n">
        <f aca="false">IF(OR( AND(Q315=6,D315&gt;=TIME(17,0,0),OR(K315="12H Night",K315="Couple Half Night",K315="24H Night",K315="Couple Full Night")), AND(Q315=7,D315&gt;=TIME(6,0,0),D315&lt;TIME(12,0,0),OR(K315="12H Day",K315="Couple Half Day",K315="24H Day",K315="Couple Full Day")) ),1,0)</f>
        <v>0</v>
      </c>
      <c r="O315" s="1" t="n">
        <f aca="false">IF(OR( AND(MONTH(C315)=12,DAY(C315)&gt;=26), AND(MONTH(C315)=4,DAY(C315)&gt;=15), MONTH(C315)=5, AND(MONTH(C315)=6,DAY(C315)&lt;=10) ),1,0)</f>
        <v>0</v>
      </c>
      <c r="P315" s="1" t="str">
        <f aca="false">IF(OR(MONTH(C315)=3,MONTH(C315)=4,MONTH(C315)=5,MONTH(C315)=6), "Summer", IF(OR(MONTH(C315)=7,MONTH(C315)=8,MONTH(C315)=9,MONTH(C315)=10), "Monsoon", "Winter"))</f>
        <v>Winter</v>
      </c>
      <c r="Q315" s="1" t="n">
        <f aca="false">WEEKDAY(C315,2)</f>
        <v>5</v>
      </c>
      <c r="R315" s="0" t="n">
        <f aca="false">ROUNDDOWN(((INT(C315)+MOD(D315,1))-(INT(I315)+MOD(J315,1))),0)</f>
        <v>1</v>
      </c>
      <c r="S315" s="10"/>
    </row>
    <row r="316" customFormat="false" ht="204.9" hidden="false" customHeight="false" outlineLevel="0" collapsed="false">
      <c r="A316" s="8" t="s">
        <v>481</v>
      </c>
      <c r="B316" s="22" t="s">
        <v>570</v>
      </c>
      <c r="C316" s="18" t="n">
        <v>45682.4375</v>
      </c>
      <c r="D316" s="19" t="n">
        <v>45682.4375</v>
      </c>
      <c r="E316" s="18" t="n">
        <v>45682.75</v>
      </c>
      <c r="F316" s="19" t="n">
        <v>45682.75</v>
      </c>
      <c r="G316" s="20" t="n">
        <v>2000</v>
      </c>
      <c r="H316" s="8" t="n">
        <v>2</v>
      </c>
      <c r="I316" s="10" t="n">
        <v>45682</v>
      </c>
      <c r="J316" s="11" t="n">
        <v>0.409699074072708</v>
      </c>
      <c r="K316" s="1" t="str">
        <f aca="false">IF(L316&gt;24,     IF(H316=2,"Couple Extended Day","Extended Day"), IF(L316&lt;=12,     IF(AND(MOD(D316,1)&gt;=TIME(6,0,0),MOD(D316,1)&lt;TIME(18,0,0)),         IF(H316=2,"Couple Half Day","12H Day"),         IF(H316=2,"Couple Half Night","12H Night")), IF(L316&lt;=24,     IF(AND(MOD(D316,1)&gt;=TIME(6,0,0),MOD(D316,1)&lt;TIME(18,0,0)),         IF(H316=2,"Couple Full Day","24H Day"),         IF(H316=2,"Couple Full Night","24H Night")), "Check Data")))</f>
        <v>Couple Half Day</v>
      </c>
      <c r="L316" s="12" t="n">
        <f aca="false">((INT(E316)+MOD(F316,1))-(INT(C316)+MOD(D316,1)))*24</f>
        <v>7.5</v>
      </c>
      <c r="M316" s="1" t="n">
        <f aca="false">IFERROR(INDEX(Sheet3!$B$2:$B$500,MATCH(1,(INT(C316)+MOD(D316,1)&lt;INT(Sheet3!$A$2:$A$500)+TIME(18,0,0))*(INT(E316)+MOD(F316,1)&gt;=INT(Sheet3!$A$2:$A$500)),0)),0)</f>
        <v>0</v>
      </c>
      <c r="N316" s="1" t="n">
        <f aca="false">IF(OR( AND(Q316=6,D316&gt;=TIME(17,0,0),OR(K316="12H Night",K316="Couple Half Night",K316="24H Night",K316="Couple Full Night")), AND(Q316=7,D316&gt;=TIME(6,0,0),D316&lt;TIME(12,0,0),OR(K316="12H Day",K316="Couple Half Day",K316="24H Day",K316="Couple Full Day")) ),1,0)</f>
        <v>0</v>
      </c>
      <c r="O316" s="1" t="n">
        <f aca="false">IF(OR( AND(MONTH(C316)=12,DAY(C316)&gt;=26), AND(MONTH(C316)=4,DAY(C316)&gt;=15), MONTH(C316)=5, AND(MONTH(C316)=6,DAY(C316)&lt;=10) ),1,0)</f>
        <v>0</v>
      </c>
      <c r="P316" s="1" t="str">
        <f aca="false">IF(OR(MONTH(C316)=3,MONTH(C316)=4,MONTH(C316)=5,MONTH(C316)=6), "Summer", IF(OR(MONTH(C316)=7,MONTH(C316)=8,MONTH(C316)=9,MONTH(C316)=10), "Monsoon", "Winter"))</f>
        <v>Winter</v>
      </c>
      <c r="Q316" s="1" t="n">
        <f aca="false">WEEKDAY(C316,2)</f>
        <v>6</v>
      </c>
      <c r="R316" s="0" t="n">
        <f aca="false">ROUNDDOWN(((INT(C316)+MOD(D316,1))-(INT(I316)+MOD(J316,1))),0)</f>
        <v>0</v>
      </c>
      <c r="S316" s="10"/>
    </row>
    <row r="317" customFormat="false" ht="204.9" hidden="false" customHeight="false" outlineLevel="0" collapsed="false">
      <c r="A317" s="8" t="s">
        <v>571</v>
      </c>
      <c r="B317" s="22" t="s">
        <v>572</v>
      </c>
      <c r="C317" s="18" t="n">
        <v>45682.7916666667</v>
      </c>
      <c r="D317" s="19" t="n">
        <v>45682.7916666667</v>
      </c>
      <c r="E317" s="18" t="n">
        <v>45683.75</v>
      </c>
      <c r="F317" s="19" t="n">
        <v>45683.75</v>
      </c>
      <c r="G317" s="20" t="n">
        <v>4000</v>
      </c>
      <c r="H317" s="8" t="n">
        <v>6</v>
      </c>
      <c r="I317" s="10" t="n">
        <v>45681</v>
      </c>
      <c r="J317" s="11" t="n">
        <v>0.744432870371389</v>
      </c>
      <c r="K317" s="1" t="str">
        <f aca="false">IF(L317&gt;24,     IF(H317=2,"Couple Extended Day","Extended Day"), IF(L317&lt;=12,     IF(AND(MOD(D317,1)&gt;=TIME(6,0,0),MOD(D317,1)&lt;TIME(18,0,0)),         IF(H317=2,"Couple Half Day","12H Day"),         IF(H317=2,"Couple Half Night","12H Night")), IF(L317&lt;=24,     IF(AND(MOD(D317,1)&gt;=TIME(6,0,0),MOD(D317,1)&lt;TIME(18,0,0)),         IF(H317=2,"Couple Full Day","24H Day"),         IF(H317=2,"Couple Full Night","24H Night")), "Check Data")))</f>
        <v>24H Night</v>
      </c>
      <c r="L317" s="12" t="n">
        <f aca="false">((INT(E317)+MOD(F317,1))-(INT(C317)+MOD(D317,1)))*24</f>
        <v>22.9999999990105</v>
      </c>
      <c r="M317" s="1" t="str">
        <f aca="false">IFERROR(INDEX(Sheet3!$B$2:$B$500,MATCH(1,(INT(C317)+MOD(D317,1)&lt;INT(Sheet3!$A$2:$A$500)+TIME(18,0,0))*(INT(E317)+MOD(F317,1)&gt;=INT(Sheet3!$A$2:$A$500)),0)),0)</f>
        <v>Republic Day</v>
      </c>
      <c r="N317" s="1" t="n">
        <f aca="false">IF(OR( AND(Q317=6,D317&gt;=TIME(17,0,0),OR(K317="12H Night",K317="Couple Half Night",K317="24H Night",K317="Couple Full Night")), AND(Q317=7,D317&gt;=TIME(6,0,0),D317&lt;TIME(12,0,0),OR(K317="12H Day",K317="Couple Half Day",K317="24H Day",K317="Couple Full Day")) ),1,0)</f>
        <v>1</v>
      </c>
      <c r="O317" s="1" t="n">
        <f aca="false">IF(OR( AND(MONTH(C317)=12,DAY(C317)&gt;=26), AND(MONTH(C317)=4,DAY(C317)&gt;=15), MONTH(C317)=5, AND(MONTH(C317)=6,DAY(C317)&lt;=10) ),1,0)</f>
        <v>0</v>
      </c>
      <c r="P317" s="1" t="str">
        <f aca="false">IF(OR(MONTH(C317)=3,MONTH(C317)=4,MONTH(C317)=5,MONTH(C317)=6), "Summer", IF(OR(MONTH(C317)=7,MONTH(C317)=8,MONTH(C317)=9,MONTH(C317)=10), "Monsoon", "Winter"))</f>
        <v>Winter</v>
      </c>
      <c r="Q317" s="1" t="n">
        <f aca="false">WEEKDAY(C317,2)</f>
        <v>6</v>
      </c>
      <c r="R317" s="0" t="n">
        <f aca="false">ROUNDDOWN(((INT(C317)+MOD(D317,1))-(INT(I317)+MOD(J317,1))),0)</f>
        <v>1</v>
      </c>
      <c r="S317" s="10"/>
    </row>
    <row r="318" customFormat="false" ht="133.3" hidden="false" customHeight="false" outlineLevel="0" collapsed="false">
      <c r="A318" s="8" t="s">
        <v>573</v>
      </c>
      <c r="B318" s="22" t="s">
        <v>574</v>
      </c>
      <c r="C318" s="18" t="n">
        <v>45684.875</v>
      </c>
      <c r="D318" s="19" t="n">
        <v>45684.875</v>
      </c>
      <c r="E318" s="18" t="n">
        <v>45685.3541666667</v>
      </c>
      <c r="F318" s="19" t="n">
        <v>45685.3541666667</v>
      </c>
      <c r="G318" s="20" t="n">
        <v>2000</v>
      </c>
      <c r="H318" s="8" t="n">
        <v>12</v>
      </c>
      <c r="I318" s="10" t="n">
        <v>45684</v>
      </c>
      <c r="J318" s="11" t="n">
        <v>0.908518518517662</v>
      </c>
      <c r="K318" s="1" t="str">
        <f aca="false">IF(L318&gt;24,     IF(H318=2,"Couple Extended Day","Extended Day"), IF(L318&lt;=12,     IF(AND(MOD(D318,1)&gt;=TIME(6,0,0),MOD(D318,1)&lt;TIME(18,0,0)),         IF(H318=2,"Couple Half Day","12H Day"),         IF(H318=2,"Couple Half Night","12H Night")), IF(L318&lt;=24,     IF(AND(MOD(D318,1)&gt;=TIME(6,0,0),MOD(D318,1)&lt;TIME(18,0,0)),         IF(H318=2,"Couple Full Day","24H Day"),         IF(H318=2,"Couple Full Night","24H Night")), "Check Data")))</f>
        <v>12H Night</v>
      </c>
      <c r="L318" s="12" t="n">
        <f aca="false">((INT(E318)+MOD(F318,1))-(INT(C318)+MOD(D318,1)))*24</f>
        <v>11.5000000009895</v>
      </c>
      <c r="M318" s="1" t="n">
        <f aca="false">IFERROR(INDEX(Sheet3!$B$2:$B$500,MATCH(1,(INT(C318)+MOD(D318,1)&lt;INT(Sheet3!$A$2:$A$500)+TIME(18,0,0))*(INT(E318)+MOD(F318,1)&gt;=INT(Sheet3!$A$2:$A$500)),0)),0)</f>
        <v>0</v>
      </c>
      <c r="N318" s="1" t="n">
        <f aca="false">IF(OR( AND(Q318=6,D318&gt;=TIME(17,0,0),OR(K318="12H Night",K318="Couple Half Night",K318="24H Night",K318="Couple Full Night")), AND(Q318=7,D318&gt;=TIME(6,0,0),D318&lt;TIME(12,0,0),OR(K318="12H Day",K318="Couple Half Day",K318="24H Day",K318="Couple Full Day")) ),1,0)</f>
        <v>0</v>
      </c>
      <c r="O318" s="1" t="n">
        <f aca="false">IF(OR( AND(MONTH(C318)=12,DAY(C318)&gt;=26), AND(MONTH(C318)=4,DAY(C318)&gt;=15), MONTH(C318)=5, AND(MONTH(C318)=6,DAY(C318)&lt;=10) ),1,0)</f>
        <v>0</v>
      </c>
      <c r="P318" s="1" t="str">
        <f aca="false">IF(OR(MONTH(C318)=3,MONTH(C318)=4,MONTH(C318)=5,MONTH(C318)=6), "Summer", IF(OR(MONTH(C318)=7,MONTH(C318)=8,MONTH(C318)=9,MONTH(C318)=10), "Monsoon", "Winter"))</f>
        <v>Winter</v>
      </c>
      <c r="Q318" s="1" t="n">
        <f aca="false">WEEKDAY(C318,2)</f>
        <v>1</v>
      </c>
      <c r="R318" s="0" t="n">
        <f aca="false">ROUNDDOWN(((INT(C318)+MOD(D318,1))-(INT(I318)+MOD(J318,1))),0)</f>
        <v>-0</v>
      </c>
      <c r="S318" s="10"/>
    </row>
    <row r="319" customFormat="false" ht="238.45" hidden="false" customHeight="false" outlineLevel="0" collapsed="false">
      <c r="A319" s="8" t="s">
        <v>575</v>
      </c>
      <c r="B319" s="22" t="s">
        <v>576</v>
      </c>
      <c r="C319" s="18" t="n">
        <v>45685.375</v>
      </c>
      <c r="D319" s="19" t="n">
        <v>45685.375</v>
      </c>
      <c r="E319" s="18" t="n">
        <v>45685.75</v>
      </c>
      <c r="F319" s="19" t="n">
        <v>45685.75</v>
      </c>
      <c r="G319" s="20" t="n">
        <v>2000</v>
      </c>
      <c r="H319" s="8" t="n">
        <v>2</v>
      </c>
      <c r="I319" s="10" t="n">
        <v>45675</v>
      </c>
      <c r="J319" s="11" t="n">
        <v>0.918912037035625</v>
      </c>
      <c r="K319" s="1" t="str">
        <f aca="false">IF(L319&gt;24,     IF(H319=2,"Couple Extended Day","Extended Day"), IF(L319&lt;=12,     IF(AND(MOD(D319,1)&gt;=TIME(6,0,0),MOD(D319,1)&lt;TIME(18,0,0)),         IF(H319=2,"Couple Half Day","12H Day"),         IF(H319=2,"Couple Half Night","12H Night")), IF(L319&lt;=24,     IF(AND(MOD(D319,1)&gt;=TIME(6,0,0),MOD(D319,1)&lt;TIME(18,0,0)),         IF(H319=2,"Couple Full Day","24H Day"),         IF(H319=2,"Couple Full Night","24H Night")), "Check Data")))</f>
        <v>Couple Half Day</v>
      </c>
      <c r="L319" s="12" t="n">
        <f aca="false">((INT(E319)+MOD(F319,1))-(INT(C319)+MOD(D319,1)))*24</f>
        <v>9</v>
      </c>
      <c r="M319" s="1" t="n">
        <f aca="false">IFERROR(INDEX(Sheet3!$B$2:$B$500,MATCH(1,(INT(C319)+MOD(D319,1)&lt;INT(Sheet3!$A$2:$A$500)+TIME(18,0,0))*(INT(E319)+MOD(F319,1)&gt;=INT(Sheet3!$A$2:$A$500)),0)),0)</f>
        <v>0</v>
      </c>
      <c r="N319" s="1" t="n">
        <f aca="false">IF(OR( AND(Q319=6,D319&gt;=TIME(17,0,0),OR(K319="12H Night",K319="Couple Half Night",K319="24H Night",K319="Couple Full Night")), AND(Q319=7,D319&gt;=TIME(6,0,0),D319&lt;TIME(12,0,0),OR(K319="12H Day",K319="Couple Half Day",K319="24H Day",K319="Couple Full Day")) ),1,0)</f>
        <v>0</v>
      </c>
      <c r="O319" s="1" t="n">
        <f aca="false">IF(OR( AND(MONTH(C319)=12,DAY(C319)&gt;=26), AND(MONTH(C319)=4,DAY(C319)&gt;=15), MONTH(C319)=5, AND(MONTH(C319)=6,DAY(C319)&lt;=10) ),1,0)</f>
        <v>0</v>
      </c>
      <c r="P319" s="1" t="str">
        <f aca="false">IF(OR(MONTH(C319)=3,MONTH(C319)=4,MONTH(C319)=5,MONTH(C319)=6), "Summer", IF(OR(MONTH(C319)=7,MONTH(C319)=8,MONTH(C319)=9,MONTH(C319)=10), "Monsoon", "Winter"))</f>
        <v>Winter</v>
      </c>
      <c r="Q319" s="1" t="n">
        <f aca="false">WEEKDAY(C319,2)</f>
        <v>2</v>
      </c>
      <c r="R319" s="0" t="n">
        <f aca="false">ROUNDDOWN(((INT(C319)+MOD(D319,1))-(INT(I319)+MOD(J319,1))),0)</f>
        <v>9</v>
      </c>
      <c r="S319" s="10"/>
    </row>
    <row r="320" customFormat="false" ht="212.2" hidden="false" customHeight="false" outlineLevel="0" collapsed="false">
      <c r="A320" s="8" t="s">
        <v>511</v>
      </c>
      <c r="B320" s="22" t="s">
        <v>577</v>
      </c>
      <c r="C320" s="18" t="n">
        <v>45685.7916666667</v>
      </c>
      <c r="D320" s="19" t="n">
        <v>45685.7916666667</v>
      </c>
      <c r="E320" s="18" t="n">
        <v>45686.75</v>
      </c>
      <c r="F320" s="19" t="n">
        <v>45686.75</v>
      </c>
      <c r="G320" s="20" t="n">
        <v>3000</v>
      </c>
      <c r="H320" s="8" t="n">
        <v>7</v>
      </c>
      <c r="I320" s="10" t="n">
        <v>45685</v>
      </c>
      <c r="J320" s="11" t="n">
        <v>0.544085648143669</v>
      </c>
      <c r="K320" s="1" t="str">
        <f aca="false">IF(L320&gt;24,     IF(H320=2,"Couple Extended Day","Extended Day"), IF(L320&lt;=12,     IF(AND(MOD(D320,1)&gt;=TIME(6,0,0),MOD(D320,1)&lt;TIME(18,0,0)),         IF(H320=2,"Couple Half Day","12H Day"),         IF(H320=2,"Couple Half Night","12H Night")), IF(L320&lt;=24,     IF(AND(MOD(D320,1)&gt;=TIME(6,0,0),MOD(D320,1)&lt;TIME(18,0,0)),         IF(H320=2,"Couple Full Day","24H Day"),         IF(H320=2,"Couple Full Night","24H Night")), "Check Data")))</f>
        <v>24H Night</v>
      </c>
      <c r="L320" s="12" t="n">
        <f aca="false">((INT(E320)+MOD(F320,1))-(INT(C320)+MOD(D320,1)))*24</f>
        <v>22.9999999990105</v>
      </c>
      <c r="M320" s="1" t="n">
        <f aca="false">IFERROR(INDEX(Sheet3!$B$2:$B$500,MATCH(1,(INT(C320)+MOD(D320,1)&lt;INT(Sheet3!$A$2:$A$500)+TIME(18,0,0))*(INT(E320)+MOD(F320,1)&gt;=INT(Sheet3!$A$2:$A$500)),0)),0)</f>
        <v>0</v>
      </c>
      <c r="N320" s="1" t="n">
        <f aca="false">IF(OR( AND(Q320=6,D320&gt;=TIME(17,0,0),OR(K320="12H Night",K320="Couple Half Night",K320="24H Night",K320="Couple Full Night")), AND(Q320=7,D320&gt;=TIME(6,0,0),D320&lt;TIME(12,0,0),OR(K320="12H Day",K320="Couple Half Day",K320="24H Day",K320="Couple Full Day")) ),1,0)</f>
        <v>0</v>
      </c>
      <c r="O320" s="1" t="n">
        <f aca="false">IF(OR( AND(MONTH(C320)=12,DAY(C320)&gt;=26), AND(MONTH(C320)=4,DAY(C320)&gt;=15), MONTH(C320)=5, AND(MONTH(C320)=6,DAY(C320)&lt;=10) ),1,0)</f>
        <v>0</v>
      </c>
      <c r="P320" s="1" t="str">
        <f aca="false">IF(OR(MONTH(C320)=3,MONTH(C320)=4,MONTH(C320)=5,MONTH(C320)=6), "Summer", IF(OR(MONTH(C320)=7,MONTH(C320)=8,MONTH(C320)=9,MONTH(C320)=10), "Monsoon", "Winter"))</f>
        <v>Winter</v>
      </c>
      <c r="Q320" s="1" t="n">
        <f aca="false">WEEKDAY(C320,2)</f>
        <v>2</v>
      </c>
      <c r="R320" s="0" t="n">
        <f aca="false">ROUNDDOWN(((INT(C320)+MOD(D320,1))-(INT(I320)+MOD(J320,1))),0)</f>
        <v>0</v>
      </c>
      <c r="S320" s="10"/>
    </row>
    <row r="321" customFormat="false" ht="225.35" hidden="false" customHeight="false" outlineLevel="0" collapsed="false">
      <c r="A321" s="8" t="s">
        <v>578</v>
      </c>
      <c r="B321" s="22" t="s">
        <v>579</v>
      </c>
      <c r="C321" s="18" t="n">
        <v>45688.375</v>
      </c>
      <c r="D321" s="19" t="n">
        <v>45688.375</v>
      </c>
      <c r="E321" s="18" t="n">
        <v>45688.75</v>
      </c>
      <c r="F321" s="19" t="n">
        <v>45688.75</v>
      </c>
      <c r="G321" s="20" t="n">
        <v>2000</v>
      </c>
      <c r="H321" s="8" t="n">
        <v>5</v>
      </c>
      <c r="I321" s="10" t="n">
        <v>45687</v>
      </c>
      <c r="J321" s="11" t="n">
        <v>0.433344907403808</v>
      </c>
      <c r="K321" s="1" t="str">
        <f aca="false">IF(L321&gt;24,     IF(H321=2,"Couple Extended Day","Extended Day"), IF(L321&lt;=12,     IF(AND(MOD(D321,1)&gt;=TIME(6,0,0),MOD(D321,1)&lt;TIME(18,0,0)),         IF(H321=2,"Couple Half Day","12H Day"),         IF(H321=2,"Couple Half Night","12H Night")), IF(L321&lt;=24,     IF(AND(MOD(D321,1)&gt;=TIME(6,0,0),MOD(D321,1)&lt;TIME(18,0,0)),         IF(H321=2,"Couple Full Day","24H Day"),         IF(H321=2,"Couple Full Night","24H Night")), "Check Data")))</f>
        <v>12H Day</v>
      </c>
      <c r="L321" s="12" t="n">
        <f aca="false">((INT(E321)+MOD(F321,1))-(INT(C321)+MOD(D321,1)))*24</f>
        <v>9</v>
      </c>
      <c r="M321" s="1" t="n">
        <f aca="false">IFERROR(INDEX(Sheet3!$B$2:$B$500,MATCH(1,(INT(C321)+MOD(D321,1)&lt;INT(Sheet3!$A$2:$A$500)+TIME(18,0,0))*(INT(E321)+MOD(F321,1)&gt;=INT(Sheet3!$A$2:$A$500)),0)),0)</f>
        <v>0</v>
      </c>
      <c r="N321" s="1" t="n">
        <f aca="false">IF(OR( AND(Q321=6,D321&gt;=TIME(17,0,0),OR(K321="12H Night",K321="Couple Half Night",K321="24H Night",K321="Couple Full Night")), AND(Q321=7,D321&gt;=TIME(6,0,0),D321&lt;TIME(12,0,0),OR(K321="12H Day",K321="Couple Half Day",K321="24H Day",K321="Couple Full Day")) ),1,0)</f>
        <v>0</v>
      </c>
      <c r="O321" s="1" t="n">
        <f aca="false">IF(OR( AND(MONTH(C321)=12,DAY(C321)&gt;=26), AND(MONTH(C321)=4,DAY(C321)&gt;=15), MONTH(C321)=5, AND(MONTH(C321)=6,DAY(C321)&lt;=10) ),1,0)</f>
        <v>0</v>
      </c>
      <c r="P321" s="1" t="str">
        <f aca="false">IF(OR(MONTH(C321)=3,MONTH(C321)=4,MONTH(C321)=5,MONTH(C321)=6), "Summer", IF(OR(MONTH(C321)=7,MONTH(C321)=8,MONTH(C321)=9,MONTH(C321)=10), "Monsoon", "Winter"))</f>
        <v>Winter</v>
      </c>
      <c r="Q321" s="1" t="n">
        <f aca="false">WEEKDAY(C321,2)</f>
        <v>5</v>
      </c>
      <c r="R321" s="0" t="n">
        <f aca="false">ROUNDDOWN(((INT(C321)+MOD(D321,1))-(INT(I321)+MOD(J321,1))),0)</f>
        <v>0</v>
      </c>
      <c r="S321" s="10"/>
    </row>
    <row r="322" customFormat="false" ht="180.95" hidden="false" customHeight="false" outlineLevel="0" collapsed="false">
      <c r="A322" s="8" t="s">
        <v>580</v>
      </c>
      <c r="B322" s="22" t="s">
        <v>581</v>
      </c>
      <c r="C322" s="18" t="n">
        <v>45688.7916666667</v>
      </c>
      <c r="D322" s="19" t="n">
        <v>45688.7916666667</v>
      </c>
      <c r="E322" s="18" t="n">
        <v>45689.75</v>
      </c>
      <c r="F322" s="19" t="n">
        <v>45689.75</v>
      </c>
      <c r="G322" s="20" t="n">
        <v>3800</v>
      </c>
      <c r="H322" s="8" t="n">
        <v>10</v>
      </c>
      <c r="I322" s="10" t="n">
        <v>45681</v>
      </c>
      <c r="J322" s="11" t="n">
        <v>0.952905092592118</v>
      </c>
      <c r="K322" s="1" t="str">
        <f aca="false">IF(L322&gt;24,     IF(H322=2,"Couple Extended Day","Extended Day"), IF(L322&lt;=12,     IF(AND(MOD(D322,1)&gt;=TIME(6,0,0),MOD(D322,1)&lt;TIME(18,0,0)),         IF(H322=2,"Couple Half Day","12H Day"),         IF(H322=2,"Couple Half Night","12H Night")), IF(L322&lt;=24,     IF(AND(MOD(D322,1)&gt;=TIME(6,0,0),MOD(D322,1)&lt;TIME(18,0,0)),         IF(H322=2,"Couple Full Day","24H Day"),         IF(H322=2,"Couple Full Night","24H Night")), "Check Data")))</f>
        <v>24H Night</v>
      </c>
      <c r="L322" s="12" t="n">
        <f aca="false">((INT(E322)+MOD(F322,1))-(INT(C322)+MOD(D322,1)))*24</f>
        <v>22.9999999990105</v>
      </c>
      <c r="M322" s="1" t="n">
        <f aca="false">IFERROR(INDEX(Sheet3!$B$2:$B$500,MATCH(1,(INT(C322)+MOD(D322,1)&lt;INT(Sheet3!$A$2:$A$500)+TIME(18,0,0))*(INT(E322)+MOD(F322,1)&gt;=INT(Sheet3!$A$2:$A$500)),0)),0)</f>
        <v>0</v>
      </c>
      <c r="N322" s="1" t="n">
        <f aca="false">IF(OR( AND(Q322=6,D322&gt;=TIME(17,0,0),OR(K322="12H Night",K322="Couple Half Night",K322="24H Night",K322="Couple Full Night")), AND(Q322=7,D322&gt;=TIME(6,0,0),D322&lt;TIME(12,0,0),OR(K322="12H Day",K322="Couple Half Day",K322="24H Day",K322="Couple Full Day")) ),1,0)</f>
        <v>0</v>
      </c>
      <c r="O322" s="1" t="n">
        <f aca="false">IF(OR( AND(MONTH(C322)=12,DAY(C322)&gt;=26), AND(MONTH(C322)=4,DAY(C322)&gt;=15), MONTH(C322)=5, AND(MONTH(C322)=6,DAY(C322)&lt;=10) ),1,0)</f>
        <v>0</v>
      </c>
      <c r="P322" s="1" t="str">
        <f aca="false">IF(OR(MONTH(C322)=3,MONTH(C322)=4,MONTH(C322)=5,MONTH(C322)=6), "Summer", IF(OR(MONTH(C322)=7,MONTH(C322)=8,MONTH(C322)=9,MONTH(C322)=10), "Monsoon", "Winter"))</f>
        <v>Winter</v>
      </c>
      <c r="Q322" s="1" t="n">
        <f aca="false">WEEKDAY(C322,2)</f>
        <v>5</v>
      </c>
      <c r="R322" s="0" t="n">
        <f aca="false">ROUNDDOWN(((INT(C322)+MOD(D322,1))-(INT(I322)+MOD(J322,1))),0)</f>
        <v>6</v>
      </c>
      <c r="S322" s="10"/>
    </row>
    <row r="323" customFormat="false" ht="180.95" hidden="false" customHeight="false" outlineLevel="0" collapsed="false">
      <c r="A323" s="8" t="s">
        <v>582</v>
      </c>
      <c r="B323" s="22" t="s">
        <v>583</v>
      </c>
      <c r="C323" s="18" t="n">
        <v>45689.7916666667</v>
      </c>
      <c r="D323" s="19" t="n">
        <v>45689.7916666667</v>
      </c>
      <c r="E323" s="18" t="n">
        <v>45690.75</v>
      </c>
      <c r="F323" s="19" t="n">
        <v>45690.75</v>
      </c>
      <c r="G323" s="20" t="n">
        <v>5500</v>
      </c>
      <c r="H323" s="8" t="n">
        <v>7</v>
      </c>
      <c r="I323" s="10" t="n">
        <v>45687</v>
      </c>
      <c r="J323" s="11" t="n">
        <v>0.719513888892836</v>
      </c>
      <c r="K323" s="1" t="str">
        <f aca="false">IF(L323&gt;24,     IF(H323=2,"Couple Extended Day","Extended Day"), IF(L323&lt;=12,     IF(AND(MOD(D323,1)&gt;=TIME(6,0,0),MOD(D323,1)&lt;TIME(18,0,0)),         IF(H323=2,"Couple Half Day","12H Day"),         IF(H323=2,"Couple Half Night","12H Night")), IF(L323&lt;=24,     IF(AND(MOD(D323,1)&gt;=TIME(6,0,0),MOD(D323,1)&lt;TIME(18,0,0)),         IF(H323=2,"Couple Full Day","24H Day"),         IF(H323=2,"Couple Full Night","24H Night")), "Check Data")))</f>
        <v>24H Night</v>
      </c>
      <c r="L323" s="12" t="n">
        <f aca="false">((INT(E323)+MOD(F323,1))-(INT(C323)+MOD(D323,1)))*24</f>
        <v>22.9999999990105</v>
      </c>
      <c r="M323" s="1" t="n">
        <f aca="false">IFERROR(INDEX(Sheet3!$B$2:$B$500,MATCH(1,(INT(C323)+MOD(D323,1)&lt;INT(Sheet3!$A$2:$A$500)+TIME(18,0,0))*(INT(E323)+MOD(F323,1)&gt;=INT(Sheet3!$A$2:$A$500)),0)),0)</f>
        <v>0</v>
      </c>
      <c r="N323" s="1" t="n">
        <f aca="false">IF(OR( AND(Q323=6,D323&gt;=TIME(17,0,0),OR(K323="12H Night",K323="Couple Half Night",K323="24H Night",K323="Couple Full Night")), AND(Q323=7,D323&gt;=TIME(6,0,0),D323&lt;TIME(12,0,0),OR(K323="12H Day",K323="Couple Half Day",K323="24H Day",K323="Couple Full Day")) ),1,0)</f>
        <v>1</v>
      </c>
      <c r="O323" s="1" t="n">
        <f aca="false">IF(OR( AND(MONTH(C323)=12,DAY(C323)&gt;=26), AND(MONTH(C323)=4,DAY(C323)&gt;=15), MONTH(C323)=5, AND(MONTH(C323)=6,DAY(C323)&lt;=10) ),1,0)</f>
        <v>0</v>
      </c>
      <c r="P323" s="1" t="str">
        <f aca="false">IF(OR(MONTH(C323)=3,MONTH(C323)=4,MONTH(C323)=5,MONTH(C323)=6), "Summer", IF(OR(MONTH(C323)=7,MONTH(C323)=8,MONTH(C323)=9,MONTH(C323)=10), "Monsoon", "Winter"))</f>
        <v>Winter</v>
      </c>
      <c r="Q323" s="1" t="n">
        <f aca="false">WEEKDAY(C323,2)</f>
        <v>6</v>
      </c>
      <c r="R323" s="0" t="n">
        <f aca="false">ROUNDDOWN(((INT(C323)+MOD(D323,1))-(INT(I323)+MOD(J323,1))),0)</f>
        <v>2</v>
      </c>
      <c r="S323" s="10"/>
    </row>
    <row r="324" customFormat="false" ht="238.45" hidden="false" customHeight="false" outlineLevel="0" collapsed="false">
      <c r="A324" s="8" t="s">
        <v>584</v>
      </c>
      <c r="B324" s="22" t="s">
        <v>585</v>
      </c>
      <c r="C324" s="18" t="n">
        <v>45691.875</v>
      </c>
      <c r="D324" s="19" t="n">
        <v>45691.875</v>
      </c>
      <c r="E324" s="18" t="n">
        <v>45692.3333333333</v>
      </c>
      <c r="F324" s="19" t="n">
        <v>0</v>
      </c>
      <c r="G324" s="20" t="n">
        <v>1500</v>
      </c>
      <c r="H324" s="8" t="n">
        <v>4</v>
      </c>
      <c r="I324" s="10" t="n">
        <v>45691</v>
      </c>
      <c r="J324" s="11" t="n">
        <v>0.828298611115312</v>
      </c>
      <c r="K324" s="1" t="str">
        <f aca="false">IF(L324&gt;24,     IF(H324=2,"Couple Extended Day","Extended Day"), IF(L324&lt;=12,     IF(AND(MOD(D324,1)&gt;=TIME(6,0,0),MOD(D324,1)&lt;TIME(18,0,0)),         IF(H324=2,"Couple Half Day","12H Day"),         IF(H324=2,"Couple Half Night","12H Night")), IF(L324&lt;=24,     IF(AND(MOD(D324,1)&gt;=TIME(6,0,0),MOD(D324,1)&lt;TIME(18,0,0)),         IF(H324=2,"Couple Full Day","24H Day"),         IF(H324=2,"Couple Full Night","24H Night")), "Check Data")))</f>
        <v>12H Night</v>
      </c>
      <c r="L324" s="12" t="n">
        <f aca="false">((INT(E324)+MOD(F324,1))-(INT(C324)+MOD(D324,1)))*24</f>
        <v>3</v>
      </c>
      <c r="M324" s="1" t="n">
        <f aca="false">IFERROR(INDEX(Sheet3!$B$2:$B$500,MATCH(1,(INT(C324)+MOD(D324,1)&lt;INT(Sheet3!$A$2:$A$500)+TIME(18,0,0))*(INT(E324)+MOD(F324,1)&gt;=INT(Sheet3!$A$2:$A$500)),0)),0)</f>
        <v>0</v>
      </c>
      <c r="N324" s="1" t="n">
        <f aca="false">IF(OR( AND(Q324=6,D324&gt;=TIME(17,0,0),OR(K324="12H Night",K324="Couple Half Night",K324="24H Night",K324="Couple Full Night")), AND(Q324=7,D324&gt;=TIME(6,0,0),D324&lt;TIME(12,0,0),OR(K324="12H Day",K324="Couple Half Day",K324="24H Day",K324="Couple Full Day")) ),1,0)</f>
        <v>0</v>
      </c>
      <c r="O324" s="1" t="n">
        <f aca="false">IF(OR( AND(MONTH(C324)=12,DAY(C324)&gt;=26), AND(MONTH(C324)=4,DAY(C324)&gt;=15), MONTH(C324)=5, AND(MONTH(C324)=6,DAY(C324)&lt;=10) ),1,0)</f>
        <v>0</v>
      </c>
      <c r="P324" s="1" t="str">
        <f aca="false">IF(OR(MONTH(C324)=3,MONTH(C324)=4,MONTH(C324)=5,MONTH(C324)=6), "Summer", IF(OR(MONTH(C324)=7,MONTH(C324)=8,MONTH(C324)=9,MONTH(C324)=10), "Monsoon", "Winter"))</f>
        <v>Winter</v>
      </c>
      <c r="Q324" s="1" t="n">
        <f aca="false">WEEKDAY(C324,2)</f>
        <v>1</v>
      </c>
      <c r="R324" s="0" t="n">
        <f aca="false">ROUNDDOWN(((INT(C324)+MOD(D324,1))-(INT(I324)+MOD(J324,1))),0)</f>
        <v>0</v>
      </c>
      <c r="S324" s="10"/>
    </row>
    <row r="325" customFormat="false" ht="212.2" hidden="false" customHeight="false" outlineLevel="0" collapsed="false">
      <c r="A325" s="8" t="s">
        <v>150</v>
      </c>
      <c r="B325" s="22" t="s">
        <v>586</v>
      </c>
      <c r="C325" s="18" t="n">
        <v>45695.375</v>
      </c>
      <c r="D325" s="19" t="n">
        <v>45695.375</v>
      </c>
      <c r="E325" s="18" t="n">
        <v>45695.75</v>
      </c>
      <c r="F325" s="19" t="n">
        <v>45695.75</v>
      </c>
      <c r="G325" s="20" t="n">
        <v>2500</v>
      </c>
      <c r="H325" s="8" t="n">
        <v>4</v>
      </c>
      <c r="I325" s="10" t="n">
        <v>45693</v>
      </c>
      <c r="J325" s="11" t="n">
        <v>0.997199074074155</v>
      </c>
      <c r="K325" s="1" t="str">
        <f aca="false">IF(L325&gt;24,     IF(H325=2,"Couple Extended Day","Extended Day"), IF(L325&lt;=12,     IF(AND(MOD(D325,1)&gt;=TIME(6,0,0),MOD(D325,1)&lt;TIME(18,0,0)),         IF(H325=2,"Couple Half Day","12H Day"),         IF(H325=2,"Couple Half Night","12H Night")), IF(L325&lt;=24,     IF(AND(MOD(D325,1)&gt;=TIME(6,0,0),MOD(D325,1)&lt;TIME(18,0,0)),         IF(H325=2,"Couple Full Day","24H Day"),         IF(H325=2,"Couple Full Night","24H Night")), "Check Data")))</f>
        <v>12H Day</v>
      </c>
      <c r="L325" s="12" t="n">
        <f aca="false">((INT(E325)+MOD(F325,1))-(INT(C325)+MOD(D325,1)))*24</f>
        <v>9</v>
      </c>
      <c r="M325" s="1" t="n">
        <f aca="false">IFERROR(INDEX(Sheet3!$B$2:$B$500,MATCH(1,(INT(C325)+MOD(D325,1)&lt;INT(Sheet3!$A$2:$A$500)+TIME(18,0,0))*(INT(E325)+MOD(F325,1)&gt;=INT(Sheet3!$A$2:$A$500)),0)),0)</f>
        <v>0</v>
      </c>
      <c r="N325" s="1" t="n">
        <f aca="false">IF(OR( AND(Q325=6,D325&gt;=TIME(17,0,0),OR(K325="12H Night",K325="Couple Half Night",K325="24H Night",K325="Couple Full Night")), AND(Q325=7,D325&gt;=TIME(6,0,0),D325&lt;TIME(12,0,0),OR(K325="12H Day",K325="Couple Half Day",K325="24H Day",K325="Couple Full Day")) ),1,0)</f>
        <v>0</v>
      </c>
      <c r="O325" s="1" t="n">
        <f aca="false">IF(OR( AND(MONTH(C325)=12,DAY(C325)&gt;=26), AND(MONTH(C325)=4,DAY(C325)&gt;=15), MONTH(C325)=5, AND(MONTH(C325)=6,DAY(C325)&lt;=10) ),1,0)</f>
        <v>0</v>
      </c>
      <c r="P325" s="1" t="str">
        <f aca="false">IF(OR(MONTH(C325)=3,MONTH(C325)=4,MONTH(C325)=5,MONTH(C325)=6), "Summer", IF(OR(MONTH(C325)=7,MONTH(C325)=8,MONTH(C325)=9,MONTH(C325)=10), "Monsoon", "Winter"))</f>
        <v>Winter</v>
      </c>
      <c r="Q325" s="1" t="n">
        <f aca="false">WEEKDAY(C325,2)</f>
        <v>5</v>
      </c>
      <c r="R325" s="0" t="n">
        <f aca="false">ROUNDDOWN(((INT(C325)+MOD(D325,1))-(INT(I325)+MOD(J325,1))),0)</f>
        <v>1</v>
      </c>
      <c r="S325" s="10"/>
    </row>
    <row r="326" customFormat="false" ht="225.35" hidden="false" customHeight="false" outlineLevel="0" collapsed="false">
      <c r="A326" s="8" t="s">
        <v>587</v>
      </c>
      <c r="B326" s="22" t="s">
        <v>588</v>
      </c>
      <c r="C326" s="18" t="n">
        <v>45696.3333333333</v>
      </c>
      <c r="D326" s="19" t="n">
        <v>0</v>
      </c>
      <c r="E326" s="18" t="n">
        <v>45696.75</v>
      </c>
      <c r="F326" s="19" t="n">
        <v>45696.75</v>
      </c>
      <c r="G326" s="20" t="n">
        <v>2500</v>
      </c>
      <c r="H326" s="8" t="n">
        <v>8</v>
      </c>
      <c r="I326" s="10" t="n">
        <v>45694</v>
      </c>
      <c r="J326" s="11" t="n">
        <v>0.618807870370799</v>
      </c>
      <c r="K326" s="1" t="str">
        <f aca="false">IF(L326&gt;24,     IF(H326=2,"Couple Extended Day","Extended Day"), IF(L326&lt;=12,     IF(AND(MOD(D326,1)&gt;=TIME(6,0,0),MOD(D326,1)&lt;TIME(18,0,0)),         IF(H326=2,"Couple Half Day","12H Day"),         IF(H326=2,"Couple Half Night","12H Night")), IF(L326&lt;=24,     IF(AND(MOD(D326,1)&gt;=TIME(6,0,0),MOD(D326,1)&lt;TIME(18,0,0)),         IF(H326=2,"Couple Full Day","24H Day"),         IF(H326=2,"Couple Full Night","24H Night")), "Check Data")))</f>
        <v>24H Night</v>
      </c>
      <c r="L326" s="12" t="n">
        <f aca="false">((INT(E326)+MOD(F326,1))-(INT(C326)+MOD(D326,1)))*24</f>
        <v>18</v>
      </c>
      <c r="M326" s="1" t="n">
        <f aca="false">IFERROR(INDEX(Sheet3!$B$2:$B$500,MATCH(1,(INT(C326)+MOD(D326,1)&lt;INT(Sheet3!$A$2:$A$500)+TIME(18,0,0))*(INT(E326)+MOD(F326,1)&gt;=INT(Sheet3!$A$2:$A$500)),0)),0)</f>
        <v>0</v>
      </c>
      <c r="N326" s="1" t="n">
        <f aca="false">IF(OR( AND(Q326=6,D326&gt;=TIME(17,0,0),OR(K326="12H Night",K326="Couple Half Night",K326="24H Night",K326="Couple Full Night")), AND(Q326=7,D326&gt;=TIME(6,0,0),D326&lt;TIME(12,0,0),OR(K326="12H Day",K326="Couple Half Day",K326="24H Day",K326="Couple Full Day")) ),1,0)</f>
        <v>0</v>
      </c>
      <c r="O326" s="1" t="n">
        <f aca="false">IF(OR( AND(MONTH(C326)=12,DAY(C326)&gt;=26), AND(MONTH(C326)=4,DAY(C326)&gt;=15), MONTH(C326)=5, AND(MONTH(C326)=6,DAY(C326)&lt;=10) ),1,0)</f>
        <v>0</v>
      </c>
      <c r="P326" s="1" t="str">
        <f aca="false">IF(OR(MONTH(C326)=3,MONTH(C326)=4,MONTH(C326)=5,MONTH(C326)=6), "Summer", IF(OR(MONTH(C326)=7,MONTH(C326)=8,MONTH(C326)=9,MONTH(C326)=10), "Monsoon", "Winter"))</f>
        <v>Winter</v>
      </c>
      <c r="Q326" s="1" t="n">
        <f aca="false">WEEKDAY(C326,2)</f>
        <v>6</v>
      </c>
      <c r="R326" s="0" t="n">
        <f aca="false">ROUNDDOWN(((INT(C326)+MOD(D326,1))-(INT(I326)+MOD(J326,1))),0)</f>
        <v>1</v>
      </c>
      <c r="S326" s="10"/>
    </row>
    <row r="327" customFormat="false" ht="204.9" hidden="false" customHeight="false" outlineLevel="0" collapsed="false">
      <c r="A327" s="8" t="s">
        <v>260</v>
      </c>
      <c r="B327" s="22" t="s">
        <v>589</v>
      </c>
      <c r="C327" s="18" t="n">
        <v>45697.7916666667</v>
      </c>
      <c r="D327" s="19" t="n">
        <v>45697.7916666667</v>
      </c>
      <c r="E327" s="18" t="n">
        <v>45698.75</v>
      </c>
      <c r="F327" s="19" t="n">
        <v>45698.75</v>
      </c>
      <c r="G327" s="20" t="n">
        <v>3500</v>
      </c>
      <c r="H327" s="8" t="n">
        <v>10</v>
      </c>
      <c r="I327" s="10" t="n">
        <v>45698</v>
      </c>
      <c r="J327" s="11" t="n">
        <v>0.554363425922928</v>
      </c>
      <c r="K327" s="1" t="str">
        <f aca="false">IF(L327&gt;24,     IF(H327=2,"Couple Extended Day","Extended Day"), IF(L327&lt;=12,     IF(AND(MOD(D327,1)&gt;=TIME(6,0,0),MOD(D327,1)&lt;TIME(18,0,0)),         IF(H327=2,"Couple Half Day","12H Day"),         IF(H327=2,"Couple Half Night","12H Night")), IF(L327&lt;=24,     IF(AND(MOD(D327,1)&gt;=TIME(6,0,0),MOD(D327,1)&lt;TIME(18,0,0)),         IF(H327=2,"Couple Full Day","24H Day"),         IF(H327=2,"Couple Full Night","24H Night")), "Check Data")))</f>
        <v>24H Night</v>
      </c>
      <c r="L327" s="12" t="n">
        <f aca="false">((INT(E327)+MOD(F327,1))-(INT(C327)+MOD(D327,1)))*24</f>
        <v>22.9999999990105</v>
      </c>
      <c r="M327" s="1" t="n">
        <f aca="false">IFERROR(INDEX(Sheet3!$B$2:$B$500,MATCH(1,(INT(C327)+MOD(D327,1)&lt;INT(Sheet3!$A$2:$A$500)+TIME(18,0,0))*(INT(E327)+MOD(F327,1)&gt;=INT(Sheet3!$A$2:$A$500)),0)),0)</f>
        <v>0</v>
      </c>
      <c r="N327" s="1" t="n">
        <f aca="false">IF(OR( AND(Q327=6,D327&gt;=TIME(17,0,0),OR(K327="12H Night",K327="Couple Half Night",K327="24H Night",K327="Couple Full Night")), AND(Q327=7,D327&gt;=TIME(6,0,0),D327&lt;TIME(12,0,0),OR(K327="12H Day",K327="Couple Half Day",K327="24H Day",K327="Couple Full Day")) ),1,0)</f>
        <v>0</v>
      </c>
      <c r="O327" s="1" t="n">
        <f aca="false">IF(OR( AND(MONTH(C327)=12,DAY(C327)&gt;=26), AND(MONTH(C327)=4,DAY(C327)&gt;=15), MONTH(C327)=5, AND(MONTH(C327)=6,DAY(C327)&lt;=10) ),1,0)</f>
        <v>0</v>
      </c>
      <c r="P327" s="1" t="str">
        <f aca="false">IF(OR(MONTH(C327)=3,MONTH(C327)=4,MONTH(C327)=5,MONTH(C327)=6), "Summer", IF(OR(MONTH(C327)=7,MONTH(C327)=8,MONTH(C327)=9,MONTH(C327)=10), "Monsoon", "Winter"))</f>
        <v>Winter</v>
      </c>
      <c r="Q327" s="1" t="n">
        <f aca="false">WEEKDAY(C327,2)</f>
        <v>7</v>
      </c>
      <c r="R327" s="0" t="n">
        <f aca="false">ROUNDDOWN(((INT(C327)+MOD(D327,1))-(INT(I327)+MOD(J327,1))),0)</f>
        <v>-0</v>
      </c>
      <c r="S327" s="10"/>
    </row>
    <row r="328" customFormat="false" ht="204.9" hidden="false" customHeight="false" outlineLevel="0" collapsed="false">
      <c r="A328" s="8" t="s">
        <v>590</v>
      </c>
      <c r="B328" s="22" t="s">
        <v>591</v>
      </c>
      <c r="C328" s="18" t="n">
        <v>45698.7916666667</v>
      </c>
      <c r="D328" s="19" t="n">
        <v>45698.7916666667</v>
      </c>
      <c r="E328" s="18" t="n">
        <v>45699.75</v>
      </c>
      <c r="F328" s="19" t="n">
        <v>45699.75</v>
      </c>
      <c r="G328" s="20" t="n">
        <v>3500</v>
      </c>
      <c r="H328" s="8" t="n">
        <v>10</v>
      </c>
      <c r="I328" s="10" t="n">
        <v>45696</v>
      </c>
      <c r="J328" s="11" t="n">
        <v>0.589247685187732</v>
      </c>
      <c r="K328" s="1" t="str">
        <f aca="false">IF(L328&gt;24,     IF(H328=2,"Couple Extended Day","Extended Day"), IF(L328&lt;=12,     IF(AND(MOD(D328,1)&gt;=TIME(6,0,0),MOD(D328,1)&lt;TIME(18,0,0)),         IF(H328=2,"Couple Half Day","12H Day"),         IF(H328=2,"Couple Half Night","12H Night")), IF(L328&lt;=24,     IF(AND(MOD(D328,1)&gt;=TIME(6,0,0),MOD(D328,1)&lt;TIME(18,0,0)),         IF(H328=2,"Couple Full Day","24H Day"),         IF(H328=2,"Couple Full Night","24H Night")), "Check Data")))</f>
        <v>24H Night</v>
      </c>
      <c r="L328" s="12" t="n">
        <f aca="false">((INT(E328)+MOD(F328,1))-(INT(C328)+MOD(D328,1)))*24</f>
        <v>22.9999999990105</v>
      </c>
      <c r="M328" s="1" t="n">
        <f aca="false">IFERROR(INDEX(Sheet3!$B$2:$B$500,MATCH(1,(INT(C328)+MOD(D328,1)&lt;INT(Sheet3!$A$2:$A$500)+TIME(18,0,0))*(INT(E328)+MOD(F328,1)&gt;=INT(Sheet3!$A$2:$A$500)),0)),0)</f>
        <v>0</v>
      </c>
      <c r="N328" s="1" t="n">
        <f aca="false">IF(OR( AND(Q328=6,D328&gt;=TIME(17,0,0),OR(K328="12H Night",K328="Couple Half Night",K328="24H Night",K328="Couple Full Night")), AND(Q328=7,D328&gt;=TIME(6,0,0),D328&lt;TIME(12,0,0),OR(K328="12H Day",K328="Couple Half Day",K328="24H Day",K328="Couple Full Day")) ),1,0)</f>
        <v>0</v>
      </c>
      <c r="O328" s="1" t="n">
        <f aca="false">IF(OR( AND(MONTH(C328)=12,DAY(C328)&gt;=26), AND(MONTH(C328)=4,DAY(C328)&gt;=15), MONTH(C328)=5, AND(MONTH(C328)=6,DAY(C328)&lt;=10) ),1,0)</f>
        <v>0</v>
      </c>
      <c r="P328" s="1" t="str">
        <f aca="false">IF(OR(MONTH(C328)=3,MONTH(C328)=4,MONTH(C328)=5,MONTH(C328)=6), "Summer", IF(OR(MONTH(C328)=7,MONTH(C328)=8,MONTH(C328)=9,MONTH(C328)=10), "Monsoon", "Winter"))</f>
        <v>Winter</v>
      </c>
      <c r="Q328" s="1" t="n">
        <f aca="false">WEEKDAY(C328,2)</f>
        <v>1</v>
      </c>
      <c r="R328" s="0" t="n">
        <f aca="false">ROUNDDOWN(((INT(C328)+MOD(D328,1))-(INT(I328)+MOD(J328,1))),0)</f>
        <v>2</v>
      </c>
      <c r="S328" s="10"/>
    </row>
    <row r="329" customFormat="false" ht="204.9" hidden="false" customHeight="false" outlineLevel="0" collapsed="false">
      <c r="A329" s="8" t="s">
        <v>592</v>
      </c>
      <c r="B329" s="22" t="s">
        <v>593</v>
      </c>
      <c r="C329" s="18" t="n">
        <v>45700.375</v>
      </c>
      <c r="D329" s="19" t="n">
        <v>45700.375</v>
      </c>
      <c r="E329" s="18" t="n">
        <v>45700.75</v>
      </c>
      <c r="F329" s="19" t="n">
        <v>45700.75</v>
      </c>
      <c r="G329" s="20" t="n">
        <v>2500</v>
      </c>
      <c r="H329" s="8" t="n">
        <v>10</v>
      </c>
      <c r="I329" s="10" t="n">
        <v>45698</v>
      </c>
      <c r="J329" s="11" t="n">
        <v>0.931493055555625</v>
      </c>
      <c r="K329" s="1" t="str">
        <f aca="false">IF(L329&gt;24,     IF(H329=2,"Couple Extended Day","Extended Day"), IF(L329&lt;=12,     IF(AND(MOD(D329,1)&gt;=TIME(6,0,0),MOD(D329,1)&lt;TIME(18,0,0)),         IF(H329=2,"Couple Half Day","12H Day"),         IF(H329=2,"Couple Half Night","12H Night")), IF(L329&lt;=24,     IF(AND(MOD(D329,1)&gt;=TIME(6,0,0),MOD(D329,1)&lt;TIME(18,0,0)),         IF(H329=2,"Couple Full Day","24H Day"),         IF(H329=2,"Couple Full Night","24H Night")), "Check Data")))</f>
        <v>12H Day</v>
      </c>
      <c r="L329" s="12" t="n">
        <f aca="false">((INT(E329)+MOD(F329,1))-(INT(C329)+MOD(D329,1)))*24</f>
        <v>9</v>
      </c>
      <c r="M329" s="1" t="n">
        <f aca="false">IFERROR(INDEX(Sheet3!$B$2:$B$500,MATCH(1,(INT(C329)+MOD(D329,1)&lt;INT(Sheet3!$A$2:$A$500)+TIME(18,0,0))*(INT(E329)+MOD(F329,1)&gt;=INT(Sheet3!$A$2:$A$500)),0)),0)</f>
        <v>0</v>
      </c>
      <c r="N329" s="1" t="n">
        <f aca="false">IF(OR( AND(Q329=6,D329&gt;=TIME(17,0,0),OR(K329="12H Night",K329="Couple Half Night",K329="24H Night",K329="Couple Full Night")), AND(Q329=7,D329&gt;=TIME(6,0,0),D329&lt;TIME(12,0,0),OR(K329="12H Day",K329="Couple Half Day",K329="24H Day",K329="Couple Full Day")) ),1,0)</f>
        <v>0</v>
      </c>
      <c r="O329" s="1" t="n">
        <f aca="false">IF(OR( AND(MONTH(C329)=12,DAY(C329)&gt;=26), AND(MONTH(C329)=4,DAY(C329)&gt;=15), MONTH(C329)=5, AND(MONTH(C329)=6,DAY(C329)&lt;=10) ),1,0)</f>
        <v>0</v>
      </c>
      <c r="P329" s="1" t="str">
        <f aca="false">IF(OR(MONTH(C329)=3,MONTH(C329)=4,MONTH(C329)=5,MONTH(C329)=6), "Summer", IF(OR(MONTH(C329)=7,MONTH(C329)=8,MONTH(C329)=9,MONTH(C329)=10), "Monsoon", "Winter"))</f>
        <v>Winter</v>
      </c>
      <c r="Q329" s="1" t="n">
        <f aca="false">WEEKDAY(C329,2)</f>
        <v>3</v>
      </c>
      <c r="R329" s="0" t="n">
        <f aca="false">ROUNDDOWN(((INT(C329)+MOD(D329,1))-(INT(I329)+MOD(J329,1))),0)</f>
        <v>1</v>
      </c>
      <c r="S329" s="10"/>
    </row>
    <row r="330" customFormat="false" ht="204.9" hidden="false" customHeight="false" outlineLevel="0" collapsed="false">
      <c r="A330" s="8" t="s">
        <v>594</v>
      </c>
      <c r="B330" s="22" t="s">
        <v>595</v>
      </c>
      <c r="C330" s="18" t="n">
        <v>45702.375</v>
      </c>
      <c r="D330" s="19" t="n">
        <v>45702.375</v>
      </c>
      <c r="E330" s="18" t="n">
        <v>45702.75</v>
      </c>
      <c r="F330" s="19" t="n">
        <v>45702.75</v>
      </c>
      <c r="G330" s="20" t="n">
        <v>3000</v>
      </c>
      <c r="H330" s="8" t="n">
        <v>4</v>
      </c>
      <c r="I330" s="10" t="n">
        <v>45698</v>
      </c>
      <c r="J330" s="11" t="n">
        <v>0.553576388891088</v>
      </c>
      <c r="K330" s="1" t="str">
        <f aca="false">IF(L330&gt;24,     IF(H330=2,"Couple Extended Day","Extended Day"), IF(L330&lt;=12,     IF(AND(MOD(D330,1)&gt;=TIME(6,0,0),MOD(D330,1)&lt;TIME(18,0,0)),         IF(H330=2,"Couple Half Day","12H Day"),         IF(H330=2,"Couple Half Night","12H Night")), IF(L330&lt;=24,     IF(AND(MOD(D330,1)&gt;=TIME(6,0,0),MOD(D330,1)&lt;TIME(18,0,0)),         IF(H330=2,"Couple Full Day","24H Day"),         IF(H330=2,"Couple Full Night","24H Night")), "Check Data")))</f>
        <v>12H Day</v>
      </c>
      <c r="L330" s="12" t="n">
        <f aca="false">((INT(E330)+MOD(F330,1))-(INT(C330)+MOD(D330,1)))*24</f>
        <v>9</v>
      </c>
      <c r="M330" s="1" t="n">
        <f aca="false">IFERROR(INDEX(Sheet3!$B$2:$B$500,MATCH(1,(INT(C330)+MOD(D330,1)&lt;INT(Sheet3!$A$2:$A$500)+TIME(18,0,0))*(INT(E330)+MOD(F330,1)&gt;=INT(Sheet3!$A$2:$A$500)),0)),0)</f>
        <v>0</v>
      </c>
      <c r="N330" s="1" t="n">
        <f aca="false">IF(OR( AND(Q330=6,D330&gt;=TIME(17,0,0),OR(K330="12H Night",K330="Couple Half Night",K330="24H Night",K330="Couple Full Night")), AND(Q330=7,D330&gt;=TIME(6,0,0),D330&lt;TIME(12,0,0),OR(K330="12H Day",K330="Couple Half Day",K330="24H Day",K330="Couple Full Day")) ),1,0)</f>
        <v>0</v>
      </c>
      <c r="O330" s="1" t="n">
        <f aca="false">IF(OR( AND(MONTH(C330)=12,DAY(C330)&gt;=26), AND(MONTH(C330)=4,DAY(C330)&gt;=15), MONTH(C330)=5, AND(MONTH(C330)=6,DAY(C330)&lt;=10) ),1,0)</f>
        <v>0</v>
      </c>
      <c r="P330" s="1" t="str">
        <f aca="false">IF(OR(MONTH(C330)=3,MONTH(C330)=4,MONTH(C330)=5,MONTH(C330)=6), "Summer", IF(OR(MONTH(C330)=7,MONTH(C330)=8,MONTH(C330)=9,MONTH(C330)=10), "Monsoon", "Winter"))</f>
        <v>Winter</v>
      </c>
      <c r="Q330" s="1" t="n">
        <f aca="false">WEEKDAY(C330,2)</f>
        <v>5</v>
      </c>
      <c r="R330" s="0" t="n">
        <f aca="false">ROUNDDOWN(((INT(C330)+MOD(D330,1))-(INT(I330)+MOD(J330,1))),0)</f>
        <v>3</v>
      </c>
      <c r="S330" s="10"/>
    </row>
    <row r="331" customFormat="false" ht="204.9" hidden="false" customHeight="false" outlineLevel="0" collapsed="false">
      <c r="A331" s="8" t="s">
        <v>351</v>
      </c>
      <c r="B331" s="22" t="s">
        <v>596</v>
      </c>
      <c r="C331" s="18" t="n">
        <v>45702.7916666667</v>
      </c>
      <c r="D331" s="19" t="n">
        <v>45702.7916666667</v>
      </c>
      <c r="E331" s="18" t="n">
        <v>45703.75</v>
      </c>
      <c r="F331" s="19" t="n">
        <v>45703.75</v>
      </c>
      <c r="G331" s="20" t="n">
        <v>3500</v>
      </c>
      <c r="H331" s="8" t="n">
        <v>5</v>
      </c>
      <c r="I331" s="10" t="n">
        <v>45699</v>
      </c>
      <c r="J331" s="11" t="n">
        <v>0.495104166664537</v>
      </c>
      <c r="K331" s="1" t="str">
        <f aca="false">IF(L331&gt;24,     IF(H331=2,"Couple Extended Day","Extended Day"), IF(L331&lt;=12,     IF(AND(MOD(D331,1)&gt;=TIME(6,0,0),MOD(D331,1)&lt;TIME(18,0,0)),         IF(H331=2,"Couple Half Day","12H Day"),         IF(H331=2,"Couple Half Night","12H Night")), IF(L331&lt;=24,     IF(AND(MOD(D331,1)&gt;=TIME(6,0,0),MOD(D331,1)&lt;TIME(18,0,0)),         IF(H331=2,"Couple Full Day","24H Day"),         IF(H331=2,"Couple Full Night","24H Night")), "Check Data")))</f>
        <v>24H Night</v>
      </c>
      <c r="L331" s="12" t="n">
        <f aca="false">((INT(E331)+MOD(F331,1))-(INT(C331)+MOD(D331,1)))*24</f>
        <v>22.9999999990105</v>
      </c>
      <c r="M331" s="1" t="n">
        <f aca="false">IFERROR(INDEX(Sheet3!$B$2:$B$500,MATCH(1,(INT(C331)+MOD(D331,1)&lt;INT(Sheet3!$A$2:$A$500)+TIME(18,0,0))*(INT(E331)+MOD(F331,1)&gt;=INT(Sheet3!$A$2:$A$500)),0)),0)</f>
        <v>0</v>
      </c>
      <c r="N331" s="1" t="n">
        <f aca="false">IF(OR( AND(Q331=6,D331&gt;=TIME(17,0,0),OR(K331="12H Night",K331="Couple Half Night",K331="24H Night",K331="Couple Full Night")), AND(Q331=7,D331&gt;=TIME(6,0,0),D331&lt;TIME(12,0,0),OR(K331="12H Day",K331="Couple Half Day",K331="24H Day",K331="Couple Full Day")) ),1,0)</f>
        <v>0</v>
      </c>
      <c r="O331" s="1" t="n">
        <f aca="false">IF(OR( AND(MONTH(C331)=12,DAY(C331)&gt;=26), AND(MONTH(C331)=4,DAY(C331)&gt;=15), MONTH(C331)=5, AND(MONTH(C331)=6,DAY(C331)&lt;=10) ),1,0)</f>
        <v>0</v>
      </c>
      <c r="P331" s="1" t="str">
        <f aca="false">IF(OR(MONTH(C331)=3,MONTH(C331)=4,MONTH(C331)=5,MONTH(C331)=6), "Summer", IF(OR(MONTH(C331)=7,MONTH(C331)=8,MONTH(C331)=9,MONTH(C331)=10), "Monsoon", "Winter"))</f>
        <v>Winter</v>
      </c>
      <c r="Q331" s="1" t="n">
        <f aca="false">WEEKDAY(C331,2)</f>
        <v>5</v>
      </c>
      <c r="R331" s="0" t="n">
        <f aca="false">ROUNDDOWN(((INT(C331)+MOD(D331,1))-(INT(I331)+MOD(J331,1))),0)</f>
        <v>3</v>
      </c>
      <c r="S331" s="10"/>
    </row>
    <row r="332" customFormat="false" ht="212.2" hidden="false" customHeight="false" outlineLevel="0" collapsed="false">
      <c r="A332" s="8" t="s">
        <v>503</v>
      </c>
      <c r="B332" s="22" t="s">
        <v>597</v>
      </c>
      <c r="C332" s="18" t="n">
        <v>45705.3333333333</v>
      </c>
      <c r="D332" s="19" t="n">
        <v>0</v>
      </c>
      <c r="E332" s="18" t="n">
        <v>45705.5833333333</v>
      </c>
      <c r="F332" s="19" t="n">
        <v>0</v>
      </c>
      <c r="G332" s="20" t="n">
        <v>1500</v>
      </c>
      <c r="H332" s="8" t="n">
        <v>2</v>
      </c>
      <c r="I332" s="10" t="n">
        <v>45704</v>
      </c>
      <c r="J332" s="11" t="n">
        <v>0.653969907405556</v>
      </c>
      <c r="K332" s="1" t="str">
        <f aca="false">IF(L332&gt;24,     IF(H332=2,"Couple Extended Day","Extended Day"), IF(L332&lt;=12,     IF(AND(MOD(D332,1)&gt;=TIME(6,0,0),MOD(D332,1)&lt;TIME(18,0,0)),         IF(H332=2,"Couple Half Day","12H Day"),         IF(H332=2,"Couple Half Night","12H Night")), IF(L332&lt;=24,     IF(AND(MOD(D332,1)&gt;=TIME(6,0,0),MOD(D332,1)&lt;TIME(18,0,0)),         IF(H332=2,"Couple Full Day","24H Day"),         IF(H332=2,"Couple Full Night","24H Night")), "Check Data")))</f>
        <v>Couple Half Night</v>
      </c>
      <c r="L332" s="12" t="n">
        <f aca="false">((INT(E332)+MOD(F332,1))-(INT(C332)+MOD(D332,1)))*24</f>
        <v>0</v>
      </c>
      <c r="M332" s="1" t="n">
        <f aca="false">IFERROR(INDEX(Sheet3!$B$2:$B$500,MATCH(1,(INT(C332)+MOD(D332,1)&lt;INT(Sheet3!$A$2:$A$500)+TIME(18,0,0))*(INT(E332)+MOD(F332,1)&gt;=INT(Sheet3!$A$2:$A$500)),0)),0)</f>
        <v>0</v>
      </c>
      <c r="N332" s="1" t="n">
        <f aca="false">IF(OR( AND(Q332=6,D332&gt;=TIME(17,0,0),OR(K332="12H Night",K332="Couple Half Night",K332="24H Night",K332="Couple Full Night")), AND(Q332=7,D332&gt;=TIME(6,0,0),D332&lt;TIME(12,0,0),OR(K332="12H Day",K332="Couple Half Day",K332="24H Day",K332="Couple Full Day")) ),1,0)</f>
        <v>0</v>
      </c>
      <c r="O332" s="1" t="n">
        <f aca="false">IF(OR( AND(MONTH(C332)=12,DAY(C332)&gt;=26), AND(MONTH(C332)=4,DAY(C332)&gt;=15), MONTH(C332)=5, AND(MONTH(C332)=6,DAY(C332)&lt;=10) ),1,0)</f>
        <v>0</v>
      </c>
      <c r="P332" s="1" t="str">
        <f aca="false">IF(OR(MONTH(C332)=3,MONTH(C332)=4,MONTH(C332)=5,MONTH(C332)=6), "Summer", IF(OR(MONTH(C332)=7,MONTH(C332)=8,MONTH(C332)=9,MONTH(C332)=10), "Monsoon", "Winter"))</f>
        <v>Winter</v>
      </c>
      <c r="Q332" s="1" t="n">
        <f aca="false">WEEKDAY(C332,2)</f>
        <v>1</v>
      </c>
      <c r="R332" s="0" t="n">
        <f aca="false">ROUNDDOWN(((INT(C332)+MOD(D332,1))-(INT(I332)+MOD(J332,1))),0)</f>
        <v>0</v>
      </c>
      <c r="S332" s="10"/>
    </row>
    <row r="333" customFormat="false" ht="199.05" hidden="false" customHeight="false" outlineLevel="0" collapsed="false">
      <c r="A333" s="8" t="s">
        <v>238</v>
      </c>
      <c r="B333" s="22" t="s">
        <v>598</v>
      </c>
      <c r="C333" s="18" t="n">
        <v>45706.375</v>
      </c>
      <c r="D333" s="19" t="n">
        <v>45706.375</v>
      </c>
      <c r="E333" s="18" t="n">
        <v>45706.7083333333</v>
      </c>
      <c r="F333" s="19" t="n">
        <v>0</v>
      </c>
      <c r="G333" s="20" t="n">
        <v>2000</v>
      </c>
      <c r="H333" s="8" t="n">
        <v>2</v>
      </c>
      <c r="I333" s="10" t="n">
        <v>45705</v>
      </c>
      <c r="J333" s="11" t="n">
        <v>0.448379629626285</v>
      </c>
      <c r="K333" s="1" t="str">
        <f aca="false">IF(L333&gt;24,     IF(H333=2,"Couple Extended Day","Extended Day"), IF(L333&lt;=12,     IF(AND(MOD(D333,1)&gt;=TIME(6,0,0),MOD(D333,1)&lt;TIME(18,0,0)),         IF(H333=2,"Couple Half Day","12H Day"),         IF(H333=2,"Couple Half Night","12H Night")), IF(L333&lt;=24,     IF(AND(MOD(D333,1)&gt;=TIME(6,0,0),MOD(D333,1)&lt;TIME(18,0,0)),         IF(H333=2,"Couple Full Day","24H Day"),         IF(H333=2,"Couple Full Night","24H Night")), "Check Data")))</f>
        <v>Couple Half Day</v>
      </c>
      <c r="L333" s="12" t="n">
        <f aca="false">((INT(E333)+MOD(F333,1))-(INT(C333)+MOD(D333,1)))*24</f>
        <v>-9</v>
      </c>
      <c r="M333" s="1" t="n">
        <f aca="false">IFERROR(INDEX(Sheet3!$B$2:$B$500,MATCH(1,(INT(C333)+MOD(D333,1)&lt;INT(Sheet3!$A$2:$A$500)+TIME(18,0,0))*(INT(E333)+MOD(F333,1)&gt;=INT(Sheet3!$A$2:$A$500)),0)),0)</f>
        <v>0</v>
      </c>
      <c r="N333" s="1" t="n">
        <f aca="false">IF(OR( AND(Q333=6,D333&gt;=TIME(17,0,0),OR(K333="12H Night",K333="Couple Half Night",K333="24H Night",K333="Couple Full Night")), AND(Q333=7,D333&gt;=TIME(6,0,0),D333&lt;TIME(12,0,0),OR(K333="12H Day",K333="Couple Half Day",K333="24H Day",K333="Couple Full Day")) ),1,0)</f>
        <v>0</v>
      </c>
      <c r="O333" s="1" t="n">
        <f aca="false">IF(OR( AND(MONTH(C333)=12,DAY(C333)&gt;=26), AND(MONTH(C333)=4,DAY(C333)&gt;=15), MONTH(C333)=5, AND(MONTH(C333)=6,DAY(C333)&lt;=10) ),1,0)</f>
        <v>0</v>
      </c>
      <c r="P333" s="1" t="str">
        <f aca="false">IF(OR(MONTH(C333)=3,MONTH(C333)=4,MONTH(C333)=5,MONTH(C333)=6), "Summer", IF(OR(MONTH(C333)=7,MONTH(C333)=8,MONTH(C333)=9,MONTH(C333)=10), "Monsoon", "Winter"))</f>
        <v>Winter</v>
      </c>
      <c r="Q333" s="1" t="n">
        <f aca="false">WEEKDAY(C333,2)</f>
        <v>2</v>
      </c>
      <c r="R333" s="0" t="n">
        <f aca="false">ROUNDDOWN(((INT(C333)+MOD(D333,1))-(INT(I333)+MOD(J333,1))),0)</f>
        <v>0</v>
      </c>
      <c r="S333" s="10"/>
    </row>
    <row r="334" customFormat="false" ht="225.35" hidden="false" customHeight="false" outlineLevel="0" collapsed="false">
      <c r="A334" s="8" t="s">
        <v>599</v>
      </c>
      <c r="B334" s="22" t="s">
        <v>600</v>
      </c>
      <c r="C334" s="18" t="n">
        <v>45707.375</v>
      </c>
      <c r="D334" s="19" t="n">
        <v>45707.375</v>
      </c>
      <c r="E334" s="18" t="n">
        <v>45707.75</v>
      </c>
      <c r="F334" s="19" t="n">
        <v>45707.75</v>
      </c>
      <c r="G334" s="20" t="n">
        <v>2500</v>
      </c>
      <c r="H334" s="8" t="n">
        <v>2</v>
      </c>
      <c r="I334" s="10" t="n">
        <v>45705</v>
      </c>
      <c r="J334" s="11" t="n">
        <v>0.760729166664537</v>
      </c>
      <c r="K334" s="1" t="str">
        <f aca="false">IF(L334&gt;24,     IF(H334=2,"Couple Extended Day","Extended Day"), IF(L334&lt;=12,     IF(AND(MOD(D334,1)&gt;=TIME(6,0,0),MOD(D334,1)&lt;TIME(18,0,0)),         IF(H334=2,"Couple Half Day","12H Day"),         IF(H334=2,"Couple Half Night","12H Night")), IF(L334&lt;=24,     IF(AND(MOD(D334,1)&gt;=TIME(6,0,0),MOD(D334,1)&lt;TIME(18,0,0)),         IF(H334=2,"Couple Full Day","24H Day"),         IF(H334=2,"Couple Full Night","24H Night")), "Check Data")))</f>
        <v>Couple Half Day</v>
      </c>
      <c r="L334" s="12" t="n">
        <f aca="false">((INT(E334)+MOD(F334,1))-(INT(C334)+MOD(D334,1)))*24</f>
        <v>9</v>
      </c>
      <c r="M334" s="1" t="n">
        <f aca="false">IFERROR(INDEX(Sheet3!$B$2:$B$500,MATCH(1,(INT(C334)+MOD(D334,1)&lt;INT(Sheet3!$A$2:$A$500)+TIME(18,0,0))*(INT(E334)+MOD(F334,1)&gt;=INT(Sheet3!$A$2:$A$500)),0)),0)</f>
        <v>0</v>
      </c>
      <c r="N334" s="1" t="n">
        <f aca="false">IF(OR( AND(Q334=6,D334&gt;=TIME(17,0,0),OR(K334="12H Night",K334="Couple Half Night",K334="24H Night",K334="Couple Full Night")), AND(Q334=7,D334&gt;=TIME(6,0,0),D334&lt;TIME(12,0,0),OR(K334="12H Day",K334="Couple Half Day",K334="24H Day",K334="Couple Full Day")) ),1,0)</f>
        <v>0</v>
      </c>
      <c r="O334" s="1" t="n">
        <f aca="false">IF(OR( AND(MONTH(C334)=12,DAY(C334)&gt;=26), AND(MONTH(C334)=4,DAY(C334)&gt;=15), MONTH(C334)=5, AND(MONTH(C334)=6,DAY(C334)&lt;=10) ),1,0)</f>
        <v>0</v>
      </c>
      <c r="P334" s="1" t="str">
        <f aca="false">IF(OR(MONTH(C334)=3,MONTH(C334)=4,MONTH(C334)=5,MONTH(C334)=6), "Summer", IF(OR(MONTH(C334)=7,MONTH(C334)=8,MONTH(C334)=9,MONTH(C334)=10), "Monsoon", "Winter"))</f>
        <v>Winter</v>
      </c>
      <c r="Q334" s="1" t="n">
        <f aca="false">WEEKDAY(C334,2)</f>
        <v>3</v>
      </c>
      <c r="R334" s="0" t="n">
        <f aca="false">ROUNDDOWN(((INT(C334)+MOD(D334,1))-(INT(I334)+MOD(J334,1))),0)</f>
        <v>1</v>
      </c>
      <c r="S334" s="10"/>
    </row>
    <row r="335" customFormat="false" ht="238.45" hidden="false" customHeight="false" outlineLevel="0" collapsed="false">
      <c r="A335" s="8" t="s">
        <v>108</v>
      </c>
      <c r="B335" s="22" t="s">
        <v>601</v>
      </c>
      <c r="C335" s="18" t="n">
        <v>45708.375</v>
      </c>
      <c r="D335" s="19" t="n">
        <v>45708.375</v>
      </c>
      <c r="E335" s="18" t="n">
        <v>45708.7083333333</v>
      </c>
      <c r="F335" s="19" t="n">
        <v>0</v>
      </c>
      <c r="G335" s="20" t="n">
        <v>2000</v>
      </c>
      <c r="H335" s="8" t="n">
        <v>2</v>
      </c>
      <c r="I335" s="10" t="n">
        <v>45706</v>
      </c>
      <c r="J335" s="11" t="n">
        <v>0.676250000004074</v>
      </c>
      <c r="K335" s="1" t="str">
        <f aca="false">IF(L335&gt;24,     IF(H335=2,"Couple Extended Day","Extended Day"), IF(L335&lt;=12,     IF(AND(MOD(D335,1)&gt;=TIME(6,0,0),MOD(D335,1)&lt;TIME(18,0,0)),         IF(H335=2,"Couple Half Day","12H Day"),         IF(H335=2,"Couple Half Night","12H Night")), IF(L335&lt;=24,     IF(AND(MOD(D335,1)&gt;=TIME(6,0,0),MOD(D335,1)&lt;TIME(18,0,0)),         IF(H335=2,"Couple Full Day","24H Day"),         IF(H335=2,"Couple Full Night","24H Night")), "Check Data")))</f>
        <v>Couple Half Day</v>
      </c>
      <c r="L335" s="12" t="n">
        <f aca="false">((INT(E335)+MOD(F335,1))-(INT(C335)+MOD(D335,1)))*24</f>
        <v>-9</v>
      </c>
      <c r="M335" s="1" t="n">
        <f aca="false">IFERROR(INDEX(Sheet3!$B$2:$B$500,MATCH(1,(INT(C335)+MOD(D335,1)&lt;INT(Sheet3!$A$2:$A$500)+TIME(18,0,0))*(INT(E335)+MOD(F335,1)&gt;=INT(Sheet3!$A$2:$A$500)),0)),0)</f>
        <v>0</v>
      </c>
      <c r="N335" s="1" t="n">
        <f aca="false">IF(OR( AND(Q335=6,D335&gt;=TIME(17,0,0),OR(K335="12H Night",K335="Couple Half Night",K335="24H Night",K335="Couple Full Night")), AND(Q335=7,D335&gt;=TIME(6,0,0),D335&lt;TIME(12,0,0),OR(K335="12H Day",K335="Couple Half Day",K335="24H Day",K335="Couple Full Day")) ),1,0)</f>
        <v>0</v>
      </c>
      <c r="O335" s="1" t="n">
        <f aca="false">IF(OR( AND(MONTH(C335)=12,DAY(C335)&gt;=26), AND(MONTH(C335)=4,DAY(C335)&gt;=15), MONTH(C335)=5, AND(MONTH(C335)=6,DAY(C335)&lt;=10) ),1,0)</f>
        <v>0</v>
      </c>
      <c r="P335" s="1" t="str">
        <f aca="false">IF(OR(MONTH(C335)=3,MONTH(C335)=4,MONTH(C335)=5,MONTH(C335)=6), "Summer", IF(OR(MONTH(C335)=7,MONTH(C335)=8,MONTH(C335)=9,MONTH(C335)=10), "Monsoon", "Winter"))</f>
        <v>Winter</v>
      </c>
      <c r="Q335" s="1" t="n">
        <f aca="false">WEEKDAY(C335,2)</f>
        <v>4</v>
      </c>
      <c r="R335" s="0" t="n">
        <f aca="false">ROUNDDOWN(((INT(C335)+MOD(D335,1))-(INT(I335)+MOD(J335,1))),0)</f>
        <v>1</v>
      </c>
      <c r="S335" s="10"/>
    </row>
    <row r="336" customFormat="false" ht="41.3" hidden="false" customHeight="false" outlineLevel="0" collapsed="false">
      <c r="A336" s="8" t="s">
        <v>353</v>
      </c>
      <c r="B336" s="22" t="s">
        <v>602</v>
      </c>
      <c r="C336" s="18" t="n">
        <v>45708.7916666667</v>
      </c>
      <c r="D336" s="19" t="n">
        <v>45708.7916666667</v>
      </c>
      <c r="E336" s="18" t="n">
        <v>45709.75</v>
      </c>
      <c r="F336" s="19" t="n">
        <v>45709.75</v>
      </c>
      <c r="G336" s="20" t="n">
        <v>0</v>
      </c>
      <c r="I336" s="10" t="n">
        <v>45700</v>
      </c>
      <c r="J336" s="11" t="n">
        <v>0.412986111114155</v>
      </c>
      <c r="K336" s="1" t="str">
        <f aca="false">IF(L336&gt;24,     IF(H336=2,"Couple Extended Day","Extended Day"), IF(L336&lt;=12,     IF(AND(MOD(D336,1)&gt;=TIME(6,0,0),MOD(D336,1)&lt;TIME(18,0,0)),         IF(H336=2,"Couple Half Day","12H Day"),         IF(H336=2,"Couple Half Night","12H Night")), IF(L336&lt;=24,     IF(AND(MOD(D336,1)&gt;=TIME(6,0,0),MOD(D336,1)&lt;TIME(18,0,0)),         IF(H336=2,"Couple Full Day","24H Day"),         IF(H336=2,"Couple Full Night","24H Night")), "Check Data")))</f>
        <v>24H Night</v>
      </c>
      <c r="L336" s="12" t="n">
        <f aca="false">((INT(E336)+MOD(F336,1))-(INT(C336)+MOD(D336,1)))*24</f>
        <v>22.9999999990105</v>
      </c>
      <c r="M336" s="1" t="n">
        <f aca="false">IFERROR(INDEX(Sheet3!$B$2:$B$500,MATCH(1,(INT(C336)+MOD(D336,1)&lt;INT(Sheet3!$A$2:$A$500)+TIME(18,0,0))*(INT(E336)+MOD(F336,1)&gt;=INT(Sheet3!$A$2:$A$500)),0)),0)</f>
        <v>0</v>
      </c>
      <c r="N336" s="1" t="n">
        <f aca="false">IF(OR( AND(Q336=6,D336&gt;=TIME(17,0,0),OR(K336="12H Night",K336="Couple Half Night",K336="24H Night",K336="Couple Full Night")), AND(Q336=7,D336&gt;=TIME(6,0,0),D336&lt;TIME(12,0,0),OR(K336="12H Day",K336="Couple Half Day",K336="24H Day",K336="Couple Full Day")) ),1,0)</f>
        <v>0</v>
      </c>
      <c r="O336" s="1" t="n">
        <f aca="false">IF(OR( AND(MONTH(C336)=12,DAY(C336)&gt;=26), AND(MONTH(C336)=4,DAY(C336)&gt;=15), MONTH(C336)=5, AND(MONTH(C336)=6,DAY(C336)&lt;=10) ),1,0)</f>
        <v>0</v>
      </c>
      <c r="P336" s="1" t="str">
        <f aca="false">IF(OR(MONTH(C336)=3,MONTH(C336)=4,MONTH(C336)=5,MONTH(C336)=6), "Summer", IF(OR(MONTH(C336)=7,MONTH(C336)=8,MONTH(C336)=9,MONTH(C336)=10), "Monsoon", "Winter"))</f>
        <v>Winter</v>
      </c>
      <c r="Q336" s="1" t="n">
        <f aca="false">WEEKDAY(C336,2)</f>
        <v>4</v>
      </c>
      <c r="R336" s="0" t="n">
        <f aca="false">ROUNDDOWN(((INT(C336)+MOD(D336,1))-(INT(I336)+MOD(J336,1))),0)</f>
        <v>8</v>
      </c>
      <c r="S336" s="10"/>
    </row>
    <row r="337" customFormat="false" ht="15.75" hidden="false" customHeight="false" outlineLevel="0" collapsed="false">
      <c r="A337" s="8" t="s">
        <v>603</v>
      </c>
      <c r="B337" s="8" t="s">
        <v>604</v>
      </c>
      <c r="C337" s="18" t="n">
        <v>45710.5</v>
      </c>
      <c r="D337" s="19" t="n">
        <v>45710.5</v>
      </c>
      <c r="E337" s="18" t="n">
        <v>45710.75</v>
      </c>
      <c r="F337" s="19" t="n">
        <v>45710.75</v>
      </c>
      <c r="G337" s="20" t="n">
        <v>1500</v>
      </c>
      <c r="I337" s="10" t="n">
        <v>45709</v>
      </c>
      <c r="J337" s="11" t="n">
        <v>0.964479166665116</v>
      </c>
      <c r="K337" s="1" t="str">
        <f aca="false">IF(L337&gt;24,     IF(H337=2,"Couple Extended Day","Extended Day"), IF(L337&lt;=12,     IF(AND(MOD(D337,1)&gt;=TIME(6,0,0),MOD(D337,1)&lt;TIME(18,0,0)),         IF(H337=2,"Couple Half Day","12H Day"),         IF(H337=2,"Couple Half Night","12H Night")), IF(L337&lt;=24,     IF(AND(MOD(D337,1)&gt;=TIME(6,0,0),MOD(D337,1)&lt;TIME(18,0,0)),         IF(H337=2,"Couple Full Day","24H Day"),         IF(H337=2,"Couple Full Night","24H Night")), "Check Data")))</f>
        <v>12H Day</v>
      </c>
      <c r="L337" s="12" t="n">
        <f aca="false">((INT(E337)+MOD(F337,1))-(INT(C337)+MOD(D337,1)))*24</f>
        <v>6</v>
      </c>
      <c r="M337" s="1" t="n">
        <f aca="false">IFERROR(INDEX(Sheet3!$B$2:$B$500,MATCH(1,(INT(C337)+MOD(D337,1)&lt;INT(Sheet3!$A$2:$A$500)+TIME(18,0,0))*(INT(E337)+MOD(F337,1)&gt;=INT(Sheet3!$A$2:$A$500)),0)),0)</f>
        <v>0</v>
      </c>
      <c r="N337" s="1" t="n">
        <f aca="false">IF(OR( AND(Q337=6,D337&gt;=TIME(17,0,0),OR(K337="12H Night",K337="Couple Half Night",K337="24H Night",K337="Couple Full Night")), AND(Q337=7,D337&gt;=TIME(6,0,0),D337&lt;TIME(12,0,0),OR(K337="12H Day",K337="Couple Half Day",K337="24H Day",K337="Couple Full Day")) ),1,0)</f>
        <v>0</v>
      </c>
      <c r="O337" s="1" t="n">
        <f aca="false">IF(OR( AND(MONTH(C337)=12,DAY(C337)&gt;=26), AND(MONTH(C337)=4,DAY(C337)&gt;=15), MONTH(C337)=5, AND(MONTH(C337)=6,DAY(C337)&lt;=10) ),1,0)</f>
        <v>0</v>
      </c>
      <c r="P337" s="1" t="str">
        <f aca="false">IF(OR(MONTH(C337)=3,MONTH(C337)=4,MONTH(C337)=5,MONTH(C337)=6), "Summer", IF(OR(MONTH(C337)=7,MONTH(C337)=8,MONTH(C337)=9,MONTH(C337)=10), "Monsoon", "Winter"))</f>
        <v>Winter</v>
      </c>
      <c r="Q337" s="1" t="n">
        <f aca="false">WEEKDAY(C337,2)</f>
        <v>6</v>
      </c>
      <c r="R337" s="0" t="n">
        <f aca="false">ROUNDDOWN(((INT(C337)+MOD(D337,1))-(INT(I337)+MOD(J337,1))),0)</f>
        <v>0</v>
      </c>
      <c r="S337" s="10"/>
    </row>
    <row r="338" customFormat="false" ht="133.3" hidden="false" customHeight="false" outlineLevel="0" collapsed="false">
      <c r="A338" s="8" t="s">
        <v>605</v>
      </c>
      <c r="B338" s="22" t="s">
        <v>606</v>
      </c>
      <c r="C338" s="18" t="n">
        <v>45711.5</v>
      </c>
      <c r="D338" s="19" t="n">
        <v>45711.5</v>
      </c>
      <c r="E338" s="18" t="n">
        <v>45711.9583333333</v>
      </c>
      <c r="F338" s="19" t="n">
        <v>0</v>
      </c>
      <c r="G338" s="20" t="n">
        <v>3500</v>
      </c>
      <c r="H338" s="8" t="n">
        <v>8</v>
      </c>
      <c r="I338" s="10" t="n">
        <v>45710</v>
      </c>
      <c r="J338" s="11" t="n">
        <v>0.782800925924676</v>
      </c>
      <c r="K338" s="1" t="str">
        <f aca="false">IF(L338&gt;24,     IF(H338=2,"Couple Extended Day","Extended Day"), IF(L338&lt;=12,     IF(AND(MOD(D338,1)&gt;=TIME(6,0,0),MOD(D338,1)&lt;TIME(18,0,0)),         IF(H338=2,"Couple Half Day","12H Day"),         IF(H338=2,"Couple Half Night","12H Night")), IF(L338&lt;=24,     IF(AND(MOD(D338,1)&gt;=TIME(6,0,0),MOD(D338,1)&lt;TIME(18,0,0)),         IF(H338=2,"Couple Full Day","24H Day"),         IF(H338=2,"Couple Full Night","24H Night")), "Check Data")))</f>
        <v>12H Day</v>
      </c>
      <c r="L338" s="12" t="n">
        <f aca="false">((INT(E338)+MOD(F338,1))-(INT(C338)+MOD(D338,1)))*24</f>
        <v>-12</v>
      </c>
      <c r="M338" s="1" t="n">
        <f aca="false">IFERROR(INDEX(Sheet3!$B$2:$B$500,MATCH(1,(INT(C338)+MOD(D338,1)&lt;INT(Sheet3!$A$2:$A$500)+TIME(18,0,0))*(INT(E338)+MOD(F338,1)&gt;=INT(Sheet3!$A$2:$A$500)),0)),0)</f>
        <v>0</v>
      </c>
      <c r="N338" s="1" t="n">
        <f aca="false">IF(OR( AND(Q338=6,D338&gt;=TIME(17,0,0),OR(K338="12H Night",K338="Couple Half Night",K338="24H Night",K338="Couple Full Night")), AND(Q338=7,D338&gt;=TIME(6,0,0),D338&lt;TIME(12,0,0),OR(K338="12H Day",K338="Couple Half Day",K338="24H Day",K338="Couple Full Day")) ),1,0)</f>
        <v>0</v>
      </c>
      <c r="O338" s="1" t="n">
        <f aca="false">IF(OR( AND(MONTH(C338)=12,DAY(C338)&gt;=26), AND(MONTH(C338)=4,DAY(C338)&gt;=15), MONTH(C338)=5, AND(MONTH(C338)=6,DAY(C338)&lt;=10) ),1,0)</f>
        <v>0</v>
      </c>
      <c r="P338" s="1" t="str">
        <f aca="false">IF(OR(MONTH(C338)=3,MONTH(C338)=4,MONTH(C338)=5,MONTH(C338)=6), "Summer", IF(OR(MONTH(C338)=7,MONTH(C338)=8,MONTH(C338)=9,MONTH(C338)=10), "Monsoon", "Winter"))</f>
        <v>Winter</v>
      </c>
      <c r="Q338" s="1" t="n">
        <f aca="false">WEEKDAY(C338,2)</f>
        <v>7</v>
      </c>
      <c r="R338" s="0" t="n">
        <f aca="false">ROUNDDOWN(((INT(C338)+MOD(D338,1))-(INT(I338)+MOD(J338,1))),0)</f>
        <v>0</v>
      </c>
      <c r="S338" s="10"/>
    </row>
    <row r="339" customFormat="false" ht="199.05" hidden="false" customHeight="false" outlineLevel="0" collapsed="false">
      <c r="A339" s="8" t="s">
        <v>607</v>
      </c>
      <c r="B339" s="22" t="s">
        <v>608</v>
      </c>
      <c r="C339" s="18" t="n">
        <v>45719.7916666667</v>
      </c>
      <c r="D339" s="19" t="n">
        <v>45719.7916666667</v>
      </c>
      <c r="E339" s="18" t="n">
        <v>45720.75</v>
      </c>
      <c r="F339" s="19" t="n">
        <v>45720.75</v>
      </c>
      <c r="G339" s="20" t="n">
        <v>4000</v>
      </c>
      <c r="H339" s="8" t="n">
        <v>10</v>
      </c>
      <c r="I339" s="10" t="n">
        <v>45715</v>
      </c>
      <c r="J339" s="11" t="n">
        <v>0.506932870368472</v>
      </c>
      <c r="K339" s="1" t="str">
        <f aca="false">IF(L339&gt;24,     IF(H339=2,"Couple Extended Day","Extended Day"), IF(L339&lt;=12,     IF(AND(MOD(D339,1)&gt;=TIME(6,0,0),MOD(D339,1)&lt;TIME(18,0,0)),         IF(H339=2,"Couple Half Day","12H Day"),         IF(H339=2,"Couple Half Night","12H Night")), IF(L339&lt;=24,     IF(AND(MOD(D339,1)&gt;=TIME(6,0,0),MOD(D339,1)&lt;TIME(18,0,0)),         IF(H339=2,"Couple Full Day","24H Day"),         IF(H339=2,"Couple Full Night","24H Night")), "Check Data")))</f>
        <v>24H Night</v>
      </c>
      <c r="L339" s="12" t="n">
        <f aca="false">((INT(E339)+MOD(F339,1))-(INT(C339)+MOD(D339,1)))*24</f>
        <v>22.9999999990105</v>
      </c>
      <c r="M339" s="1" t="n">
        <f aca="false">IFERROR(INDEX(Sheet3!$B$2:$B$500,MATCH(1,(INT(C339)+MOD(D339,1)&lt;INT(Sheet3!$A$2:$A$500)+TIME(18,0,0))*(INT(E339)+MOD(F339,1)&gt;=INT(Sheet3!$A$2:$A$500)),0)),0)</f>
        <v>0</v>
      </c>
      <c r="N339" s="1" t="n">
        <f aca="false">IF(OR( AND(Q339=6,D339&gt;=TIME(17,0,0),OR(K339="12H Night",K339="Couple Half Night",K339="24H Night",K339="Couple Full Night")), AND(Q339=7,D339&gt;=TIME(6,0,0),D339&lt;TIME(12,0,0),OR(K339="12H Day",K339="Couple Half Day",K339="24H Day",K339="Couple Full Day")) ),1,0)</f>
        <v>0</v>
      </c>
      <c r="O339" s="1" t="n">
        <f aca="false">IF(OR( AND(MONTH(C339)=12,DAY(C339)&gt;=26), AND(MONTH(C339)=4,DAY(C339)&gt;=15), MONTH(C339)=5, AND(MONTH(C339)=6,DAY(C339)&lt;=10) ),1,0)</f>
        <v>0</v>
      </c>
      <c r="P339" s="1" t="str">
        <f aca="false">IF(OR(MONTH(C339)=3,MONTH(C339)=4,MONTH(C339)=5,MONTH(C339)=6), "Summer", IF(OR(MONTH(C339)=7,MONTH(C339)=8,MONTH(C339)=9,MONTH(C339)=10), "Monsoon", "Winter"))</f>
        <v>Summer</v>
      </c>
      <c r="Q339" s="1" t="n">
        <f aca="false">WEEKDAY(C339,2)</f>
        <v>1</v>
      </c>
      <c r="R339" s="0" t="n">
        <f aca="false">ROUNDDOWN(((INT(C339)+MOD(D339,1))-(INT(I339)+MOD(J339,1))),0)</f>
        <v>4</v>
      </c>
      <c r="S339" s="10"/>
    </row>
    <row r="340" customFormat="false" ht="192.95" hidden="false" customHeight="false" outlineLevel="0" collapsed="false">
      <c r="A340" s="8" t="s">
        <v>575</v>
      </c>
      <c r="B340" s="22" t="s">
        <v>609</v>
      </c>
      <c r="C340" s="18" t="n">
        <v>45720.7916666667</v>
      </c>
      <c r="D340" s="19" t="n">
        <v>45720.7916666667</v>
      </c>
      <c r="E340" s="18" t="n">
        <v>45721.3125</v>
      </c>
      <c r="F340" s="19" t="n">
        <v>45721.3125</v>
      </c>
      <c r="G340" s="20" t="n">
        <v>2500</v>
      </c>
      <c r="H340" s="8" t="n">
        <v>7</v>
      </c>
      <c r="I340" s="10" t="n">
        <v>45719</v>
      </c>
      <c r="J340" s="11" t="n">
        <v>0.941759259258102</v>
      </c>
      <c r="K340" s="1" t="str">
        <f aca="false">IF(L340&gt;24,     IF(H340=2,"Couple Extended Day","Extended Day"), IF(L340&lt;=12,     IF(AND(MOD(D340,1)&gt;=TIME(6,0,0),MOD(D340,1)&lt;TIME(18,0,0)),         IF(H340=2,"Couple Half Day","12H Day"),         IF(H340=2,"Couple Half Night","12H Night")), IF(L340&lt;=24,     IF(AND(MOD(D340,1)&gt;=TIME(6,0,0),MOD(D340,1)&lt;TIME(18,0,0)),         IF(H340=2,"Couple Full Day","24H Day"),         IF(H340=2,"Couple Full Night","24H Night")), "Check Data")))</f>
        <v>24H Night</v>
      </c>
      <c r="L340" s="12" t="n">
        <f aca="false">((INT(E340)+MOD(F340,1))-(INT(C340)+MOD(D340,1)))*24</f>
        <v>12.4999999990105</v>
      </c>
      <c r="M340" s="1" t="n">
        <f aca="false">IFERROR(INDEX(Sheet3!$B$2:$B$500,MATCH(1,(INT(C340)+MOD(D340,1)&lt;INT(Sheet3!$A$2:$A$500)+TIME(18,0,0))*(INT(E340)+MOD(F340,1)&gt;=INT(Sheet3!$A$2:$A$500)),0)),0)</f>
        <v>0</v>
      </c>
      <c r="N340" s="1" t="n">
        <f aca="false">IF(OR( AND(Q340=6,D340&gt;=TIME(17,0,0),OR(K340="12H Night",K340="Couple Half Night",K340="24H Night",K340="Couple Full Night")), AND(Q340=7,D340&gt;=TIME(6,0,0),D340&lt;TIME(12,0,0),OR(K340="12H Day",K340="Couple Half Day",K340="24H Day",K340="Couple Full Day")) ),1,0)</f>
        <v>0</v>
      </c>
      <c r="O340" s="1" t="n">
        <f aca="false">IF(OR( AND(MONTH(C340)=12,DAY(C340)&gt;=26), AND(MONTH(C340)=4,DAY(C340)&gt;=15), MONTH(C340)=5, AND(MONTH(C340)=6,DAY(C340)&lt;=10) ),1,0)</f>
        <v>0</v>
      </c>
      <c r="P340" s="1" t="str">
        <f aca="false">IF(OR(MONTH(C340)=3,MONTH(C340)=4,MONTH(C340)=5,MONTH(C340)=6), "Summer", IF(OR(MONTH(C340)=7,MONTH(C340)=8,MONTH(C340)=9,MONTH(C340)=10), "Monsoon", "Winter"))</f>
        <v>Summer</v>
      </c>
      <c r="Q340" s="1" t="n">
        <f aca="false">WEEKDAY(C340,2)</f>
        <v>2</v>
      </c>
      <c r="R340" s="0" t="n">
        <f aca="false">ROUNDDOWN(((INT(C340)+MOD(D340,1))-(INT(I340)+MOD(J340,1))),0)</f>
        <v>0</v>
      </c>
      <c r="S340" s="10"/>
    </row>
    <row r="341" customFormat="false" ht="192.95" hidden="false" customHeight="false" outlineLevel="0" collapsed="false">
      <c r="A341" s="8" t="s">
        <v>277</v>
      </c>
      <c r="B341" s="22" t="s">
        <v>610</v>
      </c>
      <c r="C341" s="18" t="n">
        <v>45724.7916666667</v>
      </c>
      <c r="D341" s="19" t="n">
        <v>45724.7916666667</v>
      </c>
      <c r="E341" s="18" t="n">
        <v>45725.75</v>
      </c>
      <c r="F341" s="19" t="n">
        <v>45725.75</v>
      </c>
      <c r="G341" s="20" t="n">
        <v>7000</v>
      </c>
      <c r="H341" s="8" t="n">
        <v>11</v>
      </c>
      <c r="I341" s="10" t="n">
        <v>45723</v>
      </c>
      <c r="J341" s="11" t="n">
        <v>0.719756944439722</v>
      </c>
      <c r="K341" s="1" t="str">
        <f aca="false">IF(L341&gt;24,     IF(H341=2,"Couple Extended Day","Extended Day"), IF(L341&lt;=12,     IF(AND(MOD(D341,1)&gt;=TIME(6,0,0),MOD(D341,1)&lt;TIME(18,0,0)),         IF(H341=2,"Couple Half Day","12H Day"),         IF(H341=2,"Couple Half Night","12H Night")), IF(L341&lt;=24,     IF(AND(MOD(D341,1)&gt;=TIME(6,0,0),MOD(D341,1)&lt;TIME(18,0,0)),         IF(H341=2,"Couple Full Day","24H Day"),         IF(H341=2,"Couple Full Night","24H Night")), "Check Data")))</f>
        <v>24H Night</v>
      </c>
      <c r="L341" s="12" t="n">
        <f aca="false">((INT(E341)+MOD(F341,1))-(INT(C341)+MOD(D341,1)))*24</f>
        <v>22.9999999990105</v>
      </c>
      <c r="M341" s="1" t="n">
        <f aca="false">IFERROR(INDEX(Sheet3!$B$2:$B$500,MATCH(1,(INT(C341)+MOD(D341,1)&lt;INT(Sheet3!$A$2:$A$500)+TIME(18,0,0))*(INT(E341)+MOD(F341,1)&gt;=INT(Sheet3!$A$2:$A$500)),0)),0)</f>
        <v>0</v>
      </c>
      <c r="N341" s="1" t="n">
        <f aca="false">IF(OR( AND(Q341=6,D341&gt;=TIME(17,0,0),OR(K341="12H Night",K341="Couple Half Night",K341="24H Night",K341="Couple Full Night")), AND(Q341=7,D341&gt;=TIME(6,0,0),D341&lt;TIME(12,0,0),OR(K341="12H Day",K341="Couple Half Day",K341="24H Day",K341="Couple Full Day")) ),1,0)</f>
        <v>1</v>
      </c>
      <c r="O341" s="1" t="n">
        <f aca="false">IF(OR( AND(MONTH(C341)=12,DAY(C341)&gt;=26), AND(MONTH(C341)=4,DAY(C341)&gt;=15), MONTH(C341)=5, AND(MONTH(C341)=6,DAY(C341)&lt;=10) ),1,0)</f>
        <v>0</v>
      </c>
      <c r="P341" s="1" t="str">
        <f aca="false">IF(OR(MONTH(C341)=3,MONTH(C341)=4,MONTH(C341)=5,MONTH(C341)=6), "Summer", IF(OR(MONTH(C341)=7,MONTH(C341)=8,MONTH(C341)=9,MONTH(C341)=10), "Monsoon", "Winter"))</f>
        <v>Summer</v>
      </c>
      <c r="Q341" s="1" t="n">
        <f aca="false">WEEKDAY(C341,2)</f>
        <v>6</v>
      </c>
      <c r="R341" s="0" t="n">
        <f aca="false">ROUNDDOWN(((INT(C341)+MOD(D341,1))-(INT(I341)+MOD(J341,1))),0)</f>
        <v>1</v>
      </c>
      <c r="S341" s="10"/>
    </row>
    <row r="342" customFormat="false" ht="204.9" hidden="false" customHeight="false" outlineLevel="0" collapsed="false">
      <c r="A342" s="8" t="s">
        <v>611</v>
      </c>
      <c r="B342" s="22" t="s">
        <v>612</v>
      </c>
      <c r="C342" s="18" t="n">
        <v>45725.7916666667</v>
      </c>
      <c r="D342" s="19" t="n">
        <v>45725.7916666667</v>
      </c>
      <c r="E342" s="18" t="n">
        <v>45726.75</v>
      </c>
      <c r="F342" s="19" t="n">
        <v>45726.75</v>
      </c>
      <c r="G342" s="20" t="n">
        <v>4000</v>
      </c>
      <c r="H342" s="8" t="n">
        <v>7</v>
      </c>
      <c r="I342" s="10" t="n">
        <v>45725</v>
      </c>
      <c r="J342" s="11" t="n">
        <v>0.760648148148901</v>
      </c>
      <c r="K342" s="1" t="str">
        <f aca="false">IF(L342&gt;24,     IF(H342=2,"Couple Extended Day","Extended Day"), IF(L342&lt;=12,     IF(AND(MOD(D342,1)&gt;=TIME(6,0,0),MOD(D342,1)&lt;TIME(18,0,0)),         IF(H342=2,"Couple Half Day","12H Day"),         IF(H342=2,"Couple Half Night","12H Night")), IF(L342&lt;=24,     IF(AND(MOD(D342,1)&gt;=TIME(6,0,0),MOD(D342,1)&lt;TIME(18,0,0)),         IF(H342=2,"Couple Full Day","24H Day"),         IF(H342=2,"Couple Full Night","24H Night")), "Check Data")))</f>
        <v>24H Night</v>
      </c>
      <c r="L342" s="12" t="n">
        <f aca="false">((INT(E342)+MOD(F342,1))-(INT(C342)+MOD(D342,1)))*24</f>
        <v>22.9999999990105</v>
      </c>
      <c r="M342" s="1" t="n">
        <f aca="false">IFERROR(INDEX(Sheet3!$B$2:$B$500,MATCH(1,(INT(C342)+MOD(D342,1)&lt;INT(Sheet3!$A$2:$A$500)+TIME(18,0,0))*(INT(E342)+MOD(F342,1)&gt;=INT(Sheet3!$A$2:$A$500)),0)),0)</f>
        <v>0</v>
      </c>
      <c r="N342" s="1" t="n">
        <f aca="false">IF(OR( AND(Q342=6,D342&gt;=TIME(17,0,0),OR(K342="12H Night",K342="Couple Half Night",K342="24H Night",K342="Couple Full Night")), AND(Q342=7,D342&gt;=TIME(6,0,0),D342&lt;TIME(12,0,0),OR(K342="12H Day",K342="Couple Half Day",K342="24H Day",K342="Couple Full Day")) ),1,0)</f>
        <v>0</v>
      </c>
      <c r="O342" s="1" t="n">
        <f aca="false">IF(OR( AND(MONTH(C342)=12,DAY(C342)&gt;=26), AND(MONTH(C342)=4,DAY(C342)&gt;=15), MONTH(C342)=5, AND(MONTH(C342)=6,DAY(C342)&lt;=10) ),1,0)</f>
        <v>0</v>
      </c>
      <c r="P342" s="1" t="str">
        <f aca="false">IF(OR(MONTH(C342)=3,MONTH(C342)=4,MONTH(C342)=5,MONTH(C342)=6), "Summer", IF(OR(MONTH(C342)=7,MONTH(C342)=8,MONTH(C342)=9,MONTH(C342)=10), "Monsoon", "Winter"))</f>
        <v>Summer</v>
      </c>
      <c r="Q342" s="1" t="n">
        <f aca="false">WEEKDAY(C342,2)</f>
        <v>7</v>
      </c>
      <c r="R342" s="0" t="n">
        <f aca="false">ROUNDDOWN(((INT(C342)+MOD(D342,1))-(INT(I342)+MOD(J342,1))),0)</f>
        <v>0</v>
      </c>
      <c r="S342" s="10"/>
    </row>
    <row r="343" customFormat="false" ht="204.9" hidden="false" customHeight="false" outlineLevel="0" collapsed="false">
      <c r="A343" s="8" t="s">
        <v>365</v>
      </c>
      <c r="B343" s="22" t="s">
        <v>613</v>
      </c>
      <c r="C343" s="18" t="n">
        <v>45726.7916666667</v>
      </c>
      <c r="D343" s="19" t="n">
        <v>45726.7916666667</v>
      </c>
      <c r="E343" s="18" t="n">
        <v>45727.75</v>
      </c>
      <c r="F343" s="19" t="n">
        <v>45727.75</v>
      </c>
      <c r="G343" s="20" t="n">
        <v>5000</v>
      </c>
      <c r="H343" s="8" t="n">
        <v>10</v>
      </c>
      <c r="I343" s="10" t="n">
        <v>45723</v>
      </c>
      <c r="J343" s="11" t="n">
        <v>0.799537037033588</v>
      </c>
      <c r="K343" s="1" t="str">
        <f aca="false">IF(L343&gt;24,     IF(H343=2,"Couple Extended Day","Extended Day"), IF(L343&lt;=12,     IF(AND(MOD(D343,1)&gt;=TIME(6,0,0),MOD(D343,1)&lt;TIME(18,0,0)),         IF(H343=2,"Couple Half Day","12H Day"),         IF(H343=2,"Couple Half Night","12H Night")), IF(L343&lt;=24,     IF(AND(MOD(D343,1)&gt;=TIME(6,0,0),MOD(D343,1)&lt;TIME(18,0,0)),         IF(H343=2,"Couple Full Day","24H Day"),         IF(H343=2,"Couple Full Night","24H Night")), "Check Data")))</f>
        <v>24H Night</v>
      </c>
      <c r="L343" s="12" t="n">
        <f aca="false">((INT(E343)+MOD(F343,1))-(INT(C343)+MOD(D343,1)))*24</f>
        <v>22.9999999990105</v>
      </c>
      <c r="M343" s="1" t="n">
        <f aca="false">IFERROR(INDEX(Sheet3!$B$2:$B$500,MATCH(1,(INT(C343)+MOD(D343,1)&lt;INT(Sheet3!$A$2:$A$500)+TIME(18,0,0))*(INT(E343)+MOD(F343,1)&gt;=INT(Sheet3!$A$2:$A$500)),0)),0)</f>
        <v>0</v>
      </c>
      <c r="N343" s="1" t="n">
        <f aca="false">IF(OR( AND(Q343=6,D343&gt;=TIME(17,0,0),OR(K343="12H Night",K343="Couple Half Night",K343="24H Night",K343="Couple Full Night")), AND(Q343=7,D343&gt;=TIME(6,0,0),D343&lt;TIME(12,0,0),OR(K343="12H Day",K343="Couple Half Day",K343="24H Day",K343="Couple Full Day")) ),1,0)</f>
        <v>0</v>
      </c>
      <c r="O343" s="1" t="n">
        <f aca="false">IF(OR( AND(MONTH(C343)=12,DAY(C343)&gt;=26), AND(MONTH(C343)=4,DAY(C343)&gt;=15), MONTH(C343)=5, AND(MONTH(C343)=6,DAY(C343)&lt;=10) ),1,0)</f>
        <v>0</v>
      </c>
      <c r="P343" s="1" t="str">
        <f aca="false">IF(OR(MONTH(C343)=3,MONTH(C343)=4,MONTH(C343)=5,MONTH(C343)=6), "Summer", IF(OR(MONTH(C343)=7,MONTH(C343)=8,MONTH(C343)=9,MONTH(C343)=10), "Monsoon", "Winter"))</f>
        <v>Summer</v>
      </c>
      <c r="Q343" s="1" t="n">
        <f aca="false">WEEKDAY(C343,2)</f>
        <v>1</v>
      </c>
      <c r="R343" s="0" t="n">
        <f aca="false">ROUNDDOWN(((INT(C343)+MOD(D343,1))-(INT(I343)+MOD(J343,1))),0)</f>
        <v>2</v>
      </c>
      <c r="S343" s="10"/>
    </row>
    <row r="344" customFormat="false" ht="204.9" hidden="false" customHeight="false" outlineLevel="0" collapsed="false">
      <c r="A344" s="8" t="s">
        <v>614</v>
      </c>
      <c r="B344" s="22" t="s">
        <v>615</v>
      </c>
      <c r="C344" s="18" t="n">
        <v>45727.7916666667</v>
      </c>
      <c r="D344" s="19" t="n">
        <v>45727.7916666667</v>
      </c>
      <c r="E344" s="18" t="n">
        <v>45728.75</v>
      </c>
      <c r="F344" s="19" t="n">
        <v>45728.75</v>
      </c>
      <c r="G344" s="20" t="n">
        <v>5000</v>
      </c>
      <c r="H344" s="8" t="n">
        <v>10</v>
      </c>
      <c r="I344" s="10" t="n">
        <v>45721</v>
      </c>
      <c r="J344" s="11" t="n">
        <v>0.742106481484375</v>
      </c>
      <c r="K344" s="1" t="str">
        <f aca="false">IF(L344&gt;24,     IF(H344=2,"Couple Extended Day","Extended Day"), IF(L344&lt;=12,     IF(AND(MOD(D344,1)&gt;=TIME(6,0,0),MOD(D344,1)&lt;TIME(18,0,0)),         IF(H344=2,"Couple Half Day","12H Day"),         IF(H344=2,"Couple Half Night","12H Night")), IF(L344&lt;=24,     IF(AND(MOD(D344,1)&gt;=TIME(6,0,0),MOD(D344,1)&lt;TIME(18,0,0)),         IF(H344=2,"Couple Full Day","24H Day"),         IF(H344=2,"Couple Full Night","24H Night")), "Check Data")))</f>
        <v>24H Night</v>
      </c>
      <c r="L344" s="12" t="n">
        <f aca="false">((INT(E344)+MOD(F344,1))-(INT(C344)+MOD(D344,1)))*24</f>
        <v>22.9999999990105</v>
      </c>
      <c r="M344" s="1" t="n">
        <f aca="false">IFERROR(INDEX(Sheet3!$B$2:$B$500,MATCH(1,(INT(C344)+MOD(D344,1)&lt;INT(Sheet3!$A$2:$A$500)+TIME(18,0,0))*(INT(E344)+MOD(F344,1)&gt;=INT(Sheet3!$A$2:$A$500)),0)),0)</f>
        <v>0</v>
      </c>
      <c r="N344" s="1" t="n">
        <f aca="false">IF(OR( AND(Q344=6,D344&gt;=TIME(17,0,0),OR(K344="12H Night",K344="Couple Half Night",K344="24H Night",K344="Couple Full Night")), AND(Q344=7,D344&gt;=TIME(6,0,0),D344&lt;TIME(12,0,0),OR(K344="12H Day",K344="Couple Half Day",K344="24H Day",K344="Couple Full Day")) ),1,0)</f>
        <v>0</v>
      </c>
      <c r="O344" s="1" t="n">
        <f aca="false">IF(OR( AND(MONTH(C344)=12,DAY(C344)&gt;=26), AND(MONTH(C344)=4,DAY(C344)&gt;=15), MONTH(C344)=5, AND(MONTH(C344)=6,DAY(C344)&lt;=10) ),1,0)</f>
        <v>0</v>
      </c>
      <c r="P344" s="1" t="str">
        <f aca="false">IF(OR(MONTH(C344)=3,MONTH(C344)=4,MONTH(C344)=5,MONTH(C344)=6), "Summer", IF(OR(MONTH(C344)=7,MONTH(C344)=8,MONTH(C344)=9,MONTH(C344)=10), "Monsoon", "Winter"))</f>
        <v>Summer</v>
      </c>
      <c r="Q344" s="1" t="n">
        <f aca="false">WEEKDAY(C344,2)</f>
        <v>2</v>
      </c>
      <c r="R344" s="0" t="n">
        <f aca="false">ROUNDDOWN(((INT(C344)+MOD(D344,1))-(INT(I344)+MOD(J344,1))),0)</f>
        <v>6</v>
      </c>
      <c r="S344" s="10"/>
    </row>
    <row r="345" customFormat="false" ht="204.9" hidden="false" customHeight="false" outlineLevel="0" collapsed="false">
      <c r="A345" s="8" t="s">
        <v>616</v>
      </c>
      <c r="B345" s="22" t="s">
        <v>617</v>
      </c>
      <c r="C345" s="18" t="n">
        <v>45728.7916666667</v>
      </c>
      <c r="D345" s="19" t="n">
        <v>45728.7916666667</v>
      </c>
      <c r="E345" s="18" t="n">
        <v>45729.75</v>
      </c>
      <c r="F345" s="19" t="n">
        <v>45729.75</v>
      </c>
      <c r="G345" s="20" t="n">
        <v>6000</v>
      </c>
      <c r="H345" s="8" t="n">
        <v>8</v>
      </c>
      <c r="I345" s="10" t="n">
        <v>45727</v>
      </c>
      <c r="J345" s="11" t="n">
        <v>0.89759259259154</v>
      </c>
      <c r="K345" s="1" t="str">
        <f aca="false">IF(L345&gt;24,     IF(H345=2,"Couple Extended Day","Extended Day"), IF(L345&lt;=12,     IF(AND(MOD(D345,1)&gt;=TIME(6,0,0),MOD(D345,1)&lt;TIME(18,0,0)),         IF(H345=2,"Couple Half Day","12H Day"),         IF(H345=2,"Couple Half Night","12H Night")), IF(L345&lt;=24,     IF(AND(MOD(D345,1)&gt;=TIME(6,0,0),MOD(D345,1)&lt;TIME(18,0,0)),         IF(H345=2,"Couple Full Day","24H Day"),         IF(H345=2,"Couple Full Night","24H Night")), "Check Data")))</f>
        <v>24H Night</v>
      </c>
      <c r="L345" s="12" t="n">
        <f aca="false">((INT(E345)+MOD(F345,1))-(INT(C345)+MOD(D345,1)))*24</f>
        <v>22.9999999990105</v>
      </c>
      <c r="M345" s="1" t="n">
        <f aca="false">IFERROR(INDEX(Sheet3!$B$2:$B$500,MATCH(1,(INT(C345)+MOD(D345,1)&lt;INT(Sheet3!$A$2:$A$500)+TIME(18,0,0))*(INT(E345)+MOD(F345,1)&gt;=INT(Sheet3!$A$2:$A$500)),0)),0)</f>
        <v>0</v>
      </c>
      <c r="N345" s="1" t="n">
        <f aca="false">IF(OR( AND(Q345=6,D345&gt;=TIME(17,0,0),OR(K345="12H Night",K345="Couple Half Night",K345="24H Night",K345="Couple Full Night")), AND(Q345=7,D345&gt;=TIME(6,0,0),D345&lt;TIME(12,0,0),OR(K345="12H Day",K345="Couple Half Day",K345="24H Day",K345="Couple Full Day")) ),1,0)</f>
        <v>0</v>
      </c>
      <c r="O345" s="1" t="n">
        <f aca="false">IF(OR( AND(MONTH(C345)=12,DAY(C345)&gt;=26), AND(MONTH(C345)=4,DAY(C345)&gt;=15), MONTH(C345)=5, AND(MONTH(C345)=6,DAY(C345)&lt;=10) ),1,0)</f>
        <v>0</v>
      </c>
      <c r="P345" s="1" t="str">
        <f aca="false">IF(OR(MONTH(C345)=3,MONTH(C345)=4,MONTH(C345)=5,MONTH(C345)=6), "Summer", IF(OR(MONTH(C345)=7,MONTH(C345)=8,MONTH(C345)=9,MONTH(C345)=10), "Monsoon", "Winter"))</f>
        <v>Summer</v>
      </c>
      <c r="Q345" s="1" t="n">
        <f aca="false">WEEKDAY(C345,2)</f>
        <v>3</v>
      </c>
      <c r="R345" s="0" t="n">
        <f aca="false">ROUNDDOWN(((INT(C345)+MOD(D345,1))-(INT(I345)+MOD(J345,1))),0)</f>
        <v>0</v>
      </c>
      <c r="S345" s="10"/>
    </row>
    <row r="346" customFormat="false" ht="238.45" hidden="false" customHeight="false" outlineLevel="0" collapsed="false">
      <c r="A346" s="8" t="s">
        <v>618</v>
      </c>
      <c r="B346" s="22" t="s">
        <v>619</v>
      </c>
      <c r="C346" s="18" t="n">
        <v>45729.7916666667</v>
      </c>
      <c r="D346" s="19" t="n">
        <v>45729.7916666667</v>
      </c>
      <c r="E346" s="18" t="n">
        <v>45730.75</v>
      </c>
      <c r="F346" s="19" t="n">
        <v>45730.75</v>
      </c>
      <c r="G346" s="20" t="n">
        <v>20000</v>
      </c>
      <c r="H346" s="8" t="n">
        <v>20</v>
      </c>
      <c r="I346" s="10" t="n">
        <v>45727</v>
      </c>
      <c r="J346" s="11" t="n">
        <v>0.555405092592986</v>
      </c>
      <c r="K346" s="1" t="str">
        <f aca="false">IF(L346&gt;24,     IF(H346=2,"Couple Extended Day","Extended Day"), IF(L346&lt;=12,     IF(AND(MOD(D346,1)&gt;=TIME(6,0,0),MOD(D346,1)&lt;TIME(18,0,0)),         IF(H346=2,"Couple Half Day","12H Day"),         IF(H346=2,"Couple Half Night","12H Night")), IF(L346&lt;=24,     IF(AND(MOD(D346,1)&gt;=TIME(6,0,0),MOD(D346,1)&lt;TIME(18,0,0)),         IF(H346=2,"Couple Full Day","24H Day"),         IF(H346=2,"Couple Full Night","24H Night")), "Check Data")))</f>
        <v>24H Night</v>
      </c>
      <c r="L346" s="12" t="n">
        <f aca="false">((INT(E346)+MOD(F346,1))-(INT(C346)+MOD(D346,1)))*24</f>
        <v>22.9999999990105</v>
      </c>
      <c r="M346" s="1" t="str">
        <f aca="false">IFERROR(INDEX(Sheet3!$B$2:$B$500,MATCH(1,(INT(C346)+MOD(D346,1)&lt;INT(Sheet3!$A$2:$A$500)+TIME(18,0,0))*(INT(E346)+MOD(F346,1)&gt;=INT(Sheet3!$A$2:$A$500)),0)),0)</f>
        <v>Holi</v>
      </c>
      <c r="N346" s="1" t="n">
        <f aca="false">IF(OR( AND(Q346=6,D346&gt;=TIME(17,0,0),OR(K346="12H Night",K346="Couple Half Night",K346="24H Night",K346="Couple Full Night")), AND(Q346=7,D346&gt;=TIME(6,0,0),D346&lt;TIME(12,0,0),OR(K346="12H Day",K346="Couple Half Day",K346="24H Day",K346="Couple Full Day")) ),1,0)</f>
        <v>0</v>
      </c>
      <c r="O346" s="1" t="n">
        <f aca="false">IF(OR( AND(MONTH(C346)=12,DAY(C346)&gt;=26), AND(MONTH(C346)=4,DAY(C346)&gt;=15), MONTH(C346)=5, AND(MONTH(C346)=6,DAY(C346)&lt;=10) ),1,0)</f>
        <v>0</v>
      </c>
      <c r="P346" s="1" t="str">
        <f aca="false">IF(OR(MONTH(C346)=3,MONTH(C346)=4,MONTH(C346)=5,MONTH(C346)=6), "Summer", IF(OR(MONTH(C346)=7,MONTH(C346)=8,MONTH(C346)=9,MONTH(C346)=10), "Monsoon", "Winter"))</f>
        <v>Summer</v>
      </c>
      <c r="Q346" s="1" t="n">
        <f aca="false">WEEKDAY(C346,2)</f>
        <v>4</v>
      </c>
      <c r="R346" s="0" t="n">
        <f aca="false">ROUNDDOWN(((INT(C346)+MOD(D346,1))-(INT(I346)+MOD(J346,1))),0)</f>
        <v>2</v>
      </c>
      <c r="S346" s="10"/>
    </row>
    <row r="347" customFormat="false" ht="212.2" hidden="false" customHeight="false" outlineLevel="0" collapsed="false">
      <c r="A347" s="8" t="s">
        <v>306</v>
      </c>
      <c r="B347" s="22" t="s">
        <v>620</v>
      </c>
      <c r="C347" s="18" t="n">
        <v>45730.7916666667</v>
      </c>
      <c r="D347" s="19" t="n">
        <v>45730.7916666667</v>
      </c>
      <c r="E347" s="18" t="n">
        <v>45731.75</v>
      </c>
      <c r="F347" s="19" t="n">
        <v>45731.75</v>
      </c>
      <c r="G347" s="20" t="n">
        <v>7000</v>
      </c>
      <c r="H347" s="8" t="n">
        <v>12</v>
      </c>
      <c r="I347" s="10" t="n">
        <v>45713</v>
      </c>
      <c r="J347" s="11" t="n">
        <v>0.875277777777234</v>
      </c>
      <c r="K347" s="1" t="str">
        <f aca="false">IF(L347&gt;24,     IF(H347=2,"Couple Extended Day","Extended Day"), IF(L347&lt;=12,     IF(AND(MOD(D347,1)&gt;=TIME(6,0,0),MOD(D347,1)&lt;TIME(18,0,0)),         IF(H347=2,"Couple Half Day","12H Day"),         IF(H347=2,"Couple Half Night","12H Night")), IF(L347&lt;=24,     IF(AND(MOD(D347,1)&gt;=TIME(6,0,0),MOD(D347,1)&lt;TIME(18,0,0)),         IF(H347=2,"Couple Full Day","24H Day"),         IF(H347=2,"Couple Full Night","24H Night")), "Check Data")))</f>
        <v>24H Night</v>
      </c>
      <c r="L347" s="12" t="n">
        <f aca="false">((INT(E347)+MOD(F347,1))-(INT(C347)+MOD(D347,1)))*24</f>
        <v>22.9999999990105</v>
      </c>
      <c r="M347" s="1" t="str">
        <f aca="false">IFERROR(INDEX(Sheet3!$B$2:$B$500,MATCH(1,(INT(C347)+MOD(D347,1)&lt;INT(Sheet3!$A$2:$A$500)+TIME(18,0,0))*(INT(E347)+MOD(F347,1)&gt;=INT(Sheet3!$A$2:$A$500)),0)),0)</f>
        <v>Dhuleti</v>
      </c>
      <c r="N347" s="1" t="n">
        <f aca="false">IF(OR( AND(Q347=6,D347&gt;=TIME(17,0,0),OR(K347="12H Night",K347="Couple Half Night",K347="24H Night",K347="Couple Full Night")), AND(Q347=7,D347&gt;=TIME(6,0,0),D347&lt;TIME(12,0,0),OR(K347="12H Day",K347="Couple Half Day",K347="24H Day",K347="Couple Full Day")) ),1,0)</f>
        <v>0</v>
      </c>
      <c r="O347" s="1" t="n">
        <f aca="false">IF(OR( AND(MONTH(C347)=12,DAY(C347)&gt;=26), AND(MONTH(C347)=4,DAY(C347)&gt;=15), MONTH(C347)=5, AND(MONTH(C347)=6,DAY(C347)&lt;=10) ),1,0)</f>
        <v>0</v>
      </c>
      <c r="P347" s="1" t="str">
        <f aca="false">IF(OR(MONTH(C347)=3,MONTH(C347)=4,MONTH(C347)=5,MONTH(C347)=6), "Summer", IF(OR(MONTH(C347)=7,MONTH(C347)=8,MONTH(C347)=9,MONTH(C347)=10), "Monsoon", "Winter"))</f>
        <v>Summer</v>
      </c>
      <c r="Q347" s="1" t="n">
        <f aca="false">WEEKDAY(C347,2)</f>
        <v>5</v>
      </c>
      <c r="R347" s="0" t="n">
        <f aca="false">ROUNDDOWN(((INT(C347)+MOD(D347,1))-(INT(I347)+MOD(J347,1))),0)</f>
        <v>16</v>
      </c>
      <c r="S347" s="10"/>
    </row>
    <row r="348" customFormat="false" ht="204.9" hidden="false" customHeight="false" outlineLevel="0" collapsed="false">
      <c r="A348" s="8" t="s">
        <v>621</v>
      </c>
      <c r="B348" s="22" t="s">
        <v>622</v>
      </c>
      <c r="C348" s="18" t="n">
        <v>45731.7916666667</v>
      </c>
      <c r="D348" s="19" t="n">
        <v>45731.7916666667</v>
      </c>
      <c r="E348" s="18" t="n">
        <v>45732.75</v>
      </c>
      <c r="F348" s="19" t="n">
        <v>45732.75</v>
      </c>
      <c r="G348" s="20" t="n">
        <v>7500</v>
      </c>
      <c r="H348" s="8" t="n">
        <v>8</v>
      </c>
      <c r="I348" s="10" t="n">
        <v>45727</v>
      </c>
      <c r="J348" s="11" t="n">
        <v>0.678622685183657</v>
      </c>
      <c r="K348" s="1" t="str">
        <f aca="false">IF(L348&gt;24,     IF(H348=2,"Couple Extended Day","Extended Day"), IF(L348&lt;=12,     IF(AND(MOD(D348,1)&gt;=TIME(6,0,0),MOD(D348,1)&lt;TIME(18,0,0)),         IF(H348=2,"Couple Half Day","12H Day"),         IF(H348=2,"Couple Half Night","12H Night")), IF(L348&lt;=24,     IF(AND(MOD(D348,1)&gt;=TIME(6,0,0),MOD(D348,1)&lt;TIME(18,0,0)),         IF(H348=2,"Couple Full Day","24H Day"),         IF(H348=2,"Couple Full Night","24H Night")), "Check Data")))</f>
        <v>24H Night</v>
      </c>
      <c r="L348" s="12" t="n">
        <f aca="false">((INT(E348)+MOD(F348,1))-(INT(C348)+MOD(D348,1)))*24</f>
        <v>22.9999999990105</v>
      </c>
      <c r="M348" s="1" t="n">
        <f aca="false">IFERROR(INDEX(Sheet3!$B$2:$B$500,MATCH(1,(INT(C348)+MOD(D348,1)&lt;INT(Sheet3!$A$2:$A$500)+TIME(18,0,0))*(INT(E348)+MOD(F348,1)&gt;=INT(Sheet3!$A$2:$A$500)),0)),0)</f>
        <v>0</v>
      </c>
      <c r="N348" s="1" t="n">
        <f aca="false">IF(OR( AND(Q348=6,D348&gt;=TIME(17,0,0),OR(K348="12H Night",K348="Couple Half Night",K348="24H Night",K348="Couple Full Night")), AND(Q348=7,D348&gt;=TIME(6,0,0),D348&lt;TIME(12,0,0),OR(K348="12H Day",K348="Couple Half Day",K348="24H Day",K348="Couple Full Day")) ),1,0)</f>
        <v>1</v>
      </c>
      <c r="O348" s="1" t="n">
        <f aca="false">IF(OR( AND(MONTH(C348)=12,DAY(C348)&gt;=26), AND(MONTH(C348)=4,DAY(C348)&gt;=15), MONTH(C348)=5, AND(MONTH(C348)=6,DAY(C348)&lt;=10) ),1,0)</f>
        <v>0</v>
      </c>
      <c r="P348" s="1" t="str">
        <f aca="false">IF(OR(MONTH(C348)=3,MONTH(C348)=4,MONTH(C348)=5,MONTH(C348)=6), "Summer", IF(OR(MONTH(C348)=7,MONTH(C348)=8,MONTH(C348)=9,MONTH(C348)=10), "Monsoon", "Winter"))</f>
        <v>Summer</v>
      </c>
      <c r="Q348" s="1" t="n">
        <f aca="false">WEEKDAY(C348,2)</f>
        <v>6</v>
      </c>
      <c r="R348" s="0" t="n">
        <f aca="false">ROUNDDOWN(((INT(C348)+MOD(D348,1))-(INT(I348)+MOD(J348,1))),0)</f>
        <v>4</v>
      </c>
      <c r="S348" s="10"/>
    </row>
    <row r="349" customFormat="false" ht="204.9" hidden="false" customHeight="false" outlineLevel="0" collapsed="false">
      <c r="A349" s="8" t="s">
        <v>623</v>
      </c>
      <c r="B349" s="22" t="s">
        <v>624</v>
      </c>
      <c r="C349" s="18" t="n">
        <v>45732.7916666667</v>
      </c>
      <c r="D349" s="19" t="n">
        <v>45732.7916666667</v>
      </c>
      <c r="E349" s="18" t="n">
        <v>45733.3333333333</v>
      </c>
      <c r="F349" s="19" t="n">
        <v>0</v>
      </c>
      <c r="G349" s="20" t="n">
        <v>3000</v>
      </c>
      <c r="H349" s="8" t="n">
        <v>8</v>
      </c>
      <c r="I349" s="10" t="n">
        <v>45732</v>
      </c>
      <c r="J349" s="11" t="n">
        <v>0.753333333334016</v>
      </c>
      <c r="K349" s="1" t="str">
        <f aca="false">IF(L349&gt;24,     IF(H349=2,"Couple Extended Day","Extended Day"), IF(L349&lt;=12,     IF(AND(MOD(D349,1)&gt;=TIME(6,0,0),MOD(D349,1)&lt;TIME(18,0,0)),         IF(H349=2,"Couple Half Day","12H Day"),         IF(H349=2,"Couple Half Night","12H Night")), IF(L349&lt;=24,     IF(AND(MOD(D349,1)&gt;=TIME(6,0,0),MOD(D349,1)&lt;TIME(18,0,0)),         IF(H349=2,"Couple Full Day","24H Day"),         IF(H349=2,"Couple Full Night","24H Night")), "Check Data")))</f>
        <v>12H Night</v>
      </c>
      <c r="L349" s="12" t="n">
        <f aca="false">((INT(E349)+MOD(F349,1))-(INT(C349)+MOD(D349,1)))*24</f>
        <v>4.99999999901047</v>
      </c>
      <c r="M349" s="1" t="n">
        <f aca="false">IFERROR(INDEX(Sheet3!$B$2:$B$500,MATCH(1,(INT(C349)+MOD(D349,1)&lt;INT(Sheet3!$A$2:$A$500)+TIME(18,0,0))*(INT(E349)+MOD(F349,1)&gt;=INT(Sheet3!$A$2:$A$500)),0)),0)</f>
        <v>0</v>
      </c>
      <c r="N349" s="1" t="n">
        <f aca="false">IF(OR( AND(Q349=6,D349&gt;=TIME(17,0,0),OR(K349="12H Night",K349="Couple Half Night",K349="24H Night",K349="Couple Full Night")), AND(Q349=7,D349&gt;=TIME(6,0,0),D349&lt;TIME(12,0,0),OR(K349="12H Day",K349="Couple Half Day",K349="24H Day",K349="Couple Full Day")) ),1,0)</f>
        <v>0</v>
      </c>
      <c r="O349" s="1" t="n">
        <f aca="false">IF(OR( AND(MONTH(C349)=12,DAY(C349)&gt;=26), AND(MONTH(C349)=4,DAY(C349)&gt;=15), MONTH(C349)=5, AND(MONTH(C349)=6,DAY(C349)&lt;=10) ),1,0)</f>
        <v>0</v>
      </c>
      <c r="P349" s="1" t="str">
        <f aca="false">IF(OR(MONTH(C349)=3,MONTH(C349)=4,MONTH(C349)=5,MONTH(C349)=6), "Summer", IF(OR(MONTH(C349)=7,MONTH(C349)=8,MONTH(C349)=9,MONTH(C349)=10), "Monsoon", "Winter"))</f>
        <v>Summer</v>
      </c>
      <c r="Q349" s="1" t="n">
        <f aca="false">WEEKDAY(C349,2)</f>
        <v>7</v>
      </c>
      <c r="R349" s="0" t="n">
        <f aca="false">ROUNDDOWN(((INT(C349)+MOD(D349,1))-(INT(I349)+MOD(J349,1))),0)</f>
        <v>0</v>
      </c>
      <c r="S349" s="10"/>
    </row>
    <row r="350" customFormat="false" ht="185.9" hidden="false" customHeight="false" outlineLevel="0" collapsed="false">
      <c r="A350" s="8" t="s">
        <v>625</v>
      </c>
      <c r="B350" s="22" t="s">
        <v>626</v>
      </c>
      <c r="C350" s="18" t="n">
        <v>45734.8333333333</v>
      </c>
      <c r="D350" s="19" t="n">
        <v>0</v>
      </c>
      <c r="E350" s="18" t="n">
        <v>45735.7916666667</v>
      </c>
      <c r="F350" s="19" t="n">
        <v>45735.7916666667</v>
      </c>
      <c r="G350" s="20" t="n">
        <v>4000</v>
      </c>
      <c r="H350" s="8" t="n">
        <v>15</v>
      </c>
      <c r="I350" s="10" t="n">
        <v>45734</v>
      </c>
      <c r="J350" s="11" t="n">
        <v>0.781967592592986</v>
      </c>
      <c r="K350" s="1" t="str">
        <f aca="false">IF(L350&gt;24,     IF(H350=2,"Couple Extended Day","Extended Day"), IF(L350&lt;=12,     IF(AND(MOD(D350,1)&gt;=TIME(6,0,0),MOD(D350,1)&lt;TIME(18,0,0)),         IF(H350=2,"Couple Half Day","12H Day"),         IF(H350=2,"Couple Half Night","12H Night")), IF(L350&lt;=24,     IF(AND(MOD(D350,1)&gt;=TIME(6,0,0),MOD(D350,1)&lt;TIME(18,0,0)),         IF(H350=2,"Couple Full Day","24H Day"),         IF(H350=2,"Couple Full Night","24H Night")), "Check Data")))</f>
        <v>Extended Day</v>
      </c>
      <c r="L350" s="12" t="n">
        <f aca="false">((INT(E350)+MOD(F350,1))-(INT(C350)+MOD(D350,1)))*24</f>
        <v>43.0000000009895</v>
      </c>
      <c r="M350" s="1" t="n">
        <f aca="false">IFERROR(INDEX(Sheet3!$B$2:$B$500,MATCH(1,(INT(C350)+MOD(D350,1)&lt;INT(Sheet3!$A$2:$A$500)+TIME(18,0,0))*(INT(E350)+MOD(F350,1)&gt;=INT(Sheet3!$A$2:$A$500)),0)),0)</f>
        <v>0</v>
      </c>
      <c r="N350" s="1" t="n">
        <f aca="false">IF(OR( AND(Q350=6,D350&gt;=TIME(17,0,0),OR(K350="12H Night",K350="Couple Half Night",K350="24H Night",K350="Couple Full Night")), AND(Q350=7,D350&gt;=TIME(6,0,0),D350&lt;TIME(12,0,0),OR(K350="12H Day",K350="Couple Half Day",K350="24H Day",K350="Couple Full Day")) ),1,0)</f>
        <v>0</v>
      </c>
      <c r="O350" s="1" t="n">
        <f aca="false">IF(OR( AND(MONTH(C350)=12,DAY(C350)&gt;=26), AND(MONTH(C350)=4,DAY(C350)&gt;=15), MONTH(C350)=5, AND(MONTH(C350)=6,DAY(C350)&lt;=10) ),1,0)</f>
        <v>0</v>
      </c>
      <c r="P350" s="1" t="str">
        <f aca="false">IF(OR(MONTH(C350)=3,MONTH(C350)=4,MONTH(C350)=5,MONTH(C350)=6), "Summer", IF(OR(MONTH(C350)=7,MONTH(C350)=8,MONTH(C350)=9,MONTH(C350)=10), "Monsoon", "Winter"))</f>
        <v>Summer</v>
      </c>
      <c r="Q350" s="1" t="n">
        <f aca="false">WEEKDAY(C350,2)</f>
        <v>2</v>
      </c>
      <c r="R350" s="0" t="n">
        <f aca="false">ROUNDDOWN(((INT(C350)+MOD(D350,1))-(INT(I350)+MOD(J350,1))),0)</f>
        <v>-0</v>
      </c>
      <c r="S350" s="10"/>
    </row>
    <row r="351" customFormat="false" ht="204.9" hidden="false" customHeight="false" outlineLevel="0" collapsed="false">
      <c r="A351" s="8" t="s">
        <v>627</v>
      </c>
      <c r="B351" s="22" t="s">
        <v>628</v>
      </c>
      <c r="C351" s="18" t="n">
        <v>45735.7916666667</v>
      </c>
      <c r="D351" s="19" t="n">
        <v>45735.7916666667</v>
      </c>
      <c r="E351" s="18" t="n">
        <v>45736.75</v>
      </c>
      <c r="F351" s="19" t="n">
        <v>45736.75</v>
      </c>
      <c r="G351" s="20" t="n">
        <v>4000</v>
      </c>
      <c r="H351" s="8" t="n">
        <v>6</v>
      </c>
      <c r="I351" s="10" t="n">
        <v>45735</v>
      </c>
      <c r="J351" s="11" t="n">
        <v>0.606979166666863</v>
      </c>
      <c r="K351" s="1" t="str">
        <f aca="false">IF(L351&gt;24,     IF(H351=2,"Couple Extended Day","Extended Day"), IF(L351&lt;=12,     IF(AND(MOD(D351,1)&gt;=TIME(6,0,0),MOD(D351,1)&lt;TIME(18,0,0)),         IF(H351=2,"Couple Half Day","12H Day"),         IF(H351=2,"Couple Half Night","12H Night")), IF(L351&lt;=24,     IF(AND(MOD(D351,1)&gt;=TIME(6,0,0),MOD(D351,1)&lt;TIME(18,0,0)),         IF(H351=2,"Couple Full Day","24H Day"),         IF(H351=2,"Couple Full Night","24H Night")), "Check Data")))</f>
        <v>24H Night</v>
      </c>
      <c r="L351" s="12" t="n">
        <f aca="false">((INT(E351)+MOD(F351,1))-(INT(C351)+MOD(D351,1)))*24</f>
        <v>22.9999999990105</v>
      </c>
      <c r="M351" s="1" t="n">
        <f aca="false">IFERROR(INDEX(Sheet3!$B$2:$B$500,MATCH(1,(INT(C351)+MOD(D351,1)&lt;INT(Sheet3!$A$2:$A$500)+TIME(18,0,0))*(INT(E351)+MOD(F351,1)&gt;=INT(Sheet3!$A$2:$A$500)),0)),0)</f>
        <v>0</v>
      </c>
      <c r="N351" s="1" t="n">
        <f aca="false">IF(OR( AND(Q351=6,D351&gt;=TIME(17,0,0),OR(K351="12H Night",K351="Couple Half Night",K351="24H Night",K351="Couple Full Night")), AND(Q351=7,D351&gt;=TIME(6,0,0),D351&lt;TIME(12,0,0),OR(K351="12H Day",K351="Couple Half Day",K351="24H Day",K351="Couple Full Day")) ),1,0)</f>
        <v>0</v>
      </c>
      <c r="O351" s="1" t="n">
        <f aca="false">IF(OR( AND(MONTH(C351)=12,DAY(C351)&gt;=26), AND(MONTH(C351)=4,DAY(C351)&gt;=15), MONTH(C351)=5, AND(MONTH(C351)=6,DAY(C351)&lt;=10) ),1,0)</f>
        <v>0</v>
      </c>
      <c r="P351" s="1" t="str">
        <f aca="false">IF(OR(MONTH(C351)=3,MONTH(C351)=4,MONTH(C351)=5,MONTH(C351)=6), "Summer", IF(OR(MONTH(C351)=7,MONTH(C351)=8,MONTH(C351)=9,MONTH(C351)=10), "Monsoon", "Winter"))</f>
        <v>Summer</v>
      </c>
      <c r="Q351" s="1" t="n">
        <f aca="false">WEEKDAY(C351,2)</f>
        <v>3</v>
      </c>
      <c r="R351" s="0" t="n">
        <f aca="false">ROUNDDOWN(((INT(C351)+MOD(D351,1))-(INT(I351)+MOD(J351,1))),0)</f>
        <v>0</v>
      </c>
      <c r="S351" s="10"/>
    </row>
    <row r="352" customFormat="false" ht="204.9" hidden="false" customHeight="false" outlineLevel="0" collapsed="false">
      <c r="A352" s="8" t="s">
        <v>629</v>
      </c>
      <c r="B352" s="22" t="s">
        <v>630</v>
      </c>
      <c r="C352" s="18" t="n">
        <v>45736.7916666667</v>
      </c>
      <c r="D352" s="19" t="n">
        <v>45736.7916666667</v>
      </c>
      <c r="E352" s="18" t="n">
        <v>45737.3333333333</v>
      </c>
      <c r="F352" s="19" t="n">
        <v>0</v>
      </c>
      <c r="G352" s="20" t="n">
        <v>2500</v>
      </c>
      <c r="H352" s="8" t="n">
        <v>5</v>
      </c>
      <c r="I352" s="10" t="n">
        <v>45736</v>
      </c>
      <c r="J352" s="11" t="n">
        <v>0.793819444443218</v>
      </c>
      <c r="K352" s="1" t="str">
        <f aca="false">IF(L352&gt;24,     IF(H352=2,"Couple Extended Day","Extended Day"), IF(L352&lt;=12,     IF(AND(MOD(D352,1)&gt;=TIME(6,0,0),MOD(D352,1)&lt;TIME(18,0,0)),         IF(H352=2,"Couple Half Day","12H Day"),         IF(H352=2,"Couple Half Night","12H Night")), IF(L352&lt;=24,     IF(AND(MOD(D352,1)&gt;=TIME(6,0,0),MOD(D352,1)&lt;TIME(18,0,0)),         IF(H352=2,"Couple Full Day","24H Day"),         IF(H352=2,"Couple Full Night","24H Night")), "Check Data")))</f>
        <v>12H Night</v>
      </c>
      <c r="L352" s="12" t="n">
        <f aca="false">((INT(E352)+MOD(F352,1))-(INT(C352)+MOD(D352,1)))*24</f>
        <v>4.99999999901047</v>
      </c>
      <c r="M352" s="1" t="n">
        <f aca="false">IFERROR(INDEX(Sheet3!$B$2:$B$500,MATCH(1,(INT(C352)+MOD(D352,1)&lt;INT(Sheet3!$A$2:$A$500)+TIME(18,0,0))*(INT(E352)+MOD(F352,1)&gt;=INT(Sheet3!$A$2:$A$500)),0)),0)</f>
        <v>0</v>
      </c>
      <c r="N352" s="1" t="n">
        <f aca="false">IF(OR( AND(Q352=6,D352&gt;=TIME(17,0,0),OR(K352="12H Night",K352="Couple Half Night",K352="24H Night",K352="Couple Full Night")), AND(Q352=7,D352&gt;=TIME(6,0,0),D352&lt;TIME(12,0,0),OR(K352="12H Day",K352="Couple Half Day",K352="24H Day",K352="Couple Full Day")) ),1,0)</f>
        <v>0</v>
      </c>
      <c r="O352" s="1" t="n">
        <f aca="false">IF(OR( AND(MONTH(C352)=12,DAY(C352)&gt;=26), AND(MONTH(C352)=4,DAY(C352)&gt;=15), MONTH(C352)=5, AND(MONTH(C352)=6,DAY(C352)&lt;=10) ),1,0)</f>
        <v>0</v>
      </c>
      <c r="P352" s="1" t="str">
        <f aca="false">IF(OR(MONTH(C352)=3,MONTH(C352)=4,MONTH(C352)=5,MONTH(C352)=6), "Summer", IF(OR(MONTH(C352)=7,MONTH(C352)=8,MONTH(C352)=9,MONTH(C352)=10), "Monsoon", "Winter"))</f>
        <v>Summer</v>
      </c>
      <c r="Q352" s="1" t="n">
        <f aca="false">WEEKDAY(C352,2)</f>
        <v>4</v>
      </c>
      <c r="R352" s="0" t="n">
        <f aca="false">ROUNDDOWN(((INT(C352)+MOD(D352,1))-(INT(I352)+MOD(J352,1))),0)</f>
        <v>-0</v>
      </c>
      <c r="S352" s="10"/>
    </row>
    <row r="353" customFormat="false" ht="204.9" hidden="false" customHeight="false" outlineLevel="0" collapsed="false">
      <c r="A353" s="8" t="s">
        <v>631</v>
      </c>
      <c r="B353" s="22" t="s">
        <v>632</v>
      </c>
      <c r="C353" s="18" t="n">
        <v>45737.5208333333</v>
      </c>
      <c r="D353" s="19" t="n">
        <v>45737.5208333333</v>
      </c>
      <c r="E353" s="18" t="n">
        <v>45737.75</v>
      </c>
      <c r="F353" s="19" t="n">
        <v>45737.75</v>
      </c>
      <c r="G353" s="20" t="n">
        <v>2000</v>
      </c>
      <c r="H353" s="8" t="n">
        <v>2</v>
      </c>
      <c r="I353" s="10" t="n">
        <v>45737</v>
      </c>
      <c r="J353" s="11" t="n">
        <v>0.500497685185104</v>
      </c>
      <c r="K353" s="1" t="str">
        <f aca="false">IF(L353&gt;24,     IF(H353=2,"Couple Extended Day","Extended Day"), IF(L353&lt;=12,     IF(AND(MOD(D353,1)&gt;=TIME(6,0,0),MOD(D353,1)&lt;TIME(18,0,0)),         IF(H353=2,"Couple Half Day","12H Day"),         IF(H353=2,"Couple Half Night","12H Night")), IF(L353&lt;=24,     IF(AND(MOD(D353,1)&gt;=TIME(6,0,0),MOD(D353,1)&lt;TIME(18,0,0)),         IF(H353=2,"Couple Full Day","24H Day"),         IF(H353=2,"Couple Full Night","24H Night")), "Check Data")))</f>
        <v>Couple Half Day</v>
      </c>
      <c r="L353" s="12" t="n">
        <f aca="false">((INT(E353)+MOD(F353,1))-(INT(C353)+MOD(D353,1)))*24</f>
        <v>5.50000000098953</v>
      </c>
      <c r="M353" s="1" t="n">
        <f aca="false">IFERROR(INDEX(Sheet3!$B$2:$B$500,MATCH(1,(INT(C353)+MOD(D353,1)&lt;INT(Sheet3!$A$2:$A$500)+TIME(18,0,0))*(INT(E353)+MOD(F353,1)&gt;=INT(Sheet3!$A$2:$A$500)),0)),0)</f>
        <v>0</v>
      </c>
      <c r="N353" s="1" t="n">
        <f aca="false">IF(OR( AND(Q353=6,D353&gt;=TIME(17,0,0),OR(K353="12H Night",K353="Couple Half Night",K353="24H Night",K353="Couple Full Night")), AND(Q353=7,D353&gt;=TIME(6,0,0),D353&lt;TIME(12,0,0),OR(K353="12H Day",K353="Couple Half Day",K353="24H Day",K353="Couple Full Day")) ),1,0)</f>
        <v>0</v>
      </c>
      <c r="O353" s="1" t="n">
        <f aca="false">IF(OR( AND(MONTH(C353)=12,DAY(C353)&gt;=26), AND(MONTH(C353)=4,DAY(C353)&gt;=15), MONTH(C353)=5, AND(MONTH(C353)=6,DAY(C353)&lt;=10) ),1,0)</f>
        <v>0</v>
      </c>
      <c r="P353" s="1" t="str">
        <f aca="false">IF(OR(MONTH(C353)=3,MONTH(C353)=4,MONTH(C353)=5,MONTH(C353)=6), "Summer", IF(OR(MONTH(C353)=7,MONTH(C353)=8,MONTH(C353)=9,MONTH(C353)=10), "Monsoon", "Winter"))</f>
        <v>Summer</v>
      </c>
      <c r="Q353" s="1" t="n">
        <f aca="false">WEEKDAY(C353,2)</f>
        <v>5</v>
      </c>
      <c r="R353" s="0" t="n">
        <f aca="false">ROUNDDOWN(((INT(C353)+MOD(D353,1))-(INT(I353)+MOD(J353,1))),0)</f>
        <v>0</v>
      </c>
      <c r="S353" s="10"/>
    </row>
    <row r="354" customFormat="false" ht="204.9" hidden="false" customHeight="false" outlineLevel="0" collapsed="false">
      <c r="A354" s="8" t="s">
        <v>321</v>
      </c>
      <c r="B354" s="22" t="s">
        <v>633</v>
      </c>
      <c r="C354" s="18" t="n">
        <v>45737.7916666667</v>
      </c>
      <c r="D354" s="19" t="n">
        <v>45737.7916666667</v>
      </c>
      <c r="E354" s="18" t="n">
        <v>45738.75</v>
      </c>
      <c r="F354" s="19" t="n">
        <v>45738.75</v>
      </c>
      <c r="G354" s="20" t="n">
        <v>4500</v>
      </c>
      <c r="H354" s="8" t="n">
        <v>10</v>
      </c>
      <c r="I354" s="10" t="n">
        <v>45735</v>
      </c>
      <c r="J354" s="11" t="n">
        <v>0.448275462964375</v>
      </c>
      <c r="K354" s="1" t="str">
        <f aca="false">IF(L354&gt;24,     IF(H354=2,"Couple Extended Day","Extended Day"), IF(L354&lt;=12,     IF(AND(MOD(D354,1)&gt;=TIME(6,0,0),MOD(D354,1)&lt;TIME(18,0,0)),         IF(H354=2,"Couple Half Day","12H Day"),         IF(H354=2,"Couple Half Night","12H Night")), IF(L354&lt;=24,     IF(AND(MOD(D354,1)&gt;=TIME(6,0,0),MOD(D354,1)&lt;TIME(18,0,0)),         IF(H354=2,"Couple Full Day","24H Day"),         IF(H354=2,"Couple Full Night","24H Night")), "Check Data")))</f>
        <v>24H Night</v>
      </c>
      <c r="L354" s="12" t="n">
        <f aca="false">((INT(E354)+MOD(F354,1))-(INT(C354)+MOD(D354,1)))*24</f>
        <v>22.9999999990105</v>
      </c>
      <c r="M354" s="1" t="n">
        <f aca="false">IFERROR(INDEX(Sheet3!$B$2:$B$500,MATCH(1,(INT(C354)+MOD(D354,1)&lt;INT(Sheet3!$A$2:$A$500)+TIME(18,0,0))*(INT(E354)+MOD(F354,1)&gt;=INT(Sheet3!$A$2:$A$500)),0)),0)</f>
        <v>0</v>
      </c>
      <c r="N354" s="1" t="n">
        <f aca="false">IF(OR( AND(Q354=6,D354&gt;=TIME(17,0,0),OR(K354="12H Night",K354="Couple Half Night",K354="24H Night",K354="Couple Full Night")), AND(Q354=7,D354&gt;=TIME(6,0,0),D354&lt;TIME(12,0,0),OR(K354="12H Day",K354="Couple Half Day",K354="24H Day",K354="Couple Full Day")) ),1,0)</f>
        <v>0</v>
      </c>
      <c r="O354" s="1" t="n">
        <f aca="false">IF(OR( AND(MONTH(C354)=12,DAY(C354)&gt;=26), AND(MONTH(C354)=4,DAY(C354)&gt;=15), MONTH(C354)=5, AND(MONTH(C354)=6,DAY(C354)&lt;=10) ),1,0)</f>
        <v>0</v>
      </c>
      <c r="P354" s="1" t="str">
        <f aca="false">IF(OR(MONTH(C354)=3,MONTH(C354)=4,MONTH(C354)=5,MONTH(C354)=6), "Summer", IF(OR(MONTH(C354)=7,MONTH(C354)=8,MONTH(C354)=9,MONTH(C354)=10), "Monsoon", "Winter"))</f>
        <v>Summer</v>
      </c>
      <c r="Q354" s="1" t="n">
        <f aca="false">WEEKDAY(C354,2)</f>
        <v>5</v>
      </c>
      <c r="R354" s="0" t="n">
        <f aca="false">ROUNDDOWN(((INT(C354)+MOD(D354,1))-(INT(I354)+MOD(J354,1))),0)</f>
        <v>2</v>
      </c>
      <c r="S354" s="10"/>
    </row>
    <row r="355" customFormat="false" ht="204.9" hidden="false" customHeight="false" outlineLevel="0" collapsed="false">
      <c r="A355" s="8" t="s">
        <v>168</v>
      </c>
      <c r="B355" s="22" t="s">
        <v>634</v>
      </c>
      <c r="C355" s="18" t="n">
        <v>45738.7916666667</v>
      </c>
      <c r="D355" s="19" t="n">
        <v>45738.7916666667</v>
      </c>
      <c r="E355" s="18" t="n">
        <v>45739.75</v>
      </c>
      <c r="F355" s="19" t="n">
        <v>45739.75</v>
      </c>
      <c r="G355" s="20" t="n">
        <v>9500</v>
      </c>
      <c r="H355" s="8" t="n">
        <v>10</v>
      </c>
      <c r="I355" s="10" t="n">
        <v>45734</v>
      </c>
      <c r="J355" s="11" t="n">
        <v>0.96087962963066</v>
      </c>
      <c r="K355" s="1" t="str">
        <f aca="false">IF(L355&gt;24,     IF(H355=2,"Couple Extended Day","Extended Day"), IF(L355&lt;=12,     IF(AND(MOD(D355,1)&gt;=TIME(6,0,0),MOD(D355,1)&lt;TIME(18,0,0)),         IF(H355=2,"Couple Half Day","12H Day"),         IF(H355=2,"Couple Half Night","12H Night")), IF(L355&lt;=24,     IF(AND(MOD(D355,1)&gt;=TIME(6,0,0),MOD(D355,1)&lt;TIME(18,0,0)),         IF(H355=2,"Couple Full Day","24H Day"),         IF(H355=2,"Couple Full Night","24H Night")), "Check Data")))</f>
        <v>24H Night</v>
      </c>
      <c r="L355" s="12" t="n">
        <f aca="false">((INT(E355)+MOD(F355,1))-(INT(C355)+MOD(D355,1)))*24</f>
        <v>22.9999999990105</v>
      </c>
      <c r="M355" s="1" t="n">
        <f aca="false">IFERROR(INDEX(Sheet3!$B$2:$B$500,MATCH(1,(INT(C355)+MOD(D355,1)&lt;INT(Sheet3!$A$2:$A$500)+TIME(18,0,0))*(INT(E355)+MOD(F355,1)&gt;=INT(Sheet3!$A$2:$A$500)),0)),0)</f>
        <v>0</v>
      </c>
      <c r="N355" s="1" t="n">
        <f aca="false">IF(OR( AND(Q355=6,D355&gt;=TIME(17,0,0),OR(K355="12H Night",K355="Couple Half Night",K355="24H Night",K355="Couple Full Night")), AND(Q355=7,D355&gt;=TIME(6,0,0),D355&lt;TIME(12,0,0),OR(K355="12H Day",K355="Couple Half Day",K355="24H Day",K355="Couple Full Day")) ),1,0)</f>
        <v>1</v>
      </c>
      <c r="O355" s="1" t="n">
        <f aca="false">IF(OR( AND(MONTH(C355)=12,DAY(C355)&gt;=26), AND(MONTH(C355)=4,DAY(C355)&gt;=15), MONTH(C355)=5, AND(MONTH(C355)=6,DAY(C355)&lt;=10) ),1,0)</f>
        <v>0</v>
      </c>
      <c r="P355" s="1" t="str">
        <f aca="false">IF(OR(MONTH(C355)=3,MONTH(C355)=4,MONTH(C355)=5,MONTH(C355)=6), "Summer", IF(OR(MONTH(C355)=7,MONTH(C355)=8,MONTH(C355)=9,MONTH(C355)=10), "Monsoon", "Winter"))</f>
        <v>Summer</v>
      </c>
      <c r="Q355" s="1" t="n">
        <f aca="false">WEEKDAY(C355,2)</f>
        <v>6</v>
      </c>
      <c r="R355" s="0" t="n">
        <f aca="false">ROUNDDOWN(((INT(C355)+MOD(D355,1))-(INT(I355)+MOD(J355,1))),0)</f>
        <v>3</v>
      </c>
      <c r="S355" s="10"/>
    </row>
    <row r="356" customFormat="false" ht="238.45" hidden="false" customHeight="false" outlineLevel="0" collapsed="false">
      <c r="A356" s="8" t="s">
        <v>635</v>
      </c>
      <c r="B356" s="22" t="s">
        <v>636</v>
      </c>
      <c r="C356" s="18" t="n">
        <v>45739.7916666667</v>
      </c>
      <c r="D356" s="19" t="n">
        <v>45739.7916666667</v>
      </c>
      <c r="E356" s="18" t="n">
        <v>45740.75</v>
      </c>
      <c r="F356" s="19" t="n">
        <v>45740.75</v>
      </c>
      <c r="G356" s="20" t="n">
        <v>3500</v>
      </c>
      <c r="H356" s="8" t="n">
        <v>12</v>
      </c>
      <c r="I356" s="10" t="n">
        <v>45734</v>
      </c>
      <c r="J356" s="11" t="n">
        <v>0.452662037037951</v>
      </c>
      <c r="K356" s="1" t="str">
        <f aca="false">IF(L356&gt;24,     IF(H356=2,"Couple Extended Day","Extended Day"), IF(L356&lt;=12,     IF(AND(MOD(D356,1)&gt;=TIME(6,0,0),MOD(D356,1)&lt;TIME(18,0,0)),         IF(H356=2,"Couple Half Day","12H Day"),         IF(H356=2,"Couple Half Night","12H Night")), IF(L356&lt;=24,     IF(AND(MOD(D356,1)&gt;=TIME(6,0,0),MOD(D356,1)&lt;TIME(18,0,0)),         IF(H356=2,"Couple Full Day","24H Day"),         IF(H356=2,"Couple Full Night","24H Night")), "Check Data")))</f>
        <v>24H Night</v>
      </c>
      <c r="L356" s="12" t="n">
        <f aca="false">((INT(E356)+MOD(F356,1))-(INT(C356)+MOD(D356,1)))*24</f>
        <v>22.9999999990105</v>
      </c>
      <c r="M356" s="1" t="n">
        <f aca="false">IFERROR(INDEX(Sheet3!$B$2:$B$500,MATCH(1,(INT(C356)+MOD(D356,1)&lt;INT(Sheet3!$A$2:$A$500)+TIME(18,0,0))*(INT(E356)+MOD(F356,1)&gt;=INT(Sheet3!$A$2:$A$500)),0)),0)</f>
        <v>0</v>
      </c>
      <c r="N356" s="1" t="n">
        <f aca="false">IF(OR( AND(Q356=6,D356&gt;=TIME(17,0,0),OR(K356="12H Night",K356="Couple Half Night",K356="24H Night",K356="Couple Full Night")), AND(Q356=7,D356&gt;=TIME(6,0,0),D356&lt;TIME(12,0,0),OR(K356="12H Day",K356="Couple Half Day",K356="24H Day",K356="Couple Full Day")) ),1,0)</f>
        <v>0</v>
      </c>
      <c r="O356" s="1" t="n">
        <f aca="false">IF(OR( AND(MONTH(C356)=12,DAY(C356)&gt;=26), AND(MONTH(C356)=4,DAY(C356)&gt;=15), MONTH(C356)=5, AND(MONTH(C356)=6,DAY(C356)&lt;=10) ),1,0)</f>
        <v>0</v>
      </c>
      <c r="P356" s="1" t="str">
        <f aca="false">IF(OR(MONTH(C356)=3,MONTH(C356)=4,MONTH(C356)=5,MONTH(C356)=6), "Summer", IF(OR(MONTH(C356)=7,MONTH(C356)=8,MONTH(C356)=9,MONTH(C356)=10), "Monsoon", "Winter"))</f>
        <v>Summer</v>
      </c>
      <c r="Q356" s="1" t="n">
        <f aca="false">WEEKDAY(C356,2)</f>
        <v>7</v>
      </c>
      <c r="R356" s="0" t="n">
        <f aca="false">ROUNDDOWN(((INT(C356)+MOD(D356,1))-(INT(I356)+MOD(J356,1))),0)</f>
        <v>5</v>
      </c>
      <c r="S356" s="10"/>
    </row>
    <row r="357" customFormat="false" ht="28.15" hidden="false" customHeight="false" outlineLevel="0" collapsed="false">
      <c r="A357" s="8" t="s">
        <v>637</v>
      </c>
      <c r="B357" s="22" t="s">
        <v>638</v>
      </c>
      <c r="C357" s="18" t="n">
        <v>45742.4583333333</v>
      </c>
      <c r="D357" s="19" t="n">
        <v>0</v>
      </c>
      <c r="E357" s="18" t="n">
        <v>45742.625</v>
      </c>
      <c r="F357" s="19" t="n">
        <v>45742.625</v>
      </c>
      <c r="G357" s="20" t="n">
        <v>1000</v>
      </c>
      <c r="I357" s="10" t="n">
        <v>45742</v>
      </c>
      <c r="J357" s="11" t="n">
        <v>0.570902777777523</v>
      </c>
      <c r="K357" s="1" t="str">
        <f aca="false">IF(L357&gt;24,     IF(H357=2,"Couple Extended Day","Extended Day"), IF(L357&lt;=12,     IF(AND(MOD(D357,1)&gt;=TIME(6,0,0),MOD(D357,1)&lt;TIME(18,0,0)),         IF(H357=2,"Couple Half Day","12H Day"),         IF(H357=2,"Couple Half Night","12H Night")), IF(L357&lt;=24,     IF(AND(MOD(D357,1)&gt;=TIME(6,0,0),MOD(D357,1)&lt;TIME(18,0,0)),         IF(H357=2,"Couple Full Day","24H Day"),         IF(H357=2,"Couple Full Night","24H Night")), "Check Data")))</f>
        <v>24H Night</v>
      </c>
      <c r="L357" s="12" t="n">
        <f aca="false">((INT(E357)+MOD(F357,1))-(INT(C357)+MOD(D357,1)))*24</f>
        <v>15</v>
      </c>
      <c r="M357" s="1" t="n">
        <f aca="false">IFERROR(INDEX(Sheet3!$B$2:$B$500,MATCH(1,(INT(C357)+MOD(D357,1)&lt;INT(Sheet3!$A$2:$A$500)+TIME(18,0,0))*(INT(E357)+MOD(F357,1)&gt;=INT(Sheet3!$A$2:$A$500)),0)),0)</f>
        <v>0</v>
      </c>
      <c r="N357" s="1" t="n">
        <f aca="false">IF(OR( AND(Q357=6,D357&gt;=TIME(17,0,0),OR(K357="12H Night",K357="Couple Half Night",K357="24H Night",K357="Couple Full Night")), AND(Q357=7,D357&gt;=TIME(6,0,0),D357&lt;TIME(12,0,0),OR(K357="12H Day",K357="Couple Half Day",K357="24H Day",K357="Couple Full Day")) ),1,0)</f>
        <v>0</v>
      </c>
      <c r="O357" s="1" t="n">
        <f aca="false">IF(OR( AND(MONTH(C357)=12,DAY(C357)&gt;=26), AND(MONTH(C357)=4,DAY(C357)&gt;=15), MONTH(C357)=5, AND(MONTH(C357)=6,DAY(C357)&lt;=10) ),1,0)</f>
        <v>0</v>
      </c>
      <c r="P357" s="1" t="str">
        <f aca="false">IF(OR(MONTH(C357)=3,MONTH(C357)=4,MONTH(C357)=5,MONTH(C357)=6), "Summer", IF(OR(MONTH(C357)=7,MONTH(C357)=8,MONTH(C357)=9,MONTH(C357)=10), "Monsoon", "Winter"))</f>
        <v>Summer</v>
      </c>
      <c r="Q357" s="1" t="n">
        <f aca="false">WEEKDAY(C357,2)</f>
        <v>3</v>
      </c>
      <c r="R357" s="0" t="n">
        <f aca="false">ROUNDDOWN(((INT(C357)+MOD(D357,1))-(INT(I357)+MOD(J357,1))),0)</f>
        <v>-0</v>
      </c>
      <c r="S357" s="10"/>
    </row>
    <row r="358" customFormat="false" ht="225.35" hidden="false" customHeight="false" outlineLevel="0" collapsed="false">
      <c r="A358" s="8" t="s">
        <v>639</v>
      </c>
      <c r="B358" s="22" t="s">
        <v>640</v>
      </c>
      <c r="C358" s="18" t="n">
        <v>45743.375</v>
      </c>
      <c r="D358" s="19" t="n">
        <v>45743.375</v>
      </c>
      <c r="E358" s="18" t="n">
        <v>45743.75</v>
      </c>
      <c r="F358" s="19" t="n">
        <v>45743.75</v>
      </c>
      <c r="G358" s="20" t="n">
        <v>3000</v>
      </c>
      <c r="H358" s="8" t="n">
        <v>5</v>
      </c>
      <c r="I358" s="10" t="n">
        <v>45742</v>
      </c>
      <c r="J358" s="11" t="n">
        <v>0.449733796296644</v>
      </c>
      <c r="K358" s="1" t="str">
        <f aca="false">IF(L358&gt;24,     IF(H358=2,"Couple Extended Day","Extended Day"), IF(L358&lt;=12,     IF(AND(MOD(D358,1)&gt;=TIME(6,0,0),MOD(D358,1)&lt;TIME(18,0,0)),         IF(H358=2,"Couple Half Day","12H Day"),         IF(H358=2,"Couple Half Night","12H Night")), IF(L358&lt;=24,     IF(AND(MOD(D358,1)&gt;=TIME(6,0,0),MOD(D358,1)&lt;TIME(18,0,0)),         IF(H358=2,"Couple Full Day","24H Day"),         IF(H358=2,"Couple Full Night","24H Night")), "Check Data")))</f>
        <v>12H Day</v>
      </c>
      <c r="L358" s="12" t="n">
        <f aca="false">((INT(E358)+MOD(F358,1))-(INT(C358)+MOD(D358,1)))*24</f>
        <v>9</v>
      </c>
      <c r="M358" s="1" t="n">
        <f aca="false">IFERROR(INDEX(Sheet3!$B$2:$B$500,MATCH(1,(INT(C358)+MOD(D358,1)&lt;INT(Sheet3!$A$2:$A$500)+TIME(18,0,0))*(INT(E358)+MOD(F358,1)&gt;=INT(Sheet3!$A$2:$A$500)),0)),0)</f>
        <v>0</v>
      </c>
      <c r="N358" s="1" t="n">
        <f aca="false">IF(OR( AND(Q358=6,D358&gt;=TIME(17,0,0),OR(K358="12H Night",K358="Couple Half Night",K358="24H Night",K358="Couple Full Night")), AND(Q358=7,D358&gt;=TIME(6,0,0),D358&lt;TIME(12,0,0),OR(K358="12H Day",K358="Couple Half Day",K358="24H Day",K358="Couple Full Day")) ),1,0)</f>
        <v>0</v>
      </c>
      <c r="O358" s="1" t="n">
        <f aca="false">IF(OR( AND(MONTH(C358)=12,DAY(C358)&gt;=26), AND(MONTH(C358)=4,DAY(C358)&gt;=15), MONTH(C358)=5, AND(MONTH(C358)=6,DAY(C358)&lt;=10) ),1,0)</f>
        <v>0</v>
      </c>
      <c r="P358" s="1" t="str">
        <f aca="false">IF(OR(MONTH(C358)=3,MONTH(C358)=4,MONTH(C358)=5,MONTH(C358)=6), "Summer", IF(OR(MONTH(C358)=7,MONTH(C358)=8,MONTH(C358)=9,MONTH(C358)=10), "Monsoon", "Winter"))</f>
        <v>Summer</v>
      </c>
      <c r="Q358" s="1" t="n">
        <f aca="false">WEEKDAY(C358,2)</f>
        <v>4</v>
      </c>
      <c r="R358" s="0" t="n">
        <f aca="false">ROUNDDOWN(((INT(C358)+MOD(D358,1))-(INT(I358)+MOD(J358,1))),0)</f>
        <v>0</v>
      </c>
      <c r="S358" s="10"/>
    </row>
    <row r="359" customFormat="false" ht="185.9" hidden="false" customHeight="false" outlineLevel="0" collapsed="false">
      <c r="A359" s="8" t="s">
        <v>243</v>
      </c>
      <c r="B359" s="22" t="s">
        <v>641</v>
      </c>
      <c r="C359" s="18" t="n">
        <v>45744.3333333333</v>
      </c>
      <c r="D359" s="19" t="n">
        <v>0</v>
      </c>
      <c r="E359" s="18" t="n">
        <v>45744.75</v>
      </c>
      <c r="F359" s="19" t="n">
        <v>45744.75</v>
      </c>
      <c r="G359" s="20" t="n">
        <v>2500</v>
      </c>
      <c r="H359" s="8" t="n">
        <v>10</v>
      </c>
      <c r="I359" s="10" t="n">
        <v>45743</v>
      </c>
      <c r="J359" s="11" t="n">
        <v>0.79986111111066</v>
      </c>
      <c r="K359" s="1" t="str">
        <f aca="false">IF(L359&gt;24,     IF(H359=2,"Couple Extended Day","Extended Day"), IF(L359&lt;=12,     IF(AND(MOD(D359,1)&gt;=TIME(6,0,0),MOD(D359,1)&lt;TIME(18,0,0)),         IF(H359=2,"Couple Half Day","12H Day"),         IF(H359=2,"Couple Half Night","12H Night")), IF(L359&lt;=24,     IF(AND(MOD(D359,1)&gt;=TIME(6,0,0),MOD(D359,1)&lt;TIME(18,0,0)),         IF(H359=2,"Couple Full Day","24H Day"),         IF(H359=2,"Couple Full Night","24H Night")), "Check Data")))</f>
        <v>24H Night</v>
      </c>
      <c r="L359" s="12" t="n">
        <f aca="false">((INT(E359)+MOD(F359,1))-(INT(C359)+MOD(D359,1)))*24</f>
        <v>18</v>
      </c>
      <c r="M359" s="1" t="n">
        <f aca="false">IFERROR(INDEX(Sheet3!$B$2:$B$500,MATCH(1,(INT(C359)+MOD(D359,1)&lt;INT(Sheet3!$A$2:$A$500)+TIME(18,0,0))*(INT(E359)+MOD(F359,1)&gt;=INT(Sheet3!$A$2:$A$500)),0)),0)</f>
        <v>0</v>
      </c>
      <c r="N359" s="1" t="n">
        <f aca="false">IF(OR( AND(Q359=6,D359&gt;=TIME(17,0,0),OR(K359="12H Night",K359="Couple Half Night",K359="24H Night",K359="Couple Full Night")), AND(Q359=7,D359&gt;=TIME(6,0,0),D359&lt;TIME(12,0,0),OR(K359="12H Day",K359="Couple Half Day",K359="24H Day",K359="Couple Full Day")) ),1,0)</f>
        <v>0</v>
      </c>
      <c r="O359" s="1" t="n">
        <f aca="false">IF(OR( AND(MONTH(C359)=12,DAY(C359)&gt;=26), AND(MONTH(C359)=4,DAY(C359)&gt;=15), MONTH(C359)=5, AND(MONTH(C359)=6,DAY(C359)&lt;=10) ),1,0)</f>
        <v>0</v>
      </c>
      <c r="P359" s="1" t="str">
        <f aca="false">IF(OR(MONTH(C359)=3,MONTH(C359)=4,MONTH(C359)=5,MONTH(C359)=6), "Summer", IF(OR(MONTH(C359)=7,MONTH(C359)=8,MONTH(C359)=9,MONTH(C359)=10), "Monsoon", "Winter"))</f>
        <v>Summer</v>
      </c>
      <c r="Q359" s="1" t="n">
        <f aca="false">WEEKDAY(C359,2)</f>
        <v>5</v>
      </c>
      <c r="R359" s="0" t="n">
        <f aca="false">ROUNDDOWN(((INT(C359)+MOD(D359,1))-(INT(I359)+MOD(J359,1))),0)</f>
        <v>0</v>
      </c>
      <c r="S359" s="10"/>
    </row>
    <row r="360" customFormat="false" ht="67.6" hidden="false" customHeight="false" outlineLevel="0" collapsed="false">
      <c r="A360" s="8" t="s">
        <v>642</v>
      </c>
      <c r="B360" s="22" t="s">
        <v>643</v>
      </c>
      <c r="C360" s="18" t="n">
        <v>45744.7916666667</v>
      </c>
      <c r="D360" s="19" t="n">
        <v>45744.7916666667</v>
      </c>
      <c r="E360" s="18" t="n">
        <v>45745.75</v>
      </c>
      <c r="F360" s="19" t="n">
        <v>45745.75</v>
      </c>
      <c r="G360" s="20" t="n">
        <v>4000</v>
      </c>
      <c r="I360" s="10" t="n">
        <v>45742</v>
      </c>
      <c r="J360" s="11" t="n">
        <v>0.567349537035625</v>
      </c>
      <c r="K360" s="1" t="str">
        <f aca="false">IF(L360&gt;24,     IF(H360=2,"Couple Extended Day","Extended Day"), IF(L360&lt;=12,     IF(AND(MOD(D360,1)&gt;=TIME(6,0,0),MOD(D360,1)&lt;TIME(18,0,0)),         IF(H360=2,"Couple Half Day","12H Day"),         IF(H360=2,"Couple Half Night","12H Night")), IF(L360&lt;=24,     IF(AND(MOD(D360,1)&gt;=TIME(6,0,0),MOD(D360,1)&lt;TIME(18,0,0)),         IF(H360=2,"Couple Full Day","24H Day"),         IF(H360=2,"Couple Full Night","24H Night")), "Check Data")))</f>
        <v>24H Night</v>
      </c>
      <c r="L360" s="12" t="n">
        <f aca="false">((INT(E360)+MOD(F360,1))-(INT(C360)+MOD(D360,1)))*24</f>
        <v>22.9999999990105</v>
      </c>
      <c r="M360" s="1" t="str">
        <f aca="false">IFERROR(INDEX(Sheet3!$B$2:$B$500,MATCH(1,(INT(C360)+MOD(D360,1)&lt;INT(Sheet3!$A$2:$A$500)+TIME(18,0,0))*(INT(E360)+MOD(F360,1)&gt;=INT(Sheet3!$A$2:$A$500)),0)),0)</f>
        <v>Eid-ul-Fitr</v>
      </c>
      <c r="N360" s="1" t="n">
        <f aca="false">IF(OR( AND(Q360=6,D360&gt;=TIME(17,0,0),OR(K360="12H Night",K360="Couple Half Night",K360="24H Night",K360="Couple Full Night")), AND(Q360=7,D360&gt;=TIME(6,0,0),D360&lt;TIME(12,0,0),OR(K360="12H Day",K360="Couple Half Day",K360="24H Day",K360="Couple Full Day")) ),1,0)</f>
        <v>0</v>
      </c>
      <c r="O360" s="1" t="n">
        <f aca="false">IF(OR( AND(MONTH(C360)=12,DAY(C360)&gt;=26), AND(MONTH(C360)=4,DAY(C360)&gt;=15), MONTH(C360)=5, AND(MONTH(C360)=6,DAY(C360)&lt;=10) ),1,0)</f>
        <v>0</v>
      </c>
      <c r="P360" s="1" t="str">
        <f aca="false">IF(OR(MONTH(C360)=3,MONTH(C360)=4,MONTH(C360)=5,MONTH(C360)=6), "Summer", IF(OR(MONTH(C360)=7,MONTH(C360)=8,MONTH(C360)=9,MONTH(C360)=10), "Monsoon", "Winter"))</f>
        <v>Summer</v>
      </c>
      <c r="Q360" s="1" t="n">
        <f aca="false">WEEKDAY(C360,2)</f>
        <v>5</v>
      </c>
      <c r="R360" s="0" t="n">
        <f aca="false">ROUNDDOWN(((INT(C360)+MOD(D360,1))-(INT(I360)+MOD(J360,1))),0)</f>
        <v>2</v>
      </c>
      <c r="S360" s="10"/>
    </row>
    <row r="361" customFormat="false" ht="204.9" hidden="false" customHeight="false" outlineLevel="0" collapsed="false">
      <c r="A361" s="8" t="s">
        <v>644</v>
      </c>
      <c r="B361" s="22" t="s">
        <v>645</v>
      </c>
      <c r="C361" s="18" t="n">
        <v>45745.7916666667</v>
      </c>
      <c r="D361" s="19" t="n">
        <v>45745.7916666667</v>
      </c>
      <c r="E361" s="18" t="n">
        <v>45746.75</v>
      </c>
      <c r="F361" s="19" t="n">
        <v>45746.75</v>
      </c>
      <c r="G361" s="20" t="n">
        <v>9500</v>
      </c>
      <c r="H361" s="8" t="n">
        <v>15</v>
      </c>
      <c r="I361" s="10" t="n">
        <v>45742</v>
      </c>
      <c r="J361" s="11" t="n">
        <v>0.547314814815764</v>
      </c>
      <c r="K361" s="1" t="str">
        <f aca="false">IF(L361&gt;24,     IF(H361=2,"Couple Extended Day","Extended Day"), IF(L361&lt;=12,     IF(AND(MOD(D361,1)&gt;=TIME(6,0,0),MOD(D361,1)&lt;TIME(18,0,0)),         IF(H361=2,"Couple Half Day","12H Day"),         IF(H361=2,"Couple Half Night","12H Night")), IF(L361&lt;=24,     IF(AND(MOD(D361,1)&gt;=TIME(6,0,0),MOD(D361,1)&lt;TIME(18,0,0)),         IF(H361=2,"Couple Full Day","24H Day"),         IF(H361=2,"Couple Full Night","24H Night")), "Check Data")))</f>
        <v>24H Night</v>
      </c>
      <c r="L361" s="12" t="n">
        <f aca="false">((INT(E361)+MOD(F361,1))-(INT(C361)+MOD(D361,1)))*24</f>
        <v>22.9999999990105</v>
      </c>
      <c r="M361" s="1" t="n">
        <f aca="false">IFERROR(INDEX(Sheet3!$B$2:$B$500,MATCH(1,(INT(C361)+MOD(D361,1)&lt;INT(Sheet3!$A$2:$A$500)+TIME(18,0,0))*(INT(E361)+MOD(F361,1)&gt;=INT(Sheet3!$A$2:$A$500)),0)),0)</f>
        <v>0</v>
      </c>
      <c r="N361" s="1" t="n">
        <f aca="false">IF(OR( AND(Q361=6,D361&gt;=TIME(17,0,0),OR(K361="12H Night",K361="Couple Half Night",K361="24H Night",K361="Couple Full Night")), AND(Q361=7,D361&gt;=TIME(6,0,0),D361&lt;TIME(12,0,0),OR(K361="12H Day",K361="Couple Half Day",K361="24H Day",K361="Couple Full Day")) ),1,0)</f>
        <v>1</v>
      </c>
      <c r="O361" s="1" t="n">
        <f aca="false">IF(OR( AND(MONTH(C361)=12,DAY(C361)&gt;=26), AND(MONTH(C361)=4,DAY(C361)&gt;=15), MONTH(C361)=5, AND(MONTH(C361)=6,DAY(C361)&lt;=10) ),1,0)</f>
        <v>0</v>
      </c>
      <c r="P361" s="1" t="str">
        <f aca="false">IF(OR(MONTH(C361)=3,MONTH(C361)=4,MONTH(C361)=5,MONTH(C361)=6), "Summer", IF(OR(MONTH(C361)=7,MONTH(C361)=8,MONTH(C361)=9,MONTH(C361)=10), "Monsoon", "Winter"))</f>
        <v>Summer</v>
      </c>
      <c r="Q361" s="1" t="n">
        <f aca="false">WEEKDAY(C361,2)</f>
        <v>6</v>
      </c>
      <c r="R361" s="0" t="n">
        <f aca="false">ROUNDDOWN(((INT(C361)+MOD(D361,1))-(INT(I361)+MOD(J361,1))),0)</f>
        <v>3</v>
      </c>
      <c r="S361" s="10"/>
    </row>
    <row r="362" customFormat="false" ht="204.9" hidden="false" customHeight="false" outlineLevel="0" collapsed="false">
      <c r="A362" s="8" t="s">
        <v>646</v>
      </c>
      <c r="B362" s="22" t="s">
        <v>647</v>
      </c>
      <c r="C362" s="18" t="n">
        <v>45746.7916666667</v>
      </c>
      <c r="D362" s="19" t="n">
        <v>45746.7916666667</v>
      </c>
      <c r="E362" s="18" t="n">
        <v>45747.75</v>
      </c>
      <c r="F362" s="19" t="n">
        <v>45747.75</v>
      </c>
      <c r="G362" s="20" t="n">
        <v>4500</v>
      </c>
      <c r="H362" s="8" t="n">
        <v>15</v>
      </c>
      <c r="I362" s="10" t="n">
        <v>45744</v>
      </c>
      <c r="J362" s="11" t="n">
        <v>0.606990740736366</v>
      </c>
      <c r="K362" s="1" t="str">
        <f aca="false">IF(L362&gt;24,     IF(H362=2,"Couple Extended Day","Extended Day"), IF(L362&lt;=12,     IF(AND(MOD(D362,1)&gt;=TIME(6,0,0),MOD(D362,1)&lt;TIME(18,0,0)),         IF(H362=2,"Couple Half Day","12H Day"),         IF(H362=2,"Couple Half Night","12H Night")), IF(L362&lt;=24,     IF(AND(MOD(D362,1)&gt;=TIME(6,0,0),MOD(D362,1)&lt;TIME(18,0,0)),         IF(H362=2,"Couple Full Day","24H Day"),         IF(H362=2,"Couple Full Night","24H Night")), "Check Data")))</f>
        <v>24H Night</v>
      </c>
      <c r="L362" s="12" t="n">
        <f aca="false">((INT(E362)+MOD(F362,1))-(INT(C362)+MOD(D362,1)))*24</f>
        <v>22.9999999990105</v>
      </c>
      <c r="M362" s="1" t="n">
        <f aca="false">IFERROR(INDEX(Sheet3!$B$2:$B$500,MATCH(1,(INT(C362)+MOD(D362,1)&lt;INT(Sheet3!$A$2:$A$500)+TIME(18,0,0))*(INT(E362)+MOD(F362,1)&gt;=INT(Sheet3!$A$2:$A$500)),0)),0)</f>
        <v>0</v>
      </c>
      <c r="N362" s="1" t="n">
        <f aca="false">IF(OR( AND(Q362=6,D362&gt;=TIME(17,0,0),OR(K362="12H Night",K362="Couple Half Night",K362="24H Night",K362="Couple Full Night")), AND(Q362=7,D362&gt;=TIME(6,0,0),D362&lt;TIME(12,0,0),OR(K362="12H Day",K362="Couple Half Day",K362="24H Day",K362="Couple Full Day")) ),1,0)</f>
        <v>0</v>
      </c>
      <c r="O362" s="1" t="n">
        <f aca="false">IF(OR( AND(MONTH(C362)=12,DAY(C362)&gt;=26), AND(MONTH(C362)=4,DAY(C362)&gt;=15), MONTH(C362)=5, AND(MONTH(C362)=6,DAY(C362)&lt;=10) ),1,0)</f>
        <v>0</v>
      </c>
      <c r="P362" s="1" t="str">
        <f aca="false">IF(OR(MONTH(C362)=3,MONTH(C362)=4,MONTH(C362)=5,MONTH(C362)=6), "Summer", IF(OR(MONTH(C362)=7,MONTH(C362)=8,MONTH(C362)=9,MONTH(C362)=10), "Monsoon", "Winter"))</f>
        <v>Summer</v>
      </c>
      <c r="Q362" s="1" t="n">
        <f aca="false">WEEKDAY(C362,2)</f>
        <v>7</v>
      </c>
      <c r="R362" s="0" t="n">
        <f aca="false">ROUNDDOWN(((INT(C362)+MOD(D362,1))-(INT(I362)+MOD(J362,1))),0)</f>
        <v>2</v>
      </c>
      <c r="S362" s="10"/>
    </row>
    <row r="363" customFormat="false" ht="199.05" hidden="false" customHeight="false" outlineLevel="0" collapsed="false">
      <c r="A363" s="8" t="s">
        <v>648</v>
      </c>
      <c r="B363" s="22" t="s">
        <v>649</v>
      </c>
      <c r="C363" s="18" t="n">
        <v>45747.7916666667</v>
      </c>
      <c r="D363" s="19" t="n">
        <v>45747.7916666667</v>
      </c>
      <c r="E363" s="18" t="n">
        <v>45748.2916666667</v>
      </c>
      <c r="F363" s="19" t="n">
        <v>45748.2916666667</v>
      </c>
      <c r="G363" s="20" t="n">
        <v>3000</v>
      </c>
      <c r="H363" s="8" t="n">
        <v>12</v>
      </c>
      <c r="I363" s="10" t="n">
        <v>45743</v>
      </c>
      <c r="J363" s="11" t="n">
        <v>0.849189814813148</v>
      </c>
      <c r="K363" s="1" t="str">
        <f aca="false">IF(L363&gt;24,     IF(H363=2,"Couple Extended Day","Extended Day"), IF(L363&lt;=12,     IF(AND(MOD(D363,1)&gt;=TIME(6,0,0),MOD(D363,1)&lt;TIME(18,0,0)),         IF(H363=2,"Couple Half Day","12H Day"),         IF(H363=2,"Couple Half Night","12H Night")), IF(L363&lt;=24,     IF(AND(MOD(D363,1)&gt;=TIME(6,0,0),MOD(D363,1)&lt;TIME(18,0,0)),         IF(H363=2,"Couple Full Day","24H Day"),         IF(H363=2,"Couple Full Night","24H Night")), "Check Data")))</f>
        <v>12H Night</v>
      </c>
      <c r="L363" s="12" t="n">
        <f aca="false">((INT(E363)+MOD(F363,1))-(INT(C363)+MOD(D363,1)))*24</f>
        <v>12</v>
      </c>
      <c r="M363" s="1" t="n">
        <f aca="false">IFERROR(INDEX(Sheet3!$B$2:$B$500,MATCH(1,(INT(C363)+MOD(D363,1)&lt;INT(Sheet3!$A$2:$A$500)+TIME(18,0,0))*(INT(E363)+MOD(F363,1)&gt;=INT(Sheet3!$A$2:$A$500)),0)),0)</f>
        <v>0</v>
      </c>
      <c r="N363" s="1" t="n">
        <f aca="false">IF(OR( AND(Q363=6,D363&gt;=TIME(17,0,0),OR(K363="12H Night",K363="Couple Half Night",K363="24H Night",K363="Couple Full Night")), AND(Q363=7,D363&gt;=TIME(6,0,0),D363&lt;TIME(12,0,0),OR(K363="12H Day",K363="Couple Half Day",K363="24H Day",K363="Couple Full Day")) ),1,0)</f>
        <v>0</v>
      </c>
      <c r="O363" s="1" t="n">
        <f aca="false">IF(OR( AND(MONTH(C363)=12,DAY(C363)&gt;=26), AND(MONTH(C363)=4,DAY(C363)&gt;=15), MONTH(C363)=5, AND(MONTH(C363)=6,DAY(C363)&lt;=10) ),1,0)</f>
        <v>0</v>
      </c>
      <c r="P363" s="1" t="str">
        <f aca="false">IF(OR(MONTH(C363)=3,MONTH(C363)=4,MONTH(C363)=5,MONTH(C363)=6), "Summer", IF(OR(MONTH(C363)=7,MONTH(C363)=8,MONTH(C363)=9,MONTH(C363)=10), "Monsoon", "Winter"))</f>
        <v>Summer</v>
      </c>
      <c r="Q363" s="1" t="n">
        <f aca="false">WEEKDAY(C363,2)</f>
        <v>1</v>
      </c>
      <c r="R363" s="0" t="n">
        <f aca="false">ROUNDDOWN(((INT(C363)+MOD(D363,1))-(INT(I363)+MOD(J363,1))),0)</f>
        <v>3</v>
      </c>
      <c r="S363" s="10"/>
    </row>
    <row r="364" customFormat="false" ht="216.9" hidden="false" customHeight="false" outlineLevel="0" collapsed="false">
      <c r="A364" s="8" t="s">
        <v>650</v>
      </c>
      <c r="B364" s="22" t="s">
        <v>651</v>
      </c>
      <c r="C364" s="18" t="n">
        <v>45748.7916666667</v>
      </c>
      <c r="D364" s="19" t="n">
        <v>45748.7916666667</v>
      </c>
      <c r="E364" s="18" t="n">
        <v>45749.75</v>
      </c>
      <c r="F364" s="19" t="n">
        <v>45749.75</v>
      </c>
      <c r="G364" s="20" t="n">
        <v>4500</v>
      </c>
      <c r="H364" s="8" t="n">
        <v>10</v>
      </c>
      <c r="I364" s="10" t="n">
        <v>45742</v>
      </c>
      <c r="J364" s="11" t="n">
        <v>0.653958333336053</v>
      </c>
      <c r="K364" s="1" t="str">
        <f aca="false">IF(L364&gt;24,     IF(H364=2,"Couple Extended Day","Extended Day"), IF(L364&lt;=12,     IF(AND(MOD(D364,1)&gt;=TIME(6,0,0),MOD(D364,1)&lt;TIME(18,0,0)),         IF(H364=2,"Couple Half Day","12H Day"),         IF(H364=2,"Couple Half Night","12H Night")), IF(L364&lt;=24,     IF(AND(MOD(D364,1)&gt;=TIME(6,0,0),MOD(D364,1)&lt;TIME(18,0,0)),         IF(H364=2,"Couple Full Day","24H Day"),         IF(H364=2,"Couple Full Night","24H Night")), "Check Data")))</f>
        <v>24H Night</v>
      </c>
      <c r="L364" s="12" t="n">
        <f aca="false">((INT(E364)+MOD(F364,1))-(INT(C364)+MOD(D364,1)))*24</f>
        <v>22.9999999990105</v>
      </c>
      <c r="M364" s="1" t="n">
        <f aca="false">IFERROR(INDEX(Sheet3!$B$2:$B$500,MATCH(1,(INT(C364)+MOD(D364,1)&lt;INT(Sheet3!$A$2:$A$500)+TIME(18,0,0))*(INT(E364)+MOD(F364,1)&gt;=INT(Sheet3!$A$2:$A$500)),0)),0)</f>
        <v>0</v>
      </c>
      <c r="N364" s="1" t="n">
        <f aca="false">IF(OR( AND(Q364=6,D364&gt;=TIME(17,0,0),OR(K364="12H Night",K364="Couple Half Night",K364="24H Night",K364="Couple Full Night")), AND(Q364=7,D364&gt;=TIME(6,0,0),D364&lt;TIME(12,0,0),OR(K364="12H Day",K364="Couple Half Day",K364="24H Day",K364="Couple Full Day")) ),1,0)</f>
        <v>0</v>
      </c>
      <c r="O364" s="1" t="n">
        <f aca="false">IF(OR( AND(MONTH(C364)=12,DAY(C364)&gt;=26), AND(MONTH(C364)=4,DAY(C364)&gt;=15), MONTH(C364)=5, AND(MONTH(C364)=6,DAY(C364)&lt;=10) ),1,0)</f>
        <v>0</v>
      </c>
      <c r="P364" s="1" t="str">
        <f aca="false">IF(OR(MONTH(C364)=3,MONTH(C364)=4,MONTH(C364)=5,MONTH(C364)=6), "Summer", IF(OR(MONTH(C364)=7,MONTH(C364)=8,MONTH(C364)=9,MONTH(C364)=10), "Monsoon", "Winter"))</f>
        <v>Summer</v>
      </c>
      <c r="Q364" s="1" t="n">
        <f aca="false">WEEKDAY(C364,2)</f>
        <v>2</v>
      </c>
      <c r="R364" s="0" t="n">
        <f aca="false">ROUNDDOWN(((INT(C364)+MOD(D364,1))-(INT(I364)+MOD(J364,1))),0)</f>
        <v>6</v>
      </c>
      <c r="S364" s="10"/>
    </row>
    <row r="365" customFormat="false" ht="216.9" hidden="false" customHeight="false" outlineLevel="0" collapsed="false">
      <c r="A365" s="8" t="s">
        <v>652</v>
      </c>
      <c r="B365" s="22" t="s">
        <v>653</v>
      </c>
      <c r="C365" s="18" t="n">
        <v>45749.7916666667</v>
      </c>
      <c r="D365" s="19" t="n">
        <v>45749.7916666667</v>
      </c>
      <c r="E365" s="18" t="n">
        <v>45750.75</v>
      </c>
      <c r="F365" s="19" t="n">
        <v>45750.75</v>
      </c>
      <c r="G365" s="20" t="n">
        <v>5500</v>
      </c>
      <c r="H365" s="8" t="n">
        <v>4</v>
      </c>
      <c r="I365" s="10" t="n">
        <v>45745</v>
      </c>
      <c r="J365" s="11" t="n">
        <v>0.457129629634433</v>
      </c>
      <c r="K365" s="1" t="str">
        <f aca="false">IF(L365&gt;24,     IF(H365=2,"Couple Extended Day","Extended Day"), IF(L365&lt;=12,     IF(AND(MOD(D365,1)&gt;=TIME(6,0,0),MOD(D365,1)&lt;TIME(18,0,0)),         IF(H365=2,"Couple Half Day","12H Day"),         IF(H365=2,"Couple Half Night","12H Night")), IF(L365&lt;=24,     IF(AND(MOD(D365,1)&gt;=TIME(6,0,0),MOD(D365,1)&lt;TIME(18,0,0)),         IF(H365=2,"Couple Full Day","24H Day"),         IF(H365=2,"Couple Full Night","24H Night")), "Check Data")))</f>
        <v>24H Night</v>
      </c>
      <c r="L365" s="12" t="n">
        <f aca="false">((INT(E365)+MOD(F365,1))-(INT(C365)+MOD(D365,1)))*24</f>
        <v>22.9999999990105</v>
      </c>
      <c r="M365" s="1" t="n">
        <f aca="false">IFERROR(INDEX(Sheet3!$B$2:$B$500,MATCH(1,(INT(C365)+MOD(D365,1)&lt;INT(Sheet3!$A$2:$A$500)+TIME(18,0,0))*(INT(E365)+MOD(F365,1)&gt;=INT(Sheet3!$A$2:$A$500)),0)),0)</f>
        <v>0</v>
      </c>
      <c r="N365" s="1" t="n">
        <f aca="false">IF(OR( AND(Q365=6,D365&gt;=TIME(17,0,0),OR(K365="12H Night",K365="Couple Half Night",K365="24H Night",K365="Couple Full Night")), AND(Q365=7,D365&gt;=TIME(6,0,0),D365&lt;TIME(12,0,0),OR(K365="12H Day",K365="Couple Half Day",K365="24H Day",K365="Couple Full Day")) ),1,0)</f>
        <v>0</v>
      </c>
      <c r="O365" s="1" t="n">
        <f aca="false">IF(OR( AND(MONTH(C365)=12,DAY(C365)&gt;=26), AND(MONTH(C365)=4,DAY(C365)&gt;=15), MONTH(C365)=5, AND(MONTH(C365)=6,DAY(C365)&lt;=10) ),1,0)</f>
        <v>0</v>
      </c>
      <c r="P365" s="1" t="str">
        <f aca="false">IF(OR(MONTH(C365)=3,MONTH(C365)=4,MONTH(C365)=5,MONTH(C365)=6), "Summer", IF(OR(MONTH(C365)=7,MONTH(C365)=8,MONTH(C365)=9,MONTH(C365)=10), "Monsoon", "Winter"))</f>
        <v>Summer</v>
      </c>
      <c r="Q365" s="1" t="n">
        <f aca="false">WEEKDAY(C365,2)</f>
        <v>3</v>
      </c>
      <c r="R365" s="0" t="n">
        <f aca="false">ROUNDDOWN(((INT(C365)+MOD(D365,1))-(INT(I365)+MOD(J365,1))),0)</f>
        <v>4</v>
      </c>
      <c r="S365" s="10"/>
    </row>
    <row r="366" customFormat="false" ht="192.95" hidden="false" customHeight="false" outlineLevel="0" collapsed="false">
      <c r="A366" s="8" t="s">
        <v>654</v>
      </c>
      <c r="B366" s="22" t="s">
        <v>655</v>
      </c>
      <c r="C366" s="18" t="n">
        <v>45751.7916666667</v>
      </c>
      <c r="D366" s="19" t="n">
        <v>45751.7916666667</v>
      </c>
      <c r="E366" s="18" t="n">
        <v>45752.75</v>
      </c>
      <c r="F366" s="19" t="n">
        <v>45752.75</v>
      </c>
      <c r="G366" s="20" t="n">
        <v>5400</v>
      </c>
      <c r="H366" s="8" t="n">
        <v>10</v>
      </c>
      <c r="I366" s="10" t="n">
        <v>45749</v>
      </c>
      <c r="J366" s="11" t="n">
        <v>0.478877314817512</v>
      </c>
      <c r="K366" s="1" t="str">
        <f aca="false">IF(L366&gt;24,     IF(H366=2,"Couple Extended Day","Extended Day"), IF(L366&lt;=12,     IF(AND(MOD(D366,1)&gt;=TIME(6,0,0),MOD(D366,1)&lt;TIME(18,0,0)),         IF(H366=2,"Couple Half Day","12H Day"),         IF(H366=2,"Couple Half Night","12H Night")), IF(L366&lt;=24,     IF(AND(MOD(D366,1)&gt;=TIME(6,0,0),MOD(D366,1)&lt;TIME(18,0,0)),         IF(H366=2,"Couple Full Day","24H Day"),         IF(H366=2,"Couple Full Night","24H Night")), "Check Data")))</f>
        <v>24H Night</v>
      </c>
      <c r="L366" s="12" t="n">
        <f aca="false">((INT(E366)+MOD(F366,1))-(INT(C366)+MOD(D366,1)))*24</f>
        <v>22.9999999990105</v>
      </c>
      <c r="M366" s="1" t="n">
        <f aca="false">IFERROR(INDEX(Sheet3!$B$2:$B$500,MATCH(1,(INT(C366)+MOD(D366,1)&lt;INT(Sheet3!$A$2:$A$500)+TIME(18,0,0))*(INT(E366)+MOD(F366,1)&gt;=INT(Sheet3!$A$2:$A$500)),0)),0)</f>
        <v>0</v>
      </c>
      <c r="N366" s="1" t="n">
        <f aca="false">IF(OR( AND(Q366=6,D366&gt;=TIME(17,0,0),OR(K366="12H Night",K366="Couple Half Night",K366="24H Night",K366="Couple Full Night")), AND(Q366=7,D366&gt;=TIME(6,0,0),D366&lt;TIME(12,0,0),OR(K366="12H Day",K366="Couple Half Day",K366="24H Day",K366="Couple Full Day")) ),1,0)</f>
        <v>0</v>
      </c>
      <c r="O366" s="1" t="n">
        <f aca="false">IF(OR( AND(MONTH(C366)=12,DAY(C366)&gt;=26), AND(MONTH(C366)=4,DAY(C366)&gt;=15), MONTH(C366)=5, AND(MONTH(C366)=6,DAY(C366)&lt;=10) ),1,0)</f>
        <v>0</v>
      </c>
      <c r="P366" s="1" t="str">
        <f aca="false">IF(OR(MONTH(C366)=3,MONTH(C366)=4,MONTH(C366)=5,MONTH(C366)=6), "Summer", IF(OR(MONTH(C366)=7,MONTH(C366)=8,MONTH(C366)=9,MONTH(C366)=10), "Monsoon", "Winter"))</f>
        <v>Summer</v>
      </c>
      <c r="Q366" s="1" t="n">
        <f aca="false">WEEKDAY(C366,2)</f>
        <v>5</v>
      </c>
      <c r="R366" s="0" t="n">
        <f aca="false">ROUNDDOWN(((INT(C366)+MOD(D366,1))-(INT(I366)+MOD(J366,1))),0)</f>
        <v>2</v>
      </c>
      <c r="S366" s="10"/>
    </row>
    <row r="367" customFormat="false" ht="192.95" hidden="false" customHeight="false" outlineLevel="0" collapsed="false">
      <c r="A367" s="8" t="s">
        <v>656</v>
      </c>
      <c r="B367" s="22" t="s">
        <v>657</v>
      </c>
      <c r="C367" s="18" t="n">
        <v>45752.7916666667</v>
      </c>
      <c r="D367" s="19" t="n">
        <v>45752.7916666667</v>
      </c>
      <c r="E367" s="18" t="n">
        <v>45753.75</v>
      </c>
      <c r="F367" s="19" t="n">
        <v>45753.75</v>
      </c>
      <c r="G367" s="20" t="n">
        <v>7000</v>
      </c>
      <c r="H367" s="8" t="n">
        <v>7</v>
      </c>
      <c r="I367" s="10" t="n">
        <v>45752</v>
      </c>
      <c r="J367" s="11" t="n">
        <v>0.680590277777812</v>
      </c>
      <c r="K367" s="1" t="str">
        <f aca="false">IF(L367&gt;24,     IF(H367=2,"Couple Extended Day","Extended Day"), IF(L367&lt;=12,     IF(AND(MOD(D367,1)&gt;=TIME(6,0,0),MOD(D367,1)&lt;TIME(18,0,0)),         IF(H367=2,"Couple Half Day","12H Day"),         IF(H367=2,"Couple Half Night","12H Night")), IF(L367&lt;=24,     IF(AND(MOD(D367,1)&gt;=TIME(6,0,0),MOD(D367,1)&lt;TIME(18,0,0)),         IF(H367=2,"Couple Full Day","24H Day"),         IF(H367=2,"Couple Full Night","24H Night")), "Check Data")))</f>
        <v>24H Night</v>
      </c>
      <c r="L367" s="12" t="n">
        <f aca="false">((INT(E367)+MOD(F367,1))-(INT(C367)+MOD(D367,1)))*24</f>
        <v>22.9999999990105</v>
      </c>
      <c r="M367" s="1" t="str">
        <f aca="false">IFERROR(INDEX(Sheet3!$B$2:$B$500,MATCH(1,(INT(C367)+MOD(D367,1)&lt;INT(Sheet3!$A$2:$A$500)+TIME(18,0,0))*(INT(E367)+MOD(F367,1)&gt;=INT(Sheet3!$A$2:$A$500)),0)),0)</f>
        <v>Ram Navami</v>
      </c>
      <c r="N367" s="1" t="n">
        <f aca="false">IF(OR( AND(Q367=6,D367&gt;=TIME(17,0,0),OR(K367="12H Night",K367="Couple Half Night",K367="24H Night",K367="Couple Full Night")), AND(Q367=7,D367&gt;=TIME(6,0,0),D367&lt;TIME(12,0,0),OR(K367="12H Day",K367="Couple Half Day",K367="24H Day",K367="Couple Full Day")) ),1,0)</f>
        <v>1</v>
      </c>
      <c r="O367" s="1" t="n">
        <f aca="false">IF(OR( AND(MONTH(C367)=12,DAY(C367)&gt;=26), AND(MONTH(C367)=4,DAY(C367)&gt;=15), MONTH(C367)=5, AND(MONTH(C367)=6,DAY(C367)&lt;=10) ),1,0)</f>
        <v>0</v>
      </c>
      <c r="P367" s="1" t="str">
        <f aca="false">IF(OR(MONTH(C367)=3,MONTH(C367)=4,MONTH(C367)=5,MONTH(C367)=6), "Summer", IF(OR(MONTH(C367)=7,MONTH(C367)=8,MONTH(C367)=9,MONTH(C367)=10), "Monsoon", "Winter"))</f>
        <v>Summer</v>
      </c>
      <c r="Q367" s="1" t="n">
        <f aca="false">WEEKDAY(C367,2)</f>
        <v>6</v>
      </c>
      <c r="R367" s="0" t="n">
        <f aca="false">ROUNDDOWN(((INT(C367)+MOD(D367,1))-(INT(I367)+MOD(J367,1))),0)</f>
        <v>0</v>
      </c>
      <c r="S367" s="10"/>
    </row>
    <row r="368" customFormat="false" ht="15.75" hidden="false" customHeight="false" outlineLevel="0" collapsed="false">
      <c r="A368" s="8" t="s">
        <v>658</v>
      </c>
      <c r="B368" s="8" t="s">
        <v>53</v>
      </c>
      <c r="C368" s="18" t="n">
        <v>45756.5833333333</v>
      </c>
      <c r="D368" s="19" t="n">
        <v>0</v>
      </c>
      <c r="E368" s="18" t="n">
        <v>45757.2916666667</v>
      </c>
      <c r="F368" s="19" t="n">
        <v>45757.2916666667</v>
      </c>
      <c r="G368" s="20" t="n">
        <v>3000</v>
      </c>
      <c r="I368" s="10" t="n">
        <v>45756</v>
      </c>
      <c r="J368" s="11" t="n">
        <v>0.586631944446713</v>
      </c>
      <c r="K368" s="1" t="str">
        <f aca="false">IF(L368&gt;24,     IF(H368=2,"Couple Extended Day","Extended Day"), IF(L368&lt;=12,     IF(AND(MOD(D368,1)&gt;=TIME(6,0,0),MOD(D368,1)&lt;TIME(18,0,0)),         IF(H368=2,"Couple Half Day","12H Day"),         IF(H368=2,"Couple Half Night","12H Night")), IF(L368&lt;=24,     IF(AND(MOD(D368,1)&gt;=TIME(6,0,0),MOD(D368,1)&lt;TIME(18,0,0)),         IF(H368=2,"Couple Full Day","24H Day"),         IF(H368=2,"Couple Full Night","24H Night")), "Check Data")))</f>
        <v>Extended Day</v>
      </c>
      <c r="L368" s="12" t="n">
        <f aca="false">((INT(E368)+MOD(F368,1))-(INT(C368)+MOD(D368,1)))*24</f>
        <v>31.0000000009895</v>
      </c>
      <c r="M368" s="1" t="n">
        <f aca="false">IFERROR(INDEX(Sheet3!$B$2:$B$500,MATCH(1,(INT(C368)+MOD(D368,1)&lt;INT(Sheet3!$A$2:$A$500)+TIME(18,0,0))*(INT(E368)+MOD(F368,1)&gt;=INT(Sheet3!$A$2:$A$500)),0)),0)</f>
        <v>0</v>
      </c>
      <c r="N368" s="1" t="n">
        <f aca="false">IF(OR( AND(Q368=6,D368&gt;=TIME(17,0,0),OR(K368="12H Night",K368="Couple Half Night",K368="24H Night",K368="Couple Full Night")), AND(Q368=7,D368&gt;=TIME(6,0,0),D368&lt;TIME(12,0,0),OR(K368="12H Day",K368="Couple Half Day",K368="24H Day",K368="Couple Full Day")) ),1,0)</f>
        <v>0</v>
      </c>
      <c r="O368" s="1" t="n">
        <f aca="false">IF(OR( AND(MONTH(C368)=12,DAY(C368)&gt;=26), AND(MONTH(C368)=4,DAY(C368)&gt;=15), MONTH(C368)=5, AND(MONTH(C368)=6,DAY(C368)&lt;=10) ),1,0)</f>
        <v>0</v>
      </c>
      <c r="P368" s="1" t="str">
        <f aca="false">IF(OR(MONTH(C368)=3,MONTH(C368)=4,MONTH(C368)=5,MONTH(C368)=6), "Summer", IF(OR(MONTH(C368)=7,MONTH(C368)=8,MONTH(C368)=9,MONTH(C368)=10), "Monsoon", "Winter"))</f>
        <v>Summer</v>
      </c>
      <c r="Q368" s="1" t="n">
        <f aca="false">WEEKDAY(C368,2)</f>
        <v>3</v>
      </c>
      <c r="R368" s="0" t="n">
        <f aca="false">ROUNDDOWN(((INT(C368)+MOD(D368,1))-(INT(I368)+MOD(J368,1))),0)</f>
        <v>-0</v>
      </c>
      <c r="S368" s="10"/>
    </row>
    <row r="369" customFormat="false" ht="15.75" hidden="false" customHeight="false" outlineLevel="0" collapsed="false">
      <c r="A369" s="8" t="s">
        <v>243</v>
      </c>
      <c r="B369" s="8" t="s">
        <v>43</v>
      </c>
      <c r="C369" s="18" t="n">
        <v>45757.3333333333</v>
      </c>
      <c r="D369" s="19" t="n">
        <v>0</v>
      </c>
      <c r="E369" s="18" t="n">
        <v>45757.75</v>
      </c>
      <c r="F369" s="19" t="n">
        <v>45757.75</v>
      </c>
      <c r="G369" s="20" t="n">
        <v>2500</v>
      </c>
      <c r="I369" s="10" t="n">
        <v>45756</v>
      </c>
      <c r="J369" s="11" t="n">
        <v>0.587916666670937</v>
      </c>
      <c r="K369" s="1" t="str">
        <f aca="false">IF(L369&gt;24,     IF(H369=2,"Couple Extended Day","Extended Day"), IF(L369&lt;=12,     IF(AND(MOD(D369,1)&gt;=TIME(6,0,0),MOD(D369,1)&lt;TIME(18,0,0)),         IF(H369=2,"Couple Half Day","12H Day"),         IF(H369=2,"Couple Half Night","12H Night")), IF(L369&lt;=24,     IF(AND(MOD(D369,1)&gt;=TIME(6,0,0),MOD(D369,1)&lt;TIME(18,0,0)),         IF(H369=2,"Couple Full Day","24H Day"),         IF(H369=2,"Couple Full Night","24H Night")), "Check Data")))</f>
        <v>24H Night</v>
      </c>
      <c r="L369" s="12" t="n">
        <f aca="false">((INT(E369)+MOD(F369,1))-(INT(C369)+MOD(D369,1)))*24</f>
        <v>18</v>
      </c>
      <c r="M369" s="1" t="n">
        <f aca="false">IFERROR(INDEX(Sheet3!$B$2:$B$500,MATCH(1,(INT(C369)+MOD(D369,1)&lt;INT(Sheet3!$A$2:$A$500)+TIME(18,0,0))*(INT(E369)+MOD(F369,1)&gt;=INT(Sheet3!$A$2:$A$500)),0)),0)</f>
        <v>0</v>
      </c>
      <c r="N369" s="1" t="n">
        <f aca="false">IF(OR( AND(Q369=6,D369&gt;=TIME(17,0,0),OR(K369="12H Night",K369="Couple Half Night",K369="24H Night",K369="Couple Full Night")), AND(Q369=7,D369&gt;=TIME(6,0,0),D369&lt;TIME(12,0,0),OR(K369="12H Day",K369="Couple Half Day",K369="24H Day",K369="Couple Full Day")) ),1,0)</f>
        <v>0</v>
      </c>
      <c r="O369" s="1" t="n">
        <f aca="false">IF(OR( AND(MONTH(C369)=12,DAY(C369)&gt;=26), AND(MONTH(C369)=4,DAY(C369)&gt;=15), MONTH(C369)=5, AND(MONTH(C369)=6,DAY(C369)&lt;=10) ),1,0)</f>
        <v>0</v>
      </c>
      <c r="P369" s="1" t="str">
        <f aca="false">IF(OR(MONTH(C369)=3,MONTH(C369)=4,MONTH(C369)=5,MONTH(C369)=6), "Summer", IF(OR(MONTH(C369)=7,MONTH(C369)=8,MONTH(C369)=9,MONTH(C369)=10), "Monsoon", "Winter"))</f>
        <v>Summer</v>
      </c>
      <c r="Q369" s="1" t="n">
        <f aca="false">WEEKDAY(C369,2)</f>
        <v>4</v>
      </c>
      <c r="R369" s="0" t="n">
        <f aca="false">ROUNDDOWN(((INT(C369)+MOD(D369,1))-(INT(I369)+MOD(J369,1))),0)</f>
        <v>0</v>
      </c>
      <c r="S369" s="10"/>
    </row>
    <row r="370" customFormat="false" ht="251.6" hidden="false" customHeight="false" outlineLevel="0" collapsed="false">
      <c r="A370" s="8" t="s">
        <v>329</v>
      </c>
      <c r="B370" s="22" t="s">
        <v>659</v>
      </c>
      <c r="C370" s="18" t="n">
        <v>45757.7916666667</v>
      </c>
      <c r="D370" s="19" t="n">
        <v>45757.7916666667</v>
      </c>
      <c r="E370" s="18" t="n">
        <v>45758.75</v>
      </c>
      <c r="F370" s="19" t="n">
        <v>45758.75</v>
      </c>
      <c r="G370" s="20" t="n">
        <v>5000</v>
      </c>
      <c r="H370" s="8" t="n">
        <v>10</v>
      </c>
      <c r="I370" s="10" t="n">
        <v>45756</v>
      </c>
      <c r="J370" s="11" t="n">
        <v>0.537106481482627</v>
      </c>
      <c r="K370" s="1" t="str">
        <f aca="false">IF(L370&gt;24,     IF(H370=2,"Couple Extended Day","Extended Day"), IF(L370&lt;=12,     IF(AND(MOD(D370,1)&gt;=TIME(6,0,0),MOD(D370,1)&lt;TIME(18,0,0)),         IF(H370=2,"Couple Half Day","12H Day"),         IF(H370=2,"Couple Half Night","12H Night")), IF(L370&lt;=24,     IF(AND(MOD(D370,1)&gt;=TIME(6,0,0),MOD(D370,1)&lt;TIME(18,0,0)),         IF(H370=2,"Couple Full Day","24H Day"),         IF(H370=2,"Couple Full Night","24H Night")), "Check Data")))</f>
        <v>24H Night</v>
      </c>
      <c r="L370" s="12" t="n">
        <f aca="false">((INT(E370)+MOD(F370,1))-(INT(C370)+MOD(D370,1)))*24</f>
        <v>22.9999999990105</v>
      </c>
      <c r="M370" s="1" t="n">
        <f aca="false">IFERROR(INDEX(Sheet3!$B$2:$B$500,MATCH(1,(INT(C370)+MOD(D370,1)&lt;INT(Sheet3!$A$2:$A$500)+TIME(18,0,0))*(INT(E370)+MOD(F370,1)&gt;=INT(Sheet3!$A$2:$A$500)),0)),0)</f>
        <v>0</v>
      </c>
      <c r="N370" s="1" t="n">
        <f aca="false">IF(OR( AND(Q370=6,D370&gt;=TIME(17,0,0),OR(K370="12H Night",K370="Couple Half Night",K370="24H Night",K370="Couple Full Night")), AND(Q370=7,D370&gt;=TIME(6,0,0),D370&lt;TIME(12,0,0),OR(K370="12H Day",K370="Couple Half Day",K370="24H Day",K370="Couple Full Day")) ),1,0)</f>
        <v>0</v>
      </c>
      <c r="O370" s="1" t="n">
        <f aca="false">IF(OR( AND(MONTH(C370)=12,DAY(C370)&gt;=26), AND(MONTH(C370)=4,DAY(C370)&gt;=15), MONTH(C370)=5, AND(MONTH(C370)=6,DAY(C370)&lt;=10) ),1,0)</f>
        <v>0</v>
      </c>
      <c r="P370" s="1" t="str">
        <f aca="false">IF(OR(MONTH(C370)=3,MONTH(C370)=4,MONTH(C370)=5,MONTH(C370)=6), "Summer", IF(OR(MONTH(C370)=7,MONTH(C370)=8,MONTH(C370)=9,MONTH(C370)=10), "Monsoon", "Winter"))</f>
        <v>Summer</v>
      </c>
      <c r="Q370" s="1" t="n">
        <f aca="false">WEEKDAY(C370,2)</f>
        <v>4</v>
      </c>
      <c r="R370" s="0" t="n">
        <f aca="false">ROUNDDOWN(((INT(C370)+MOD(D370,1))-(INT(I370)+MOD(J370,1))),0)</f>
        <v>1</v>
      </c>
      <c r="S370" s="10"/>
    </row>
    <row r="371" customFormat="false" ht="225.35" hidden="false" customHeight="false" outlineLevel="0" collapsed="false">
      <c r="A371" s="8" t="s">
        <v>652</v>
      </c>
      <c r="B371" s="22" t="s">
        <v>660</v>
      </c>
      <c r="C371" s="18" t="n">
        <v>45758.7916666667</v>
      </c>
      <c r="D371" s="19" t="n">
        <v>45758.7916666667</v>
      </c>
      <c r="E371" s="18" t="n">
        <v>45759.75</v>
      </c>
      <c r="F371" s="19" t="n">
        <v>45759.75</v>
      </c>
      <c r="G371" s="20" t="n">
        <v>6000</v>
      </c>
      <c r="H371" s="8" t="n">
        <v>10</v>
      </c>
      <c r="I371" s="10" t="n">
        <v>45745</v>
      </c>
      <c r="J371" s="11" t="n">
        <v>0.453553240738981</v>
      </c>
      <c r="K371" s="1" t="str">
        <f aca="false">IF(L371&gt;24,     IF(H371=2,"Couple Extended Day","Extended Day"), IF(L371&lt;=12,     IF(AND(MOD(D371,1)&gt;=TIME(6,0,0),MOD(D371,1)&lt;TIME(18,0,0)),         IF(H371=2,"Couple Half Day","12H Day"),         IF(H371=2,"Couple Half Night","12H Night")), IF(L371&lt;=24,     IF(AND(MOD(D371,1)&gt;=TIME(6,0,0),MOD(D371,1)&lt;TIME(18,0,0)),         IF(H371=2,"Couple Full Day","24H Day"),         IF(H371=2,"Couple Full Night","24H Night")), "Check Data")))</f>
        <v>24H Night</v>
      </c>
      <c r="L371" s="12" t="n">
        <f aca="false">((INT(E371)+MOD(F371,1))-(INT(C371)+MOD(D371,1)))*24</f>
        <v>22.9999999990105</v>
      </c>
      <c r="M371" s="1" t="n">
        <f aca="false">IFERROR(INDEX(Sheet3!$B$2:$B$500,MATCH(1,(INT(C371)+MOD(D371,1)&lt;INT(Sheet3!$A$2:$A$500)+TIME(18,0,0))*(INT(E371)+MOD(F371,1)&gt;=INT(Sheet3!$A$2:$A$500)),0)),0)</f>
        <v>0</v>
      </c>
      <c r="N371" s="1" t="n">
        <f aca="false">IF(OR( AND(Q371=6,D371&gt;=TIME(17,0,0),OR(K371="12H Night",K371="Couple Half Night",K371="24H Night",K371="Couple Full Night")), AND(Q371=7,D371&gt;=TIME(6,0,0),D371&lt;TIME(12,0,0),OR(K371="12H Day",K371="Couple Half Day",K371="24H Day",K371="Couple Full Day")) ),1,0)</f>
        <v>0</v>
      </c>
      <c r="O371" s="1" t="n">
        <f aca="false">IF(OR( AND(MONTH(C371)=12,DAY(C371)&gt;=26), AND(MONTH(C371)=4,DAY(C371)&gt;=15), MONTH(C371)=5, AND(MONTH(C371)=6,DAY(C371)&lt;=10) ),1,0)</f>
        <v>0</v>
      </c>
      <c r="P371" s="1" t="str">
        <f aca="false">IF(OR(MONTH(C371)=3,MONTH(C371)=4,MONTH(C371)=5,MONTH(C371)=6), "Summer", IF(OR(MONTH(C371)=7,MONTH(C371)=8,MONTH(C371)=9,MONTH(C371)=10), "Monsoon", "Winter"))</f>
        <v>Summer</v>
      </c>
      <c r="Q371" s="1" t="n">
        <f aca="false">WEEKDAY(C371,2)</f>
        <v>5</v>
      </c>
      <c r="R371" s="0" t="n">
        <f aca="false">ROUNDDOWN(((INT(C371)+MOD(D371,1))-(INT(I371)+MOD(J371,1))),0)</f>
        <v>13</v>
      </c>
      <c r="S371" s="10"/>
    </row>
    <row r="372" customFormat="false" ht="159.6" hidden="false" customHeight="false" outlineLevel="0" collapsed="false">
      <c r="A372" s="8" t="s">
        <v>661</v>
      </c>
      <c r="B372" s="22" t="s">
        <v>662</v>
      </c>
      <c r="C372" s="18" t="n">
        <v>45759.7916666667</v>
      </c>
      <c r="D372" s="19" t="n">
        <v>45759.7916666667</v>
      </c>
      <c r="E372" s="18" t="n">
        <v>45760.75</v>
      </c>
      <c r="F372" s="19" t="n">
        <v>45760.75</v>
      </c>
      <c r="G372" s="20" t="n">
        <v>12000</v>
      </c>
      <c r="H372" s="8" t="n">
        <v>12</v>
      </c>
      <c r="I372" s="10" t="n">
        <v>45744</v>
      </c>
      <c r="J372" s="11" t="n">
        <v>0.682824074072419</v>
      </c>
      <c r="K372" s="1" t="str">
        <f aca="false">IF(L372&gt;24,     IF(H372=2,"Couple Extended Day","Extended Day"), IF(L372&lt;=12,     IF(AND(MOD(D372,1)&gt;=TIME(6,0,0),MOD(D372,1)&lt;TIME(18,0,0)),         IF(H372=2,"Couple Half Day","12H Day"),         IF(H372=2,"Couple Half Night","12H Night")), IF(L372&lt;=24,     IF(AND(MOD(D372,1)&gt;=TIME(6,0,0),MOD(D372,1)&lt;TIME(18,0,0)),         IF(H372=2,"Couple Full Day","24H Day"),         IF(H372=2,"Couple Full Night","24H Night")), "Check Data")))</f>
        <v>24H Night</v>
      </c>
      <c r="L372" s="12" t="n">
        <f aca="false">((INT(E372)+MOD(F372,1))-(INT(C372)+MOD(D372,1)))*24</f>
        <v>22.9999999990105</v>
      </c>
      <c r="M372" s="1" t="n">
        <f aca="false">IFERROR(INDEX(Sheet3!$B$2:$B$500,MATCH(1,(INT(C372)+MOD(D372,1)&lt;INT(Sheet3!$A$2:$A$500)+TIME(18,0,0))*(INT(E372)+MOD(F372,1)&gt;=INT(Sheet3!$A$2:$A$500)),0)),0)</f>
        <v>0</v>
      </c>
      <c r="N372" s="1" t="n">
        <f aca="false">IF(OR( AND(Q372=6,D372&gt;=TIME(17,0,0),OR(K372="12H Night",K372="Couple Half Night",K372="24H Night",K372="Couple Full Night")), AND(Q372=7,D372&gt;=TIME(6,0,0),D372&lt;TIME(12,0,0),OR(K372="12H Day",K372="Couple Half Day",K372="24H Day",K372="Couple Full Day")) ),1,0)</f>
        <v>1</v>
      </c>
      <c r="O372" s="1" t="n">
        <f aca="false">IF(OR( AND(MONTH(C372)=12,DAY(C372)&gt;=26), AND(MONTH(C372)=4,DAY(C372)&gt;=15), MONTH(C372)=5, AND(MONTH(C372)=6,DAY(C372)&lt;=10) ),1,0)</f>
        <v>0</v>
      </c>
      <c r="P372" s="1" t="str">
        <f aca="false">IF(OR(MONTH(C372)=3,MONTH(C372)=4,MONTH(C372)=5,MONTH(C372)=6), "Summer", IF(OR(MONTH(C372)=7,MONTH(C372)=8,MONTH(C372)=9,MONTH(C372)=10), "Monsoon", "Winter"))</f>
        <v>Summer</v>
      </c>
      <c r="Q372" s="1" t="n">
        <f aca="false">WEEKDAY(C372,2)</f>
        <v>6</v>
      </c>
      <c r="R372" s="0" t="n">
        <f aca="false">ROUNDDOWN(((INT(C372)+MOD(D372,1))-(INT(I372)+MOD(J372,1))),0)</f>
        <v>15</v>
      </c>
      <c r="S372" s="10"/>
    </row>
    <row r="373" customFormat="false" ht="212.2" hidden="false" customHeight="false" outlineLevel="0" collapsed="false">
      <c r="A373" s="8" t="s">
        <v>663</v>
      </c>
      <c r="B373" s="22" t="s">
        <v>664</v>
      </c>
      <c r="C373" s="18" t="n">
        <v>45760.7916666667</v>
      </c>
      <c r="D373" s="19" t="n">
        <v>45760.7916666667</v>
      </c>
      <c r="E373" s="18" t="n">
        <v>45761.75</v>
      </c>
      <c r="F373" s="19" t="n">
        <v>45761.75</v>
      </c>
      <c r="G373" s="20" t="n">
        <v>5000</v>
      </c>
      <c r="H373" s="8" t="n">
        <v>15</v>
      </c>
      <c r="I373" s="10" t="n">
        <v>45757</v>
      </c>
      <c r="J373" s="11" t="n">
        <v>0.919976851851968</v>
      </c>
      <c r="K373" s="1" t="str">
        <f aca="false">IF(L373&gt;24,     IF(H373=2,"Couple Extended Day","Extended Day"), IF(L373&lt;=12,     IF(AND(MOD(D373,1)&gt;=TIME(6,0,0),MOD(D373,1)&lt;TIME(18,0,0)),         IF(H373=2,"Couple Half Day","12H Day"),         IF(H373=2,"Couple Half Night","12H Night")), IF(L373&lt;=24,     IF(AND(MOD(D373,1)&gt;=TIME(6,0,0),MOD(D373,1)&lt;TIME(18,0,0)),         IF(H373=2,"Couple Full Day","24H Day"),         IF(H373=2,"Couple Full Night","24H Night")), "Check Data")))</f>
        <v>24H Night</v>
      </c>
      <c r="L373" s="12" t="n">
        <f aca="false">((INT(E373)+MOD(F373,1))-(INT(C373)+MOD(D373,1)))*24</f>
        <v>22.9999999990105</v>
      </c>
      <c r="M373" s="1" t="n">
        <f aca="false">IFERROR(INDEX(Sheet3!$B$2:$B$500,MATCH(1,(INT(C373)+MOD(D373,1)&lt;INT(Sheet3!$A$2:$A$500)+TIME(18,0,0))*(INT(E373)+MOD(F373,1)&gt;=INT(Sheet3!$A$2:$A$500)),0)),0)</f>
        <v>0</v>
      </c>
      <c r="N373" s="1" t="n">
        <f aca="false">IF(OR( AND(Q373=6,D373&gt;=TIME(17,0,0),OR(K373="12H Night",K373="Couple Half Night",K373="24H Night",K373="Couple Full Night")), AND(Q373=7,D373&gt;=TIME(6,0,0),D373&lt;TIME(12,0,0),OR(K373="12H Day",K373="Couple Half Day",K373="24H Day",K373="Couple Full Day")) ),1,0)</f>
        <v>0</v>
      </c>
      <c r="O373" s="1" t="n">
        <f aca="false">IF(OR( AND(MONTH(C373)=12,DAY(C373)&gt;=26), AND(MONTH(C373)=4,DAY(C373)&gt;=15), MONTH(C373)=5, AND(MONTH(C373)=6,DAY(C373)&lt;=10) ),1,0)</f>
        <v>0</v>
      </c>
      <c r="P373" s="1" t="str">
        <f aca="false">IF(OR(MONTH(C373)=3,MONTH(C373)=4,MONTH(C373)=5,MONTH(C373)=6), "Summer", IF(OR(MONTH(C373)=7,MONTH(C373)=8,MONTH(C373)=9,MONTH(C373)=10), "Monsoon", "Winter"))</f>
        <v>Summer</v>
      </c>
      <c r="Q373" s="1" t="n">
        <f aca="false">WEEKDAY(C373,2)</f>
        <v>7</v>
      </c>
      <c r="R373" s="0" t="n">
        <f aca="false">ROUNDDOWN(((INT(C373)+MOD(D373,1))-(INT(I373)+MOD(J373,1))),0)</f>
        <v>2</v>
      </c>
      <c r="S373" s="10"/>
    </row>
    <row r="374" customFormat="false" ht="204.9" hidden="false" customHeight="false" outlineLevel="0" collapsed="false">
      <c r="A374" s="8" t="s">
        <v>665</v>
      </c>
      <c r="B374" s="22" t="s">
        <v>666</v>
      </c>
      <c r="C374" s="18" t="n">
        <v>45761.7916666667</v>
      </c>
      <c r="D374" s="19" t="n">
        <v>45761.7916666667</v>
      </c>
      <c r="E374" s="18" t="n">
        <v>45762.75</v>
      </c>
      <c r="F374" s="19" t="n">
        <v>45762.75</v>
      </c>
      <c r="G374" s="20" t="n">
        <v>5500</v>
      </c>
      <c r="H374" s="8" t="n">
        <v>10</v>
      </c>
      <c r="I374" s="10" t="n">
        <v>45761</v>
      </c>
      <c r="J374" s="11" t="n">
        <v>0.668634259258403</v>
      </c>
      <c r="K374" s="1" t="str">
        <f aca="false">IF(L374&gt;24,     IF(H374=2,"Couple Extended Day","Extended Day"), IF(L374&lt;=12,     IF(AND(MOD(D374,1)&gt;=TIME(6,0,0),MOD(D374,1)&lt;TIME(18,0,0)),         IF(H374=2,"Couple Half Day","12H Day"),         IF(H374=2,"Couple Half Night","12H Night")), IF(L374&lt;=24,     IF(AND(MOD(D374,1)&gt;=TIME(6,0,0),MOD(D374,1)&lt;TIME(18,0,0)),         IF(H374=2,"Couple Full Day","24H Day"),         IF(H374=2,"Couple Full Night","24H Night")), "Check Data")))</f>
        <v>24H Night</v>
      </c>
      <c r="L374" s="12" t="n">
        <f aca="false">((INT(E374)+MOD(F374,1))-(INT(C374)+MOD(D374,1)))*24</f>
        <v>22.9999999990105</v>
      </c>
      <c r="M374" s="1" t="n">
        <f aca="false">IFERROR(INDEX(Sheet3!$B$2:$B$500,MATCH(1,(INT(C374)+MOD(D374,1)&lt;INT(Sheet3!$A$2:$A$500)+TIME(18,0,0))*(INT(E374)+MOD(F374,1)&gt;=INT(Sheet3!$A$2:$A$500)),0)),0)</f>
        <v>0</v>
      </c>
      <c r="N374" s="1" t="n">
        <f aca="false">IF(OR( AND(Q374=6,D374&gt;=TIME(17,0,0),OR(K374="12H Night",K374="Couple Half Night",K374="24H Night",K374="Couple Full Night")), AND(Q374=7,D374&gt;=TIME(6,0,0),D374&lt;TIME(12,0,0),OR(K374="12H Day",K374="Couple Half Day",K374="24H Day",K374="Couple Full Day")) ),1,0)</f>
        <v>0</v>
      </c>
      <c r="O374" s="1" t="n">
        <f aca="false">IF(OR( AND(MONTH(C374)=12,DAY(C374)&gt;=26), AND(MONTH(C374)=4,DAY(C374)&gt;=15), MONTH(C374)=5, AND(MONTH(C374)=6,DAY(C374)&lt;=10) ),1,0)</f>
        <v>0</v>
      </c>
      <c r="P374" s="1" t="str">
        <f aca="false">IF(OR(MONTH(C374)=3,MONTH(C374)=4,MONTH(C374)=5,MONTH(C374)=6), "Summer", IF(OR(MONTH(C374)=7,MONTH(C374)=8,MONTH(C374)=9,MONTH(C374)=10), "Monsoon", "Winter"))</f>
        <v>Summer</v>
      </c>
      <c r="Q374" s="1" t="n">
        <f aca="false">WEEKDAY(C374,2)</f>
        <v>1</v>
      </c>
      <c r="R374" s="0" t="n">
        <f aca="false">ROUNDDOWN(((INT(C374)+MOD(D374,1))-(INT(I374)+MOD(J374,1))),0)</f>
        <v>0</v>
      </c>
      <c r="S374" s="10"/>
    </row>
    <row r="375" customFormat="false" ht="204.9" hidden="false" customHeight="false" outlineLevel="0" collapsed="false">
      <c r="A375" s="8" t="s">
        <v>514</v>
      </c>
      <c r="B375" s="22" t="s">
        <v>667</v>
      </c>
      <c r="C375" s="18" t="n">
        <v>45763.5833333333</v>
      </c>
      <c r="D375" s="19" t="n">
        <v>0</v>
      </c>
      <c r="E375" s="18" t="n">
        <v>45763.75</v>
      </c>
      <c r="F375" s="19" t="n">
        <v>45763.75</v>
      </c>
      <c r="G375" s="20" t="n">
        <v>2500</v>
      </c>
      <c r="H375" s="8" t="n">
        <v>6</v>
      </c>
      <c r="I375" s="10" t="n">
        <v>45763</v>
      </c>
      <c r="J375" s="11" t="n">
        <v>0.578865740739271</v>
      </c>
      <c r="K375" s="1" t="str">
        <f aca="false">IF(L375&gt;24,     IF(H375=2,"Couple Extended Day","Extended Day"), IF(L375&lt;=12,     IF(AND(MOD(D375,1)&gt;=TIME(6,0,0),MOD(D375,1)&lt;TIME(18,0,0)),         IF(H375=2,"Couple Half Day","12H Day"),         IF(H375=2,"Couple Half Night","12H Night")), IF(L375&lt;=24,     IF(AND(MOD(D375,1)&gt;=TIME(6,0,0),MOD(D375,1)&lt;TIME(18,0,0)),         IF(H375=2,"Couple Full Day","24H Day"),         IF(H375=2,"Couple Full Night","24H Night")), "Check Data")))</f>
        <v>24H Night</v>
      </c>
      <c r="L375" s="12" t="n">
        <f aca="false">((INT(E375)+MOD(F375,1))-(INT(C375)+MOD(D375,1)))*24</f>
        <v>18</v>
      </c>
      <c r="M375" s="1" t="n">
        <f aca="false">IFERROR(INDEX(Sheet3!$B$2:$B$500,MATCH(1,(INT(C375)+MOD(D375,1)&lt;INT(Sheet3!$A$2:$A$500)+TIME(18,0,0))*(INT(E375)+MOD(F375,1)&gt;=INT(Sheet3!$A$2:$A$500)),0)),0)</f>
        <v>0</v>
      </c>
      <c r="N375" s="1" t="n">
        <f aca="false">IF(OR( AND(Q375=6,D375&gt;=TIME(17,0,0),OR(K375="12H Night",K375="Couple Half Night",K375="24H Night",K375="Couple Full Night")), AND(Q375=7,D375&gt;=TIME(6,0,0),D375&lt;TIME(12,0,0),OR(K375="12H Day",K375="Couple Half Day",K375="24H Day",K375="Couple Full Day")) ),1,0)</f>
        <v>0</v>
      </c>
      <c r="O375" s="1" t="n">
        <f aca="false">IF(OR( AND(MONTH(C375)=12,DAY(C375)&gt;=26), AND(MONTH(C375)=4,DAY(C375)&gt;=15), MONTH(C375)=5, AND(MONTH(C375)=6,DAY(C375)&lt;=10) ),1,0)</f>
        <v>1</v>
      </c>
      <c r="P375" s="1" t="str">
        <f aca="false">IF(OR(MONTH(C375)=3,MONTH(C375)=4,MONTH(C375)=5,MONTH(C375)=6), "Summer", IF(OR(MONTH(C375)=7,MONTH(C375)=8,MONTH(C375)=9,MONTH(C375)=10), "Monsoon", "Winter"))</f>
        <v>Summer</v>
      </c>
      <c r="Q375" s="1" t="n">
        <f aca="false">WEEKDAY(C375,2)</f>
        <v>3</v>
      </c>
      <c r="R375" s="0" t="n">
        <f aca="false">ROUNDDOWN(((INT(C375)+MOD(D375,1))-(INT(I375)+MOD(J375,1))),0)</f>
        <v>-0</v>
      </c>
      <c r="S375" s="10"/>
    </row>
    <row r="376" customFormat="false" ht="204.9" hidden="false" customHeight="false" outlineLevel="0" collapsed="false">
      <c r="A376" s="8" t="s">
        <v>668</v>
      </c>
      <c r="B376" s="22" t="s">
        <v>669</v>
      </c>
      <c r="C376" s="18" t="n">
        <v>45763.7916666667</v>
      </c>
      <c r="D376" s="19" t="n">
        <v>45763.7916666667</v>
      </c>
      <c r="E376" s="18" t="n">
        <v>45764.75</v>
      </c>
      <c r="F376" s="19" t="n">
        <v>45764.75</v>
      </c>
      <c r="G376" s="20" t="n">
        <v>5500</v>
      </c>
      <c r="H376" s="8" t="n">
        <v>10</v>
      </c>
      <c r="I376" s="10" t="n">
        <v>45757</v>
      </c>
      <c r="J376" s="11" t="n">
        <v>0.616203703699282</v>
      </c>
      <c r="K376" s="1" t="str">
        <f aca="false">IF(L376&gt;24,     IF(H376=2,"Couple Extended Day","Extended Day"), IF(L376&lt;=12,     IF(AND(MOD(D376,1)&gt;=TIME(6,0,0),MOD(D376,1)&lt;TIME(18,0,0)),         IF(H376=2,"Couple Half Day","12H Day"),         IF(H376=2,"Couple Half Night","12H Night")), IF(L376&lt;=24,     IF(AND(MOD(D376,1)&gt;=TIME(6,0,0),MOD(D376,1)&lt;TIME(18,0,0)),         IF(H376=2,"Couple Full Day","24H Day"),         IF(H376=2,"Couple Full Night","24H Night")), "Check Data")))</f>
        <v>24H Night</v>
      </c>
      <c r="L376" s="12" t="n">
        <f aca="false">((INT(E376)+MOD(F376,1))-(INT(C376)+MOD(D376,1)))*24</f>
        <v>22.9999999990105</v>
      </c>
      <c r="M376" s="1" t="n">
        <f aca="false">IFERROR(INDEX(Sheet3!$B$2:$B$500,MATCH(1,(INT(C376)+MOD(D376,1)&lt;INT(Sheet3!$A$2:$A$500)+TIME(18,0,0))*(INT(E376)+MOD(F376,1)&gt;=INT(Sheet3!$A$2:$A$500)),0)),0)</f>
        <v>0</v>
      </c>
      <c r="N376" s="1" t="n">
        <f aca="false">IF(OR( AND(Q376=6,D376&gt;=TIME(17,0,0),OR(K376="12H Night",K376="Couple Half Night",K376="24H Night",K376="Couple Full Night")), AND(Q376=7,D376&gt;=TIME(6,0,0),D376&lt;TIME(12,0,0),OR(K376="12H Day",K376="Couple Half Day",K376="24H Day",K376="Couple Full Day")) ),1,0)</f>
        <v>0</v>
      </c>
      <c r="O376" s="1" t="n">
        <f aca="false">IF(OR( AND(MONTH(C376)=12,DAY(C376)&gt;=26), AND(MONTH(C376)=4,DAY(C376)&gt;=15), MONTH(C376)=5, AND(MONTH(C376)=6,DAY(C376)&lt;=10) ),1,0)</f>
        <v>1</v>
      </c>
      <c r="P376" s="1" t="str">
        <f aca="false">IF(OR(MONTH(C376)=3,MONTH(C376)=4,MONTH(C376)=5,MONTH(C376)=6), "Summer", IF(OR(MONTH(C376)=7,MONTH(C376)=8,MONTH(C376)=9,MONTH(C376)=10), "Monsoon", "Winter"))</f>
        <v>Summer</v>
      </c>
      <c r="Q376" s="1" t="n">
        <f aca="false">WEEKDAY(C376,2)</f>
        <v>3</v>
      </c>
      <c r="R376" s="0" t="n">
        <f aca="false">ROUNDDOWN(((INT(C376)+MOD(D376,1))-(INT(I376)+MOD(J376,1))),0)</f>
        <v>6</v>
      </c>
      <c r="S376" s="10"/>
    </row>
    <row r="377" customFormat="false" ht="238.45" hidden="false" customHeight="false" outlineLevel="0" collapsed="false">
      <c r="A377" s="8" t="s">
        <v>670</v>
      </c>
      <c r="B377" s="22" t="s">
        <v>671</v>
      </c>
      <c r="C377" s="18" t="n">
        <v>45764.7916666667</v>
      </c>
      <c r="D377" s="19" t="n">
        <v>45764.7916666667</v>
      </c>
      <c r="E377" s="18" t="n">
        <v>45765.75</v>
      </c>
      <c r="F377" s="19" t="n">
        <v>45765.75</v>
      </c>
      <c r="G377" s="20" t="n">
        <v>6000</v>
      </c>
      <c r="I377" s="10" t="n">
        <v>45762</v>
      </c>
      <c r="J377" s="11" t="n">
        <v>0.495312500002905</v>
      </c>
      <c r="K377" s="1" t="str">
        <f aca="false">IF(L377&gt;24,     IF(H377=2,"Couple Extended Day","Extended Day"), IF(L377&lt;=12,     IF(AND(MOD(D377,1)&gt;=TIME(6,0,0),MOD(D377,1)&lt;TIME(18,0,0)),         IF(H377=2,"Couple Half Day","12H Day"),         IF(H377=2,"Couple Half Night","12H Night")), IF(L377&lt;=24,     IF(AND(MOD(D377,1)&gt;=TIME(6,0,0),MOD(D377,1)&lt;TIME(18,0,0)),         IF(H377=2,"Couple Full Day","24H Day"),         IF(H377=2,"Couple Full Night","24H Night")), "Check Data")))</f>
        <v>24H Night</v>
      </c>
      <c r="L377" s="12" t="n">
        <f aca="false">((INT(E377)+MOD(F377,1))-(INT(C377)+MOD(D377,1)))*24</f>
        <v>22.9999999990105</v>
      </c>
      <c r="M377" s="1" t="n">
        <f aca="false">IFERROR(INDEX(Sheet3!$B$2:$B$500,MATCH(1,(INT(C377)+MOD(D377,1)&lt;INT(Sheet3!$A$2:$A$500)+TIME(18,0,0))*(INT(E377)+MOD(F377,1)&gt;=INT(Sheet3!$A$2:$A$500)),0)),0)</f>
        <v>0</v>
      </c>
      <c r="N377" s="1" t="n">
        <f aca="false">IF(OR( AND(Q377=6,D377&gt;=TIME(17,0,0),OR(K377="12H Night",K377="Couple Half Night",K377="24H Night",K377="Couple Full Night")), AND(Q377=7,D377&gt;=TIME(6,0,0),D377&lt;TIME(12,0,0),OR(K377="12H Day",K377="Couple Half Day",K377="24H Day",K377="Couple Full Day")) ),1,0)</f>
        <v>0</v>
      </c>
      <c r="O377" s="1" t="n">
        <f aca="false">IF(OR( AND(MONTH(C377)=12,DAY(C377)&gt;=26), AND(MONTH(C377)=4,DAY(C377)&gt;=15), MONTH(C377)=5, AND(MONTH(C377)=6,DAY(C377)&lt;=10) ),1,0)</f>
        <v>1</v>
      </c>
      <c r="P377" s="1" t="str">
        <f aca="false">IF(OR(MONTH(C377)=3,MONTH(C377)=4,MONTH(C377)=5,MONTH(C377)=6), "Summer", IF(OR(MONTH(C377)=7,MONTH(C377)=8,MONTH(C377)=9,MONTH(C377)=10), "Monsoon", "Winter"))</f>
        <v>Summer</v>
      </c>
      <c r="Q377" s="1" t="n">
        <f aca="false">WEEKDAY(C377,2)</f>
        <v>4</v>
      </c>
      <c r="R377" s="0" t="n">
        <f aca="false">ROUNDDOWN(((INT(C377)+MOD(D377,1))-(INT(I377)+MOD(J377,1))),0)</f>
        <v>2</v>
      </c>
      <c r="S377" s="10"/>
    </row>
    <row r="378" customFormat="false" ht="225.35" hidden="false" customHeight="false" outlineLevel="0" collapsed="false">
      <c r="A378" s="8" t="s">
        <v>672</v>
      </c>
      <c r="B378" s="22" t="s">
        <v>673</v>
      </c>
      <c r="C378" s="18" t="n">
        <v>45765.7916666667</v>
      </c>
      <c r="D378" s="19" t="n">
        <v>45765.7916666667</v>
      </c>
      <c r="E378" s="18" t="n">
        <v>45766.75</v>
      </c>
      <c r="F378" s="19" t="n">
        <v>45766.75</v>
      </c>
      <c r="G378" s="20" t="n">
        <v>5500</v>
      </c>
      <c r="H378" s="8" t="n">
        <v>6</v>
      </c>
      <c r="I378" s="10" t="n">
        <v>45764</v>
      </c>
      <c r="J378" s="11" t="n">
        <v>0.62112268518831</v>
      </c>
      <c r="K378" s="1" t="str">
        <f aca="false">IF(L378&gt;24,     IF(H378=2,"Couple Extended Day","Extended Day"), IF(L378&lt;=12,     IF(AND(MOD(D378,1)&gt;=TIME(6,0,0),MOD(D378,1)&lt;TIME(18,0,0)),         IF(H378=2,"Couple Half Day","12H Day"),         IF(H378=2,"Couple Half Night","12H Night")), IF(L378&lt;=24,     IF(AND(MOD(D378,1)&gt;=TIME(6,0,0),MOD(D378,1)&lt;TIME(18,0,0)),         IF(H378=2,"Couple Full Day","24H Day"),         IF(H378=2,"Couple Full Night","24H Night")), "Check Data")))</f>
        <v>24H Night</v>
      </c>
      <c r="L378" s="12" t="n">
        <f aca="false">((INT(E378)+MOD(F378,1))-(INT(C378)+MOD(D378,1)))*24</f>
        <v>22.9999999990105</v>
      </c>
      <c r="M378" s="1" t="n">
        <f aca="false">IFERROR(INDEX(Sheet3!$B$2:$B$500,MATCH(1,(INT(C378)+MOD(D378,1)&lt;INT(Sheet3!$A$2:$A$500)+TIME(18,0,0))*(INT(E378)+MOD(F378,1)&gt;=INT(Sheet3!$A$2:$A$500)),0)),0)</f>
        <v>0</v>
      </c>
      <c r="N378" s="1" t="n">
        <f aca="false">IF(OR( AND(Q378=6,D378&gt;=TIME(17,0,0),OR(K378="12H Night",K378="Couple Half Night",K378="24H Night",K378="Couple Full Night")), AND(Q378=7,D378&gt;=TIME(6,0,0),D378&lt;TIME(12,0,0),OR(K378="12H Day",K378="Couple Half Day",K378="24H Day",K378="Couple Full Day")) ),1,0)</f>
        <v>0</v>
      </c>
      <c r="O378" s="1" t="n">
        <f aca="false">IF(OR( AND(MONTH(C378)=12,DAY(C378)&gt;=26), AND(MONTH(C378)=4,DAY(C378)&gt;=15), MONTH(C378)=5, AND(MONTH(C378)=6,DAY(C378)&lt;=10) ),1,0)</f>
        <v>1</v>
      </c>
      <c r="P378" s="1" t="str">
        <f aca="false">IF(OR(MONTH(C378)=3,MONTH(C378)=4,MONTH(C378)=5,MONTH(C378)=6), "Summer", IF(OR(MONTH(C378)=7,MONTH(C378)=8,MONTH(C378)=9,MONTH(C378)=10), "Monsoon", "Winter"))</f>
        <v>Summer</v>
      </c>
      <c r="Q378" s="1" t="n">
        <f aca="false">WEEKDAY(C378,2)</f>
        <v>5</v>
      </c>
      <c r="R378" s="0" t="n">
        <f aca="false">ROUNDDOWN(((INT(C378)+MOD(D378,1))-(INT(I378)+MOD(J378,1))),0)</f>
        <v>1</v>
      </c>
      <c r="S378" s="10"/>
    </row>
    <row r="379" customFormat="false" ht="251.6" hidden="false" customHeight="false" outlineLevel="0" collapsed="false">
      <c r="A379" s="8" t="s">
        <v>489</v>
      </c>
      <c r="B379" s="22" t="s">
        <v>674</v>
      </c>
      <c r="C379" s="18" t="n">
        <v>45766.7916666667</v>
      </c>
      <c r="D379" s="19" t="n">
        <v>45766.7916666667</v>
      </c>
      <c r="E379" s="18" t="n">
        <v>45767.75</v>
      </c>
      <c r="F379" s="19" t="n">
        <v>45767.75</v>
      </c>
      <c r="G379" s="20" t="n">
        <v>12000</v>
      </c>
      <c r="H379" s="8" t="n">
        <v>10</v>
      </c>
      <c r="I379" s="10" t="n">
        <v>45765</v>
      </c>
      <c r="J379" s="11" t="n">
        <v>0.439606481479132</v>
      </c>
      <c r="K379" s="1" t="str">
        <f aca="false">IF(L379&gt;24,     IF(H379=2,"Couple Extended Day","Extended Day"), IF(L379&lt;=12,     IF(AND(MOD(D379,1)&gt;=TIME(6,0,0),MOD(D379,1)&lt;TIME(18,0,0)),         IF(H379=2,"Couple Half Day","12H Day"),         IF(H379=2,"Couple Half Night","12H Night")), IF(L379&lt;=24,     IF(AND(MOD(D379,1)&gt;=TIME(6,0,0),MOD(D379,1)&lt;TIME(18,0,0)),         IF(H379=2,"Couple Full Day","24H Day"),         IF(H379=2,"Couple Full Night","24H Night")), "Check Data")))</f>
        <v>24H Night</v>
      </c>
      <c r="L379" s="12" t="n">
        <f aca="false">((INT(E379)+MOD(F379,1))-(INT(C379)+MOD(D379,1)))*24</f>
        <v>22.9999999990105</v>
      </c>
      <c r="M379" s="1" t="n">
        <f aca="false">IFERROR(INDEX(Sheet3!$B$2:$B$500,MATCH(1,(INT(C379)+MOD(D379,1)&lt;INT(Sheet3!$A$2:$A$500)+TIME(18,0,0))*(INT(E379)+MOD(F379,1)&gt;=INT(Sheet3!$A$2:$A$500)),0)),0)</f>
        <v>0</v>
      </c>
      <c r="N379" s="1" t="n">
        <f aca="false">IF(OR( AND(Q379=6,D379&gt;=TIME(17,0,0),OR(K379="12H Night",K379="Couple Half Night",K379="24H Night",K379="Couple Full Night")), AND(Q379=7,D379&gt;=TIME(6,0,0),D379&lt;TIME(12,0,0),OR(K379="12H Day",K379="Couple Half Day",K379="24H Day",K379="Couple Full Day")) ),1,0)</f>
        <v>1</v>
      </c>
      <c r="O379" s="1" t="n">
        <f aca="false">IF(OR( AND(MONTH(C379)=12,DAY(C379)&gt;=26), AND(MONTH(C379)=4,DAY(C379)&gt;=15), MONTH(C379)=5, AND(MONTH(C379)=6,DAY(C379)&lt;=10) ),1,0)</f>
        <v>1</v>
      </c>
      <c r="P379" s="1" t="str">
        <f aca="false">IF(OR(MONTH(C379)=3,MONTH(C379)=4,MONTH(C379)=5,MONTH(C379)=6), "Summer", IF(OR(MONTH(C379)=7,MONTH(C379)=8,MONTH(C379)=9,MONTH(C379)=10), "Monsoon", "Winter"))</f>
        <v>Summer</v>
      </c>
      <c r="Q379" s="1" t="n">
        <f aca="false">WEEKDAY(C379,2)</f>
        <v>6</v>
      </c>
      <c r="R379" s="0" t="n">
        <f aca="false">ROUNDDOWN(((INT(C379)+MOD(D379,1))-(INT(I379)+MOD(J379,1))),0)</f>
        <v>1</v>
      </c>
      <c r="S379" s="10"/>
    </row>
    <row r="380" customFormat="false" ht="204.9" hidden="false" customHeight="false" outlineLevel="0" collapsed="false">
      <c r="A380" s="8" t="s">
        <v>675</v>
      </c>
      <c r="B380" s="22" t="s">
        <v>676</v>
      </c>
      <c r="C380" s="18" t="n">
        <v>45767.7916666667</v>
      </c>
      <c r="D380" s="19" t="n">
        <v>45767.7916666667</v>
      </c>
      <c r="E380" s="18" t="n">
        <v>45768.75</v>
      </c>
      <c r="F380" s="19" t="n">
        <v>45768.75</v>
      </c>
      <c r="G380" s="20" t="n">
        <v>5500</v>
      </c>
      <c r="H380" s="8" t="n">
        <v>10</v>
      </c>
      <c r="I380" s="10" t="n">
        <v>45764</v>
      </c>
      <c r="J380" s="11" t="n">
        <v>0.891053240738982</v>
      </c>
      <c r="K380" s="1" t="str">
        <f aca="false">IF(L380&gt;24,     IF(H380=2,"Couple Extended Day","Extended Day"), IF(L380&lt;=12,     IF(AND(MOD(D380,1)&gt;=TIME(6,0,0),MOD(D380,1)&lt;TIME(18,0,0)),         IF(H380=2,"Couple Half Day","12H Day"),         IF(H380=2,"Couple Half Night","12H Night")), IF(L380&lt;=24,     IF(AND(MOD(D380,1)&gt;=TIME(6,0,0),MOD(D380,1)&lt;TIME(18,0,0)),         IF(H380=2,"Couple Full Day","24H Day"),         IF(H380=2,"Couple Full Night","24H Night")), "Check Data")))</f>
        <v>24H Night</v>
      </c>
      <c r="L380" s="12" t="n">
        <f aca="false">((INT(E380)+MOD(F380,1))-(INT(C380)+MOD(D380,1)))*24</f>
        <v>22.9999999990105</v>
      </c>
      <c r="M380" s="1" t="n">
        <f aca="false">IFERROR(INDEX(Sheet3!$B$2:$B$500,MATCH(1,(INT(C380)+MOD(D380,1)&lt;INT(Sheet3!$A$2:$A$500)+TIME(18,0,0))*(INT(E380)+MOD(F380,1)&gt;=INT(Sheet3!$A$2:$A$500)),0)),0)</f>
        <v>0</v>
      </c>
      <c r="N380" s="1" t="n">
        <f aca="false">IF(OR( AND(Q380=6,D380&gt;=TIME(17,0,0),OR(K380="12H Night",K380="Couple Half Night",K380="24H Night",K380="Couple Full Night")), AND(Q380=7,D380&gt;=TIME(6,0,0),D380&lt;TIME(12,0,0),OR(K380="12H Day",K380="Couple Half Day",K380="24H Day",K380="Couple Full Day")) ),1,0)</f>
        <v>0</v>
      </c>
      <c r="O380" s="1" t="n">
        <f aca="false">IF(OR( AND(MONTH(C380)=12,DAY(C380)&gt;=26), AND(MONTH(C380)=4,DAY(C380)&gt;=15), MONTH(C380)=5, AND(MONTH(C380)=6,DAY(C380)&lt;=10) ),1,0)</f>
        <v>1</v>
      </c>
      <c r="P380" s="1" t="str">
        <f aca="false">IF(OR(MONTH(C380)=3,MONTH(C380)=4,MONTH(C380)=5,MONTH(C380)=6), "Summer", IF(OR(MONTH(C380)=7,MONTH(C380)=8,MONTH(C380)=9,MONTH(C380)=10), "Monsoon", "Winter"))</f>
        <v>Summer</v>
      </c>
      <c r="Q380" s="1" t="n">
        <f aca="false">WEEKDAY(C380,2)</f>
        <v>7</v>
      </c>
      <c r="R380" s="0" t="n">
        <f aca="false">ROUNDDOWN(((INT(C380)+MOD(D380,1))-(INT(I380)+MOD(J380,1))),0)</f>
        <v>2</v>
      </c>
      <c r="S380" s="10"/>
    </row>
    <row r="381" customFormat="false" ht="204.9" hidden="false" customHeight="false" outlineLevel="0" collapsed="false">
      <c r="A381" s="8" t="s">
        <v>677</v>
      </c>
      <c r="B381" s="22" t="s">
        <v>678</v>
      </c>
      <c r="C381" s="18" t="n">
        <v>45768.7916666667</v>
      </c>
      <c r="D381" s="19" t="n">
        <v>45768.7916666667</v>
      </c>
      <c r="E381" s="18" t="n">
        <v>45769.75</v>
      </c>
      <c r="F381" s="19" t="n">
        <v>45769.75</v>
      </c>
      <c r="G381" s="20" t="n">
        <v>5500</v>
      </c>
      <c r="H381" s="8" t="n">
        <v>12</v>
      </c>
      <c r="I381" s="10" t="n">
        <v>45762</v>
      </c>
      <c r="J381" s="11" t="n">
        <v>0.864259259258692</v>
      </c>
      <c r="K381" s="1" t="str">
        <f aca="false">IF(L381&gt;24,     IF(H381=2,"Couple Extended Day","Extended Day"), IF(L381&lt;=12,     IF(AND(MOD(D381,1)&gt;=TIME(6,0,0),MOD(D381,1)&lt;TIME(18,0,0)),         IF(H381=2,"Couple Half Day","12H Day"),         IF(H381=2,"Couple Half Night","12H Night")), IF(L381&lt;=24,     IF(AND(MOD(D381,1)&gt;=TIME(6,0,0),MOD(D381,1)&lt;TIME(18,0,0)),         IF(H381=2,"Couple Full Day","24H Day"),         IF(H381=2,"Couple Full Night","24H Night")), "Check Data")))</f>
        <v>24H Night</v>
      </c>
      <c r="L381" s="12" t="n">
        <f aca="false">((INT(E381)+MOD(F381,1))-(INT(C381)+MOD(D381,1)))*24</f>
        <v>22.9999999990105</v>
      </c>
      <c r="M381" s="1" t="n">
        <f aca="false">IFERROR(INDEX(Sheet3!$B$2:$B$500,MATCH(1,(INT(C381)+MOD(D381,1)&lt;INT(Sheet3!$A$2:$A$500)+TIME(18,0,0))*(INT(E381)+MOD(F381,1)&gt;=INT(Sheet3!$A$2:$A$500)),0)),0)</f>
        <v>0</v>
      </c>
      <c r="N381" s="1" t="n">
        <f aca="false">IF(OR( AND(Q381=6,D381&gt;=TIME(17,0,0),OR(K381="12H Night",K381="Couple Half Night",K381="24H Night",K381="Couple Full Night")), AND(Q381=7,D381&gt;=TIME(6,0,0),D381&lt;TIME(12,0,0),OR(K381="12H Day",K381="Couple Half Day",K381="24H Day",K381="Couple Full Day")) ),1,0)</f>
        <v>0</v>
      </c>
      <c r="O381" s="1" t="n">
        <f aca="false">IF(OR( AND(MONTH(C381)=12,DAY(C381)&gt;=26), AND(MONTH(C381)=4,DAY(C381)&gt;=15), MONTH(C381)=5, AND(MONTH(C381)=6,DAY(C381)&lt;=10) ),1,0)</f>
        <v>1</v>
      </c>
      <c r="P381" s="1" t="str">
        <f aca="false">IF(OR(MONTH(C381)=3,MONTH(C381)=4,MONTH(C381)=5,MONTH(C381)=6), "Summer", IF(OR(MONTH(C381)=7,MONTH(C381)=8,MONTH(C381)=9,MONTH(C381)=10), "Monsoon", "Winter"))</f>
        <v>Summer</v>
      </c>
      <c r="Q381" s="1" t="n">
        <f aca="false">WEEKDAY(C381,2)</f>
        <v>1</v>
      </c>
      <c r="R381" s="0" t="n">
        <f aca="false">ROUNDDOWN(((INT(C381)+MOD(D381,1))-(INT(I381)+MOD(J381,1))),0)</f>
        <v>5</v>
      </c>
      <c r="S381" s="10"/>
    </row>
    <row r="382" customFormat="false" ht="204.9" hidden="false" customHeight="false" outlineLevel="0" collapsed="false">
      <c r="A382" s="8" t="s">
        <v>679</v>
      </c>
      <c r="B382" s="22" t="s">
        <v>680</v>
      </c>
      <c r="C382" s="18" t="n">
        <v>45769.7916666667</v>
      </c>
      <c r="D382" s="19" t="n">
        <v>45769.7916666667</v>
      </c>
      <c r="E382" s="18" t="n">
        <v>45770.75</v>
      </c>
      <c r="F382" s="19" t="n">
        <v>45770.75</v>
      </c>
      <c r="G382" s="20" t="n">
        <v>4500</v>
      </c>
      <c r="H382" s="8" t="n">
        <v>5</v>
      </c>
      <c r="I382" s="10" t="n">
        <v>45769</v>
      </c>
      <c r="J382" s="11" t="n">
        <v>0.54310185185022</v>
      </c>
      <c r="K382" s="1" t="str">
        <f aca="false">IF(L382&gt;24,     IF(H382=2,"Couple Extended Day","Extended Day"), IF(L382&lt;=12,     IF(AND(MOD(D382,1)&gt;=TIME(6,0,0),MOD(D382,1)&lt;TIME(18,0,0)),         IF(H382=2,"Couple Half Day","12H Day"),         IF(H382=2,"Couple Half Night","12H Night")), IF(L382&lt;=24,     IF(AND(MOD(D382,1)&gt;=TIME(6,0,0),MOD(D382,1)&lt;TIME(18,0,0)),         IF(H382=2,"Couple Full Day","24H Day"),         IF(H382=2,"Couple Full Night","24H Night")), "Check Data")))</f>
        <v>24H Night</v>
      </c>
      <c r="L382" s="12" t="n">
        <f aca="false">((INT(E382)+MOD(F382,1))-(INT(C382)+MOD(D382,1)))*24</f>
        <v>22.9999999990105</v>
      </c>
      <c r="M382" s="1" t="n">
        <f aca="false">IFERROR(INDEX(Sheet3!$B$2:$B$500,MATCH(1,(INT(C382)+MOD(D382,1)&lt;INT(Sheet3!$A$2:$A$500)+TIME(18,0,0))*(INT(E382)+MOD(F382,1)&gt;=INT(Sheet3!$A$2:$A$500)),0)),0)</f>
        <v>0</v>
      </c>
      <c r="N382" s="1" t="n">
        <f aca="false">IF(OR( AND(Q382=6,D382&gt;=TIME(17,0,0),OR(K382="12H Night",K382="Couple Half Night",K382="24H Night",K382="Couple Full Night")), AND(Q382=7,D382&gt;=TIME(6,0,0),D382&lt;TIME(12,0,0),OR(K382="12H Day",K382="Couple Half Day",K382="24H Day",K382="Couple Full Day")) ),1,0)</f>
        <v>0</v>
      </c>
      <c r="O382" s="1" t="n">
        <f aca="false">IF(OR( AND(MONTH(C382)=12,DAY(C382)&gt;=26), AND(MONTH(C382)=4,DAY(C382)&gt;=15), MONTH(C382)=5, AND(MONTH(C382)=6,DAY(C382)&lt;=10) ),1,0)</f>
        <v>1</v>
      </c>
      <c r="P382" s="1" t="str">
        <f aca="false">IF(OR(MONTH(C382)=3,MONTH(C382)=4,MONTH(C382)=5,MONTH(C382)=6), "Summer", IF(OR(MONTH(C382)=7,MONTH(C382)=8,MONTH(C382)=9,MONTH(C382)=10), "Monsoon", "Winter"))</f>
        <v>Summer</v>
      </c>
      <c r="Q382" s="1" t="n">
        <f aca="false">WEEKDAY(C382,2)</f>
        <v>2</v>
      </c>
      <c r="R382" s="0" t="n">
        <f aca="false">ROUNDDOWN(((INT(C382)+MOD(D382,1))-(INT(I382)+MOD(J382,1))),0)</f>
        <v>0</v>
      </c>
      <c r="S382" s="10"/>
    </row>
    <row r="383" customFormat="false" ht="204.9" hidden="false" customHeight="false" outlineLevel="0" collapsed="false">
      <c r="A383" s="8" t="s">
        <v>681</v>
      </c>
      <c r="B383" s="22" t="s">
        <v>682</v>
      </c>
      <c r="C383" s="18" t="n">
        <v>45770.7916666667</v>
      </c>
      <c r="D383" s="19" t="n">
        <v>45770.7916666667</v>
      </c>
      <c r="E383" s="18" t="n">
        <v>45771.2916666667</v>
      </c>
      <c r="F383" s="19" t="n">
        <v>45771.2916666667</v>
      </c>
      <c r="G383" s="20" t="n">
        <v>3500</v>
      </c>
      <c r="H383" s="8" t="n">
        <v>5</v>
      </c>
      <c r="I383" s="10" t="n">
        <v>45770</v>
      </c>
      <c r="J383" s="11" t="n">
        <v>0.726435185184525</v>
      </c>
      <c r="K383" s="1" t="str">
        <f aca="false">IF(L383&gt;24,     IF(H383=2,"Couple Extended Day","Extended Day"), IF(L383&lt;=12,     IF(AND(MOD(D383,1)&gt;=TIME(6,0,0),MOD(D383,1)&lt;TIME(18,0,0)),         IF(H383=2,"Couple Half Day","12H Day"),         IF(H383=2,"Couple Half Night","12H Night")), IF(L383&lt;=24,     IF(AND(MOD(D383,1)&gt;=TIME(6,0,0),MOD(D383,1)&lt;TIME(18,0,0)),         IF(H383=2,"Couple Full Day","24H Day"),         IF(H383=2,"Couple Full Night","24H Night")), "Check Data")))</f>
        <v>12H Night</v>
      </c>
      <c r="L383" s="12" t="n">
        <f aca="false">((INT(E383)+MOD(F383,1))-(INT(C383)+MOD(D383,1)))*24</f>
        <v>12</v>
      </c>
      <c r="M383" s="1" t="n">
        <f aca="false">IFERROR(INDEX(Sheet3!$B$2:$B$500,MATCH(1,(INT(C383)+MOD(D383,1)&lt;INT(Sheet3!$A$2:$A$500)+TIME(18,0,0))*(INT(E383)+MOD(F383,1)&gt;=INT(Sheet3!$A$2:$A$500)),0)),0)</f>
        <v>0</v>
      </c>
      <c r="N383" s="1" t="n">
        <f aca="false">IF(OR( AND(Q383=6,D383&gt;=TIME(17,0,0),OR(K383="12H Night",K383="Couple Half Night",K383="24H Night",K383="Couple Full Night")), AND(Q383=7,D383&gt;=TIME(6,0,0),D383&lt;TIME(12,0,0),OR(K383="12H Day",K383="Couple Half Day",K383="24H Day",K383="Couple Full Day")) ),1,0)</f>
        <v>0</v>
      </c>
      <c r="O383" s="1" t="n">
        <f aca="false">IF(OR( AND(MONTH(C383)=12,DAY(C383)&gt;=26), AND(MONTH(C383)=4,DAY(C383)&gt;=15), MONTH(C383)=5, AND(MONTH(C383)=6,DAY(C383)&lt;=10) ),1,0)</f>
        <v>1</v>
      </c>
      <c r="P383" s="1" t="str">
        <f aca="false">IF(OR(MONTH(C383)=3,MONTH(C383)=4,MONTH(C383)=5,MONTH(C383)=6), "Summer", IF(OR(MONTH(C383)=7,MONTH(C383)=8,MONTH(C383)=9,MONTH(C383)=10), "Monsoon", "Winter"))</f>
        <v>Summer</v>
      </c>
      <c r="Q383" s="1" t="n">
        <f aca="false">WEEKDAY(C383,2)</f>
        <v>3</v>
      </c>
      <c r="R383" s="0" t="n">
        <f aca="false">ROUNDDOWN(((INT(C383)+MOD(D383,1))-(INT(I383)+MOD(J383,1))),0)</f>
        <v>0</v>
      </c>
      <c r="S383" s="10"/>
    </row>
    <row r="384" customFormat="false" ht="204.9" hidden="false" customHeight="false" outlineLevel="0" collapsed="false">
      <c r="A384" s="8" t="s">
        <v>683</v>
      </c>
      <c r="B384" s="22" t="s">
        <v>684</v>
      </c>
      <c r="C384" s="18" t="n">
        <v>45772.5</v>
      </c>
      <c r="D384" s="19" t="n">
        <v>45772.5</v>
      </c>
      <c r="E384" s="18" t="n">
        <v>45772.75</v>
      </c>
      <c r="F384" s="19" t="n">
        <v>45772.75</v>
      </c>
      <c r="G384" s="20" t="n">
        <v>3000</v>
      </c>
      <c r="H384" s="8" t="n">
        <v>3</v>
      </c>
      <c r="I384" s="10" t="n">
        <v>45772</v>
      </c>
      <c r="J384" s="11" t="n">
        <v>0.44164351851941</v>
      </c>
      <c r="K384" s="1" t="str">
        <f aca="false">IF(L384&gt;24,     IF(H384=2,"Couple Extended Day","Extended Day"), IF(L384&lt;=12,     IF(AND(MOD(D384,1)&gt;=TIME(6,0,0),MOD(D384,1)&lt;TIME(18,0,0)),         IF(H384=2,"Couple Half Day","12H Day"),         IF(H384=2,"Couple Half Night","12H Night")), IF(L384&lt;=24,     IF(AND(MOD(D384,1)&gt;=TIME(6,0,0),MOD(D384,1)&lt;TIME(18,0,0)),         IF(H384=2,"Couple Full Day","24H Day"),         IF(H384=2,"Couple Full Night","24H Night")), "Check Data")))</f>
        <v>12H Day</v>
      </c>
      <c r="L384" s="12" t="n">
        <f aca="false">((INT(E384)+MOD(F384,1))-(INT(C384)+MOD(D384,1)))*24</f>
        <v>6</v>
      </c>
      <c r="M384" s="1" t="n">
        <f aca="false">IFERROR(INDEX(Sheet3!$B$2:$B$500,MATCH(1,(INT(C384)+MOD(D384,1)&lt;INT(Sheet3!$A$2:$A$500)+TIME(18,0,0))*(INT(E384)+MOD(F384,1)&gt;=INT(Sheet3!$A$2:$A$500)),0)),0)</f>
        <v>0</v>
      </c>
      <c r="N384" s="1" t="n">
        <f aca="false">IF(OR( AND(Q384=6,D384&gt;=TIME(17,0,0),OR(K384="12H Night",K384="Couple Half Night",K384="24H Night",K384="Couple Full Night")), AND(Q384=7,D384&gt;=TIME(6,0,0),D384&lt;TIME(12,0,0),OR(K384="12H Day",K384="Couple Half Day",K384="24H Day",K384="Couple Full Day")) ),1,0)</f>
        <v>0</v>
      </c>
      <c r="O384" s="1" t="n">
        <f aca="false">IF(OR( AND(MONTH(C384)=12,DAY(C384)&gt;=26), AND(MONTH(C384)=4,DAY(C384)&gt;=15), MONTH(C384)=5, AND(MONTH(C384)=6,DAY(C384)&lt;=10) ),1,0)</f>
        <v>1</v>
      </c>
      <c r="P384" s="1" t="str">
        <f aca="false">IF(OR(MONTH(C384)=3,MONTH(C384)=4,MONTH(C384)=5,MONTH(C384)=6), "Summer", IF(OR(MONTH(C384)=7,MONTH(C384)=8,MONTH(C384)=9,MONTH(C384)=10), "Monsoon", "Winter"))</f>
        <v>Summer</v>
      </c>
      <c r="Q384" s="1" t="n">
        <f aca="false">WEEKDAY(C384,2)</f>
        <v>5</v>
      </c>
      <c r="R384" s="0" t="n">
        <f aca="false">ROUNDDOWN(((INT(C384)+MOD(D384,1))-(INT(I384)+MOD(J384,1))),0)</f>
        <v>0</v>
      </c>
      <c r="S384" s="10"/>
    </row>
    <row r="385" customFormat="false" ht="251.6" hidden="false" customHeight="false" outlineLevel="0" collapsed="false">
      <c r="A385" s="8" t="s">
        <v>365</v>
      </c>
      <c r="B385" s="22" t="s">
        <v>685</v>
      </c>
      <c r="C385" s="18" t="n">
        <v>45772.7916666667</v>
      </c>
      <c r="D385" s="19" t="n">
        <v>45772.7916666667</v>
      </c>
      <c r="E385" s="18" t="n">
        <v>45773.75</v>
      </c>
      <c r="F385" s="19" t="n">
        <v>45773.75</v>
      </c>
      <c r="G385" s="20" t="n">
        <v>5500</v>
      </c>
      <c r="H385" s="8" t="n">
        <v>8</v>
      </c>
      <c r="I385" s="10" t="n">
        <v>45770</v>
      </c>
      <c r="J385" s="11" t="n">
        <v>0.526192129633275</v>
      </c>
      <c r="K385" s="1" t="str">
        <f aca="false">IF(L385&gt;24,     IF(H385=2,"Couple Extended Day","Extended Day"), IF(L385&lt;=12,     IF(AND(MOD(D385,1)&gt;=TIME(6,0,0),MOD(D385,1)&lt;TIME(18,0,0)),         IF(H385=2,"Couple Half Day","12H Day"),         IF(H385=2,"Couple Half Night","12H Night")), IF(L385&lt;=24,     IF(AND(MOD(D385,1)&gt;=TIME(6,0,0),MOD(D385,1)&lt;TIME(18,0,0)),         IF(H385=2,"Couple Full Day","24H Day"),         IF(H385=2,"Couple Full Night","24H Night")), "Check Data")))</f>
        <v>24H Night</v>
      </c>
      <c r="L385" s="12" t="n">
        <f aca="false">((INT(E385)+MOD(F385,1))-(INT(C385)+MOD(D385,1)))*24</f>
        <v>22.9999999990105</v>
      </c>
      <c r="M385" s="1" t="n">
        <f aca="false">IFERROR(INDEX(Sheet3!$B$2:$B$500,MATCH(1,(INT(C385)+MOD(D385,1)&lt;INT(Sheet3!$A$2:$A$500)+TIME(18,0,0))*(INT(E385)+MOD(F385,1)&gt;=INT(Sheet3!$A$2:$A$500)),0)),0)</f>
        <v>0</v>
      </c>
      <c r="N385" s="1" t="n">
        <f aca="false">IF(OR( AND(Q385=6,D385&gt;=TIME(17,0,0),OR(K385="12H Night",K385="Couple Half Night",K385="24H Night",K385="Couple Full Night")), AND(Q385=7,D385&gt;=TIME(6,0,0),D385&lt;TIME(12,0,0),OR(K385="12H Day",K385="Couple Half Day",K385="24H Day",K385="Couple Full Day")) ),1,0)</f>
        <v>0</v>
      </c>
      <c r="O385" s="1" t="n">
        <f aca="false">IF(OR( AND(MONTH(C385)=12,DAY(C385)&gt;=26), AND(MONTH(C385)=4,DAY(C385)&gt;=15), MONTH(C385)=5, AND(MONTH(C385)=6,DAY(C385)&lt;=10) ),1,0)</f>
        <v>1</v>
      </c>
      <c r="P385" s="1" t="str">
        <f aca="false">IF(OR(MONTH(C385)=3,MONTH(C385)=4,MONTH(C385)=5,MONTH(C385)=6), "Summer", IF(OR(MONTH(C385)=7,MONTH(C385)=8,MONTH(C385)=9,MONTH(C385)=10), "Monsoon", "Winter"))</f>
        <v>Summer</v>
      </c>
      <c r="Q385" s="1" t="n">
        <f aca="false">WEEKDAY(C385,2)</f>
        <v>5</v>
      </c>
      <c r="R385" s="0" t="n">
        <f aca="false">ROUNDDOWN(((INT(C385)+MOD(D385,1))-(INT(I385)+MOD(J385,1))),0)</f>
        <v>2</v>
      </c>
      <c r="S385" s="10"/>
    </row>
    <row r="386" customFormat="false" ht="204.9" hidden="false" customHeight="false" outlineLevel="0" collapsed="false">
      <c r="A386" s="8" t="s">
        <v>686</v>
      </c>
      <c r="B386" s="22" t="s">
        <v>687</v>
      </c>
      <c r="C386" s="18" t="n">
        <v>45773.7916666667</v>
      </c>
      <c r="D386" s="19" t="n">
        <v>45773.7916666667</v>
      </c>
      <c r="E386" s="18" t="n">
        <v>45774.75</v>
      </c>
      <c r="F386" s="19" t="n">
        <v>45774.75</v>
      </c>
      <c r="G386" s="20" t="n">
        <v>13000</v>
      </c>
      <c r="H386" s="8" t="n">
        <v>15</v>
      </c>
      <c r="I386" s="10" t="n">
        <v>45756</v>
      </c>
      <c r="J386" s="11" t="n">
        <v>0.410162037034757</v>
      </c>
      <c r="K386" s="1" t="str">
        <f aca="false">IF(L386&gt;24,     IF(H386=2,"Couple Extended Day","Extended Day"), IF(L386&lt;=12,     IF(AND(MOD(D386,1)&gt;=TIME(6,0,0),MOD(D386,1)&lt;TIME(18,0,0)),         IF(H386=2,"Couple Half Day","12H Day"),         IF(H386=2,"Couple Half Night","12H Night")), IF(L386&lt;=24,     IF(AND(MOD(D386,1)&gt;=TIME(6,0,0),MOD(D386,1)&lt;TIME(18,0,0)),         IF(H386=2,"Couple Full Day","24H Day"),         IF(H386=2,"Couple Full Night","24H Night")), "Check Data")))</f>
        <v>24H Night</v>
      </c>
      <c r="L386" s="12" t="n">
        <f aca="false">((INT(E386)+MOD(F386,1))-(INT(C386)+MOD(D386,1)))*24</f>
        <v>22.9999999990105</v>
      </c>
      <c r="M386" s="1" t="n">
        <f aca="false">IFERROR(INDEX(Sheet3!$B$2:$B$500,MATCH(1,(INT(C386)+MOD(D386,1)&lt;INT(Sheet3!$A$2:$A$500)+TIME(18,0,0))*(INT(E386)+MOD(F386,1)&gt;=INT(Sheet3!$A$2:$A$500)),0)),0)</f>
        <v>0</v>
      </c>
      <c r="N386" s="1" t="n">
        <f aca="false">IF(OR( AND(Q386=6,D386&gt;=TIME(17,0,0),OR(K386="12H Night",K386="Couple Half Night",K386="24H Night",K386="Couple Full Night")), AND(Q386=7,D386&gt;=TIME(6,0,0),D386&lt;TIME(12,0,0),OR(K386="12H Day",K386="Couple Half Day",K386="24H Day",K386="Couple Full Day")) ),1,0)</f>
        <v>1</v>
      </c>
      <c r="O386" s="1" t="n">
        <f aca="false">IF(OR( AND(MONTH(C386)=12,DAY(C386)&gt;=26), AND(MONTH(C386)=4,DAY(C386)&gt;=15), MONTH(C386)=5, AND(MONTH(C386)=6,DAY(C386)&lt;=10) ),1,0)</f>
        <v>1</v>
      </c>
      <c r="P386" s="1" t="str">
        <f aca="false">IF(OR(MONTH(C386)=3,MONTH(C386)=4,MONTH(C386)=5,MONTH(C386)=6), "Summer", IF(OR(MONTH(C386)=7,MONTH(C386)=8,MONTH(C386)=9,MONTH(C386)=10), "Monsoon", "Winter"))</f>
        <v>Summer</v>
      </c>
      <c r="Q386" s="1" t="n">
        <f aca="false">WEEKDAY(C386,2)</f>
        <v>6</v>
      </c>
      <c r="R386" s="0" t="n">
        <f aca="false">ROUNDDOWN(((INT(C386)+MOD(D386,1))-(INT(I386)+MOD(J386,1))),0)</f>
        <v>17</v>
      </c>
      <c r="S386" s="10"/>
    </row>
    <row r="387" customFormat="false" ht="204.9" hidden="false" customHeight="false" outlineLevel="0" collapsed="false">
      <c r="A387" s="8" t="s">
        <v>688</v>
      </c>
      <c r="B387" s="22" t="s">
        <v>689</v>
      </c>
      <c r="C387" s="18" t="n">
        <v>45775.375</v>
      </c>
      <c r="D387" s="19" t="n">
        <v>45775.375</v>
      </c>
      <c r="E387" s="18" t="n">
        <v>45775.75</v>
      </c>
      <c r="F387" s="19" t="n">
        <v>45775.75</v>
      </c>
      <c r="G387" s="20" t="n">
        <v>3000</v>
      </c>
      <c r="H387" s="8" t="n">
        <v>2</v>
      </c>
      <c r="I387" s="10" t="n">
        <v>45774</v>
      </c>
      <c r="J387" s="11" t="n">
        <v>0.953240740738692</v>
      </c>
      <c r="K387" s="1" t="str">
        <f aca="false">IF(L387&gt;24,     IF(H387=2,"Couple Extended Day","Extended Day"), IF(L387&lt;=12,     IF(AND(MOD(D387,1)&gt;=TIME(6,0,0),MOD(D387,1)&lt;TIME(18,0,0)),         IF(H387=2,"Couple Half Day","12H Day"),         IF(H387=2,"Couple Half Night","12H Night")), IF(L387&lt;=24,     IF(AND(MOD(D387,1)&gt;=TIME(6,0,0),MOD(D387,1)&lt;TIME(18,0,0)),         IF(H387=2,"Couple Full Day","24H Day"),         IF(H387=2,"Couple Full Night","24H Night")), "Check Data")))</f>
        <v>Couple Half Day</v>
      </c>
      <c r="L387" s="12" t="n">
        <f aca="false">((INT(E387)+MOD(F387,1))-(INT(C387)+MOD(D387,1)))*24</f>
        <v>9</v>
      </c>
      <c r="M387" s="1" t="n">
        <f aca="false">IFERROR(INDEX(Sheet3!$B$2:$B$500,MATCH(1,(INT(C387)+MOD(D387,1)&lt;INT(Sheet3!$A$2:$A$500)+TIME(18,0,0))*(INT(E387)+MOD(F387,1)&gt;=INT(Sheet3!$A$2:$A$500)),0)),0)</f>
        <v>0</v>
      </c>
      <c r="N387" s="1" t="n">
        <f aca="false">IF(OR( AND(Q387=6,D387&gt;=TIME(17,0,0),OR(K387="12H Night",K387="Couple Half Night",K387="24H Night",K387="Couple Full Night")), AND(Q387=7,D387&gt;=TIME(6,0,0),D387&lt;TIME(12,0,0),OR(K387="12H Day",K387="Couple Half Day",K387="24H Day",K387="Couple Full Day")) ),1,0)</f>
        <v>0</v>
      </c>
      <c r="O387" s="1" t="n">
        <f aca="false">IF(OR( AND(MONTH(C387)=12,DAY(C387)&gt;=26), AND(MONTH(C387)=4,DAY(C387)&gt;=15), MONTH(C387)=5, AND(MONTH(C387)=6,DAY(C387)&lt;=10) ),1,0)</f>
        <v>1</v>
      </c>
      <c r="P387" s="1" t="str">
        <f aca="false">IF(OR(MONTH(C387)=3,MONTH(C387)=4,MONTH(C387)=5,MONTH(C387)=6), "Summer", IF(OR(MONTH(C387)=7,MONTH(C387)=8,MONTH(C387)=9,MONTH(C387)=10), "Monsoon", "Winter"))</f>
        <v>Summer</v>
      </c>
      <c r="Q387" s="1" t="n">
        <f aca="false">WEEKDAY(C387,2)</f>
        <v>1</v>
      </c>
      <c r="R387" s="0" t="n">
        <f aca="false">ROUNDDOWN(((INT(C387)+MOD(D387,1))-(INT(I387)+MOD(J387,1))),0)</f>
        <v>0</v>
      </c>
      <c r="S387" s="10"/>
    </row>
    <row r="388" customFormat="false" ht="204.9" hidden="false" customHeight="false" outlineLevel="0" collapsed="false">
      <c r="A388" s="8" t="s">
        <v>690</v>
      </c>
      <c r="B388" s="22" t="s">
        <v>691</v>
      </c>
      <c r="C388" s="18" t="n">
        <v>45775.7916666667</v>
      </c>
      <c r="D388" s="19" t="n">
        <v>45775.7916666667</v>
      </c>
      <c r="E388" s="18" t="n">
        <v>45776.75</v>
      </c>
      <c r="F388" s="19" t="n">
        <v>45776.75</v>
      </c>
      <c r="G388" s="20" t="n">
        <v>5500</v>
      </c>
      <c r="H388" s="8" t="n">
        <v>6</v>
      </c>
      <c r="I388" s="10" t="n">
        <v>45773</v>
      </c>
      <c r="J388" s="11" t="n">
        <v>0.963043981479132</v>
      </c>
      <c r="K388" s="1" t="str">
        <f aca="false">IF(L388&gt;24,     IF(H388=2,"Couple Extended Day","Extended Day"), IF(L388&lt;=12,     IF(AND(MOD(D388,1)&gt;=TIME(6,0,0),MOD(D388,1)&lt;TIME(18,0,0)),         IF(H388=2,"Couple Half Day","12H Day"),         IF(H388=2,"Couple Half Night","12H Night")), IF(L388&lt;=24,     IF(AND(MOD(D388,1)&gt;=TIME(6,0,0),MOD(D388,1)&lt;TIME(18,0,0)),         IF(H388=2,"Couple Full Day","24H Day"),         IF(H388=2,"Couple Full Night","24H Night")), "Check Data")))</f>
        <v>24H Night</v>
      </c>
      <c r="L388" s="12" t="n">
        <f aca="false">((INT(E388)+MOD(F388,1))-(INT(C388)+MOD(D388,1)))*24</f>
        <v>22.9999999990105</v>
      </c>
      <c r="M388" s="1" t="n">
        <f aca="false">IFERROR(INDEX(Sheet3!$B$2:$B$500,MATCH(1,(INT(C388)+MOD(D388,1)&lt;INT(Sheet3!$A$2:$A$500)+TIME(18,0,0))*(INT(E388)+MOD(F388,1)&gt;=INT(Sheet3!$A$2:$A$500)),0)),0)</f>
        <v>0</v>
      </c>
      <c r="N388" s="1" t="n">
        <f aca="false">IF(OR( AND(Q388=6,D388&gt;=TIME(17,0,0),OR(K388="12H Night",K388="Couple Half Night",K388="24H Night",K388="Couple Full Night")), AND(Q388=7,D388&gt;=TIME(6,0,0),D388&lt;TIME(12,0,0),OR(K388="12H Day",K388="Couple Half Day",K388="24H Day",K388="Couple Full Day")) ),1,0)</f>
        <v>0</v>
      </c>
      <c r="O388" s="1" t="n">
        <f aca="false">IF(OR( AND(MONTH(C388)=12,DAY(C388)&gt;=26), AND(MONTH(C388)=4,DAY(C388)&gt;=15), MONTH(C388)=5, AND(MONTH(C388)=6,DAY(C388)&lt;=10) ),1,0)</f>
        <v>1</v>
      </c>
      <c r="P388" s="1" t="str">
        <f aca="false">IF(OR(MONTH(C388)=3,MONTH(C388)=4,MONTH(C388)=5,MONTH(C388)=6), "Summer", IF(OR(MONTH(C388)=7,MONTH(C388)=8,MONTH(C388)=9,MONTH(C388)=10), "Monsoon", "Winter"))</f>
        <v>Summer</v>
      </c>
      <c r="Q388" s="1" t="n">
        <f aca="false">WEEKDAY(C388,2)</f>
        <v>1</v>
      </c>
      <c r="R388" s="0" t="n">
        <f aca="false">ROUNDDOWN(((INT(C388)+MOD(D388,1))-(INT(I388)+MOD(J388,1))),0)</f>
        <v>1</v>
      </c>
      <c r="S388" s="10"/>
    </row>
    <row r="389" customFormat="false" ht="204.9" hidden="false" customHeight="false" outlineLevel="0" collapsed="false">
      <c r="A389" s="8" t="s">
        <v>692</v>
      </c>
      <c r="B389" s="22" t="s">
        <v>693</v>
      </c>
      <c r="C389" s="18" t="n">
        <v>45777.3333333333</v>
      </c>
      <c r="D389" s="19" t="n">
        <v>0</v>
      </c>
      <c r="E389" s="18" t="n">
        <v>45777.75</v>
      </c>
      <c r="F389" s="19" t="n">
        <v>45777.75</v>
      </c>
      <c r="G389" s="20" t="n">
        <v>4000</v>
      </c>
      <c r="H389" s="8" t="n">
        <v>6</v>
      </c>
      <c r="I389" s="10" t="n">
        <v>45776</v>
      </c>
      <c r="J389" s="11" t="n">
        <v>0.75891203703941</v>
      </c>
      <c r="K389" s="1" t="str">
        <f aca="false">IF(L389&gt;24,     IF(H389=2,"Couple Extended Day","Extended Day"), IF(L389&lt;=12,     IF(AND(MOD(D389,1)&gt;=TIME(6,0,0),MOD(D389,1)&lt;TIME(18,0,0)),         IF(H389=2,"Couple Half Day","12H Day"),         IF(H389=2,"Couple Half Night","12H Night")), IF(L389&lt;=24,     IF(AND(MOD(D389,1)&gt;=TIME(6,0,0),MOD(D389,1)&lt;TIME(18,0,0)),         IF(H389=2,"Couple Full Day","24H Day"),         IF(H389=2,"Couple Full Night","24H Night")), "Check Data")))</f>
        <v>24H Night</v>
      </c>
      <c r="L389" s="12" t="n">
        <f aca="false">((INT(E389)+MOD(F389,1))-(INT(C389)+MOD(D389,1)))*24</f>
        <v>18</v>
      </c>
      <c r="M389" s="1" t="n">
        <f aca="false">IFERROR(INDEX(Sheet3!$B$2:$B$500,MATCH(1,(INT(C389)+MOD(D389,1)&lt;INT(Sheet3!$A$2:$A$500)+TIME(18,0,0))*(INT(E389)+MOD(F389,1)&gt;=INT(Sheet3!$A$2:$A$500)),0)),0)</f>
        <v>0</v>
      </c>
      <c r="N389" s="1" t="n">
        <f aca="false">IF(OR( AND(Q389=6,D389&gt;=TIME(17,0,0),OR(K389="12H Night",K389="Couple Half Night",K389="24H Night",K389="Couple Full Night")), AND(Q389=7,D389&gt;=TIME(6,0,0),D389&lt;TIME(12,0,0),OR(K389="12H Day",K389="Couple Half Day",K389="24H Day",K389="Couple Full Day")) ),1,0)</f>
        <v>0</v>
      </c>
      <c r="O389" s="1" t="n">
        <f aca="false">IF(OR( AND(MONTH(C389)=12,DAY(C389)&gt;=26), AND(MONTH(C389)=4,DAY(C389)&gt;=15), MONTH(C389)=5, AND(MONTH(C389)=6,DAY(C389)&lt;=10) ),1,0)</f>
        <v>1</v>
      </c>
      <c r="P389" s="1" t="str">
        <f aca="false">IF(OR(MONTH(C389)=3,MONTH(C389)=4,MONTH(C389)=5,MONTH(C389)=6), "Summer", IF(OR(MONTH(C389)=7,MONTH(C389)=8,MONTH(C389)=9,MONTH(C389)=10), "Monsoon", "Winter"))</f>
        <v>Summer</v>
      </c>
      <c r="Q389" s="1" t="n">
        <f aca="false">WEEKDAY(C389,2)</f>
        <v>3</v>
      </c>
      <c r="R389" s="0" t="n">
        <f aca="false">ROUNDDOWN(((INT(C389)+MOD(D389,1))-(INT(I389)+MOD(J389,1))),0)</f>
        <v>0</v>
      </c>
      <c r="S389" s="10"/>
    </row>
    <row r="390" customFormat="false" ht="251.6" hidden="false" customHeight="false" outlineLevel="0" collapsed="false">
      <c r="A390" s="8" t="s">
        <v>451</v>
      </c>
      <c r="B390" s="22" t="s">
        <v>694</v>
      </c>
      <c r="C390" s="18" t="n">
        <v>45777.7916666667</v>
      </c>
      <c r="D390" s="19" t="n">
        <v>45777.7916666667</v>
      </c>
      <c r="E390" s="18" t="n">
        <v>45778.75</v>
      </c>
      <c r="F390" s="19" t="n">
        <v>45778.75</v>
      </c>
      <c r="G390" s="20" t="n">
        <v>5500</v>
      </c>
      <c r="H390" s="8" t="n">
        <v>12</v>
      </c>
      <c r="I390" s="10" t="n">
        <v>45776</v>
      </c>
      <c r="J390" s="11" t="n">
        <v>0.780937499999711</v>
      </c>
      <c r="K390" s="1" t="str">
        <f aca="false">IF(L390&gt;24,     IF(H390=2,"Couple Extended Day","Extended Day"), IF(L390&lt;=12,     IF(AND(MOD(D390,1)&gt;=TIME(6,0,0),MOD(D390,1)&lt;TIME(18,0,0)),         IF(H390=2,"Couple Half Day","12H Day"),         IF(H390=2,"Couple Half Night","12H Night")), IF(L390&lt;=24,     IF(AND(MOD(D390,1)&gt;=TIME(6,0,0),MOD(D390,1)&lt;TIME(18,0,0)),         IF(H390=2,"Couple Full Day","24H Day"),         IF(H390=2,"Couple Full Night","24H Night")), "Check Data")))</f>
        <v>24H Night</v>
      </c>
      <c r="L390" s="12" t="n">
        <f aca="false">((INT(E390)+MOD(F390,1))-(INT(C390)+MOD(D390,1)))*24</f>
        <v>22.9999999990105</v>
      </c>
      <c r="M390" s="1" t="n">
        <f aca="false">IFERROR(INDEX(Sheet3!$B$2:$B$500,MATCH(1,(INT(C390)+MOD(D390,1)&lt;INT(Sheet3!$A$2:$A$500)+TIME(18,0,0))*(INT(E390)+MOD(F390,1)&gt;=INT(Sheet3!$A$2:$A$500)),0)),0)</f>
        <v>0</v>
      </c>
      <c r="N390" s="1" t="n">
        <f aca="false">IF(OR( AND(Q390=6,D390&gt;=TIME(17,0,0),OR(K390="12H Night",K390="Couple Half Night",K390="24H Night",K390="Couple Full Night")), AND(Q390=7,D390&gt;=TIME(6,0,0),D390&lt;TIME(12,0,0),OR(K390="12H Day",K390="Couple Half Day",K390="24H Day",K390="Couple Full Day")) ),1,0)</f>
        <v>0</v>
      </c>
      <c r="O390" s="1" t="n">
        <f aca="false">IF(OR( AND(MONTH(C390)=12,DAY(C390)&gt;=26), AND(MONTH(C390)=4,DAY(C390)&gt;=15), MONTH(C390)=5, AND(MONTH(C390)=6,DAY(C390)&lt;=10) ),1,0)</f>
        <v>1</v>
      </c>
      <c r="P390" s="1" t="str">
        <f aca="false">IF(OR(MONTH(C390)=3,MONTH(C390)=4,MONTH(C390)=5,MONTH(C390)=6), "Summer", IF(OR(MONTH(C390)=7,MONTH(C390)=8,MONTH(C390)=9,MONTH(C390)=10), "Monsoon", "Winter"))</f>
        <v>Summer</v>
      </c>
      <c r="Q390" s="1" t="n">
        <f aca="false">WEEKDAY(C390,2)</f>
        <v>3</v>
      </c>
      <c r="R390" s="0" t="n">
        <f aca="false">ROUNDDOWN(((INT(C390)+MOD(D390,1))-(INT(I390)+MOD(J390,1))),0)</f>
        <v>1</v>
      </c>
      <c r="S390" s="10"/>
    </row>
    <row r="391" customFormat="false" ht="15.75" hidden="false" customHeight="false" outlineLevel="0" collapsed="false">
      <c r="A391" s="8" t="s">
        <v>695</v>
      </c>
      <c r="B391" s="8" t="s">
        <v>696</v>
      </c>
      <c r="C391" s="18" t="n">
        <v>45778.7916666667</v>
      </c>
      <c r="D391" s="19" t="n">
        <v>45778.7916666667</v>
      </c>
      <c r="E391" s="18" t="n">
        <v>45779.75</v>
      </c>
      <c r="F391" s="19" t="n">
        <v>45779.75</v>
      </c>
      <c r="G391" s="20" t="n">
        <v>5000</v>
      </c>
      <c r="I391" s="10" t="n">
        <v>45769</v>
      </c>
      <c r="J391" s="11" t="n">
        <v>0.468148148152975</v>
      </c>
      <c r="K391" s="1" t="str">
        <f aca="false">IF(L391&gt;24,     IF(H391=2,"Couple Extended Day","Extended Day"), IF(L391&lt;=12,     IF(AND(MOD(D391,1)&gt;=TIME(6,0,0),MOD(D391,1)&lt;TIME(18,0,0)),         IF(H391=2,"Couple Half Day","12H Day"),         IF(H391=2,"Couple Half Night","12H Night")), IF(L391&lt;=24,     IF(AND(MOD(D391,1)&gt;=TIME(6,0,0),MOD(D391,1)&lt;TIME(18,0,0)),         IF(H391=2,"Couple Full Day","24H Day"),         IF(H391=2,"Couple Full Night","24H Night")), "Check Data")))</f>
        <v>24H Night</v>
      </c>
      <c r="L391" s="12" t="n">
        <f aca="false">((INT(E391)+MOD(F391,1))-(INT(C391)+MOD(D391,1)))*24</f>
        <v>22.9999999990105</v>
      </c>
      <c r="M391" s="1" t="n">
        <f aca="false">IFERROR(INDEX(Sheet3!$B$2:$B$500,MATCH(1,(INT(C391)+MOD(D391,1)&lt;INT(Sheet3!$A$2:$A$500)+TIME(18,0,0))*(INT(E391)+MOD(F391,1)&gt;=INT(Sheet3!$A$2:$A$500)),0)),0)</f>
        <v>0</v>
      </c>
      <c r="N391" s="1" t="n">
        <f aca="false">IF(OR( AND(Q391=6,D391&gt;=TIME(17,0,0),OR(K391="12H Night",K391="Couple Half Night",K391="24H Night",K391="Couple Full Night")), AND(Q391=7,D391&gt;=TIME(6,0,0),D391&lt;TIME(12,0,0),OR(K391="12H Day",K391="Couple Half Day",K391="24H Day",K391="Couple Full Day")) ),1,0)</f>
        <v>0</v>
      </c>
      <c r="O391" s="1" t="n">
        <f aca="false">IF(OR( AND(MONTH(C391)=12,DAY(C391)&gt;=26), AND(MONTH(C391)=4,DAY(C391)&gt;=15), MONTH(C391)=5, AND(MONTH(C391)=6,DAY(C391)&lt;=10) ),1,0)</f>
        <v>1</v>
      </c>
      <c r="P391" s="1" t="str">
        <f aca="false">IF(OR(MONTH(C391)=3,MONTH(C391)=4,MONTH(C391)=5,MONTH(C391)=6), "Summer", IF(OR(MONTH(C391)=7,MONTH(C391)=8,MONTH(C391)=9,MONTH(C391)=10), "Monsoon", "Winter"))</f>
        <v>Summer</v>
      </c>
      <c r="Q391" s="1" t="n">
        <f aca="false">WEEKDAY(C391,2)</f>
        <v>4</v>
      </c>
      <c r="R391" s="0" t="n">
        <f aca="false">ROUNDDOWN(((INT(C391)+MOD(D391,1))-(INT(I391)+MOD(J391,1))),0)</f>
        <v>9</v>
      </c>
      <c r="S391" s="10"/>
    </row>
    <row r="392" customFormat="false" ht="15.75" hidden="false" customHeight="false" outlineLevel="0" collapsed="false">
      <c r="A392" s="8" t="s">
        <v>697</v>
      </c>
      <c r="B392" s="8" t="s">
        <v>698</v>
      </c>
      <c r="C392" s="18" t="n">
        <v>45779.7916666667</v>
      </c>
      <c r="D392" s="19" t="n">
        <v>45779.7916666667</v>
      </c>
      <c r="E392" s="18" t="n">
        <v>45780.75</v>
      </c>
      <c r="F392" s="19" t="n">
        <v>45780.75</v>
      </c>
      <c r="G392" s="20" t="n">
        <v>0</v>
      </c>
      <c r="I392" s="10" t="n">
        <v>45777</v>
      </c>
      <c r="J392" s="11" t="n">
        <v>0.440208333333426</v>
      </c>
      <c r="K392" s="1" t="str">
        <f aca="false">IF(L392&gt;24,     IF(H392=2,"Couple Extended Day","Extended Day"), IF(L392&lt;=12,     IF(AND(MOD(D392,1)&gt;=TIME(6,0,0),MOD(D392,1)&lt;TIME(18,0,0)),         IF(H392=2,"Couple Half Day","12H Day"),         IF(H392=2,"Couple Half Night","12H Night")), IF(L392&lt;=24,     IF(AND(MOD(D392,1)&gt;=TIME(6,0,0),MOD(D392,1)&lt;TIME(18,0,0)),         IF(H392=2,"Couple Full Day","24H Day"),         IF(H392=2,"Couple Full Night","24H Night")), "Check Data")))</f>
        <v>24H Night</v>
      </c>
      <c r="L392" s="12" t="n">
        <f aca="false">((INT(E392)+MOD(F392,1))-(INT(C392)+MOD(D392,1)))*24</f>
        <v>22.9999999990105</v>
      </c>
      <c r="M392" s="1" t="n">
        <f aca="false">IFERROR(INDEX(Sheet3!$B$2:$B$500,MATCH(1,(INT(C392)+MOD(D392,1)&lt;INT(Sheet3!$A$2:$A$500)+TIME(18,0,0))*(INT(E392)+MOD(F392,1)&gt;=INT(Sheet3!$A$2:$A$500)),0)),0)</f>
        <v>0</v>
      </c>
      <c r="N392" s="1" t="n">
        <f aca="false">IF(OR( AND(Q392=6,D392&gt;=TIME(17,0,0),OR(K392="12H Night",K392="Couple Half Night",K392="24H Night",K392="Couple Full Night")), AND(Q392=7,D392&gt;=TIME(6,0,0),D392&lt;TIME(12,0,0),OR(K392="12H Day",K392="Couple Half Day",K392="24H Day",K392="Couple Full Day")) ),1,0)</f>
        <v>0</v>
      </c>
      <c r="O392" s="1" t="n">
        <f aca="false">IF(OR( AND(MONTH(C392)=12,DAY(C392)&gt;=26), AND(MONTH(C392)=4,DAY(C392)&gt;=15), MONTH(C392)=5, AND(MONTH(C392)=6,DAY(C392)&lt;=10) ),1,0)</f>
        <v>1</v>
      </c>
      <c r="P392" s="1" t="str">
        <f aca="false">IF(OR(MONTH(C392)=3,MONTH(C392)=4,MONTH(C392)=5,MONTH(C392)=6), "Summer", IF(OR(MONTH(C392)=7,MONTH(C392)=8,MONTH(C392)=9,MONTH(C392)=10), "Monsoon", "Winter"))</f>
        <v>Summer</v>
      </c>
      <c r="Q392" s="1" t="n">
        <f aca="false">WEEKDAY(C392,2)</f>
        <v>5</v>
      </c>
      <c r="R392" s="0" t="n">
        <f aca="false">ROUNDDOWN(((INT(C392)+MOD(D392,1))-(INT(I392)+MOD(J392,1))),0)</f>
        <v>2</v>
      </c>
      <c r="S392" s="10"/>
    </row>
    <row r="393" customFormat="false" ht="204.9" hidden="false" customHeight="false" outlineLevel="0" collapsed="false">
      <c r="A393" s="8" t="s">
        <v>699</v>
      </c>
      <c r="B393" s="22" t="s">
        <v>700</v>
      </c>
      <c r="C393" s="18" t="n">
        <v>45780.7916666667</v>
      </c>
      <c r="D393" s="19" t="n">
        <v>45780.7916666667</v>
      </c>
      <c r="E393" s="18" t="n">
        <v>45781.75</v>
      </c>
      <c r="F393" s="19" t="n">
        <v>45781.75</v>
      </c>
      <c r="G393" s="20" t="n">
        <v>12000</v>
      </c>
      <c r="H393" s="8" t="n">
        <v>12</v>
      </c>
      <c r="I393" s="10" t="n">
        <v>45778</v>
      </c>
      <c r="J393" s="11" t="n">
        <v>0.384548611109491</v>
      </c>
      <c r="K393" s="1" t="str">
        <f aca="false">IF(L393&gt;24,     IF(H393=2,"Couple Extended Day","Extended Day"), IF(L393&lt;=12,     IF(AND(MOD(D393,1)&gt;=TIME(6,0,0),MOD(D393,1)&lt;TIME(18,0,0)),         IF(H393=2,"Couple Half Day","12H Day"),         IF(H393=2,"Couple Half Night","12H Night")), IF(L393&lt;=24,     IF(AND(MOD(D393,1)&gt;=TIME(6,0,0),MOD(D393,1)&lt;TIME(18,0,0)),         IF(H393=2,"Couple Full Day","24H Day"),         IF(H393=2,"Couple Full Night","24H Night")), "Check Data")))</f>
        <v>24H Night</v>
      </c>
      <c r="L393" s="12" t="n">
        <f aca="false">((INT(E393)+MOD(F393,1))-(INT(C393)+MOD(D393,1)))*24</f>
        <v>22.9999999990105</v>
      </c>
      <c r="M393" s="1" t="n">
        <f aca="false">IFERROR(INDEX(Sheet3!$B$2:$B$500,MATCH(1,(INT(C393)+MOD(D393,1)&lt;INT(Sheet3!$A$2:$A$500)+TIME(18,0,0))*(INT(E393)+MOD(F393,1)&gt;=INT(Sheet3!$A$2:$A$500)),0)),0)</f>
        <v>0</v>
      </c>
      <c r="N393" s="1" t="n">
        <f aca="false">IF(OR( AND(Q393=6,D393&gt;=TIME(17,0,0),OR(K393="12H Night",K393="Couple Half Night",K393="24H Night",K393="Couple Full Night")), AND(Q393=7,D393&gt;=TIME(6,0,0),D393&lt;TIME(12,0,0),OR(K393="12H Day",K393="Couple Half Day",K393="24H Day",K393="Couple Full Day")) ),1,0)</f>
        <v>1</v>
      </c>
      <c r="O393" s="1" t="n">
        <f aca="false">IF(OR( AND(MONTH(C393)=12,DAY(C393)&gt;=26), AND(MONTH(C393)=4,DAY(C393)&gt;=15), MONTH(C393)=5, AND(MONTH(C393)=6,DAY(C393)&lt;=10) ),1,0)</f>
        <v>1</v>
      </c>
      <c r="P393" s="1" t="str">
        <f aca="false">IF(OR(MONTH(C393)=3,MONTH(C393)=4,MONTH(C393)=5,MONTH(C393)=6), "Summer", IF(OR(MONTH(C393)=7,MONTH(C393)=8,MONTH(C393)=9,MONTH(C393)=10), "Monsoon", "Winter"))</f>
        <v>Summer</v>
      </c>
      <c r="Q393" s="1" t="n">
        <f aca="false">WEEKDAY(C393,2)</f>
        <v>6</v>
      </c>
      <c r="R393" s="0" t="n">
        <f aca="false">ROUNDDOWN(((INT(C393)+MOD(D393,1))-(INT(I393)+MOD(J393,1))),0)</f>
        <v>2</v>
      </c>
      <c r="S393" s="10"/>
    </row>
    <row r="394" customFormat="false" ht="204.9" hidden="false" customHeight="false" outlineLevel="0" collapsed="false">
      <c r="A394" s="8" t="s">
        <v>701</v>
      </c>
      <c r="B394" s="22" t="s">
        <v>702</v>
      </c>
      <c r="C394" s="18" t="n">
        <v>45782.3333333333</v>
      </c>
      <c r="D394" s="19" t="n">
        <v>0</v>
      </c>
      <c r="E394" s="18" t="n">
        <v>45782.7916666667</v>
      </c>
      <c r="F394" s="19" t="n">
        <v>45782.7916666667</v>
      </c>
      <c r="G394" s="20" t="n">
        <v>4500</v>
      </c>
      <c r="H394" s="8" t="n">
        <v>15</v>
      </c>
      <c r="I394" s="10" t="n">
        <v>45781</v>
      </c>
      <c r="J394" s="11" t="n">
        <v>0.952002314814306</v>
      </c>
      <c r="K394" s="1" t="str">
        <f aca="false">IF(L394&gt;24,     IF(H394=2,"Couple Extended Day","Extended Day"), IF(L394&lt;=12,     IF(AND(MOD(D394,1)&gt;=TIME(6,0,0),MOD(D394,1)&lt;TIME(18,0,0)),         IF(H394=2,"Couple Half Day","12H Day"),         IF(H394=2,"Couple Half Night","12H Night")), IF(L394&lt;=24,     IF(AND(MOD(D394,1)&gt;=TIME(6,0,0),MOD(D394,1)&lt;TIME(18,0,0)),         IF(H394=2,"Couple Full Day","24H Day"),         IF(H394=2,"Couple Full Night","24H Night")), "Check Data")))</f>
        <v>24H Night</v>
      </c>
      <c r="L394" s="12" t="n">
        <f aca="false">((INT(E394)+MOD(F394,1))-(INT(C394)+MOD(D394,1)))*24</f>
        <v>19.0000000009895</v>
      </c>
      <c r="M394" s="1" t="n">
        <f aca="false">IFERROR(INDEX(Sheet3!$B$2:$B$500,MATCH(1,(INT(C394)+MOD(D394,1)&lt;INT(Sheet3!$A$2:$A$500)+TIME(18,0,0))*(INT(E394)+MOD(F394,1)&gt;=INT(Sheet3!$A$2:$A$500)),0)),0)</f>
        <v>0</v>
      </c>
      <c r="N394" s="1" t="n">
        <f aca="false">IF(OR( AND(Q394=6,D394&gt;=TIME(17,0,0),OR(K394="12H Night",K394="Couple Half Night",K394="24H Night",K394="Couple Full Night")), AND(Q394=7,D394&gt;=TIME(6,0,0),D394&lt;TIME(12,0,0),OR(K394="12H Day",K394="Couple Half Day",K394="24H Day",K394="Couple Full Day")) ),1,0)</f>
        <v>0</v>
      </c>
      <c r="O394" s="1" t="n">
        <f aca="false">IF(OR( AND(MONTH(C394)=12,DAY(C394)&gt;=26), AND(MONTH(C394)=4,DAY(C394)&gt;=15), MONTH(C394)=5, AND(MONTH(C394)=6,DAY(C394)&lt;=10) ),1,0)</f>
        <v>1</v>
      </c>
      <c r="P394" s="1" t="str">
        <f aca="false">IF(OR(MONTH(C394)=3,MONTH(C394)=4,MONTH(C394)=5,MONTH(C394)=6), "Summer", IF(OR(MONTH(C394)=7,MONTH(C394)=8,MONTH(C394)=9,MONTH(C394)=10), "Monsoon", "Winter"))</f>
        <v>Summer</v>
      </c>
      <c r="Q394" s="1" t="n">
        <f aca="false">WEEKDAY(C394,2)</f>
        <v>1</v>
      </c>
      <c r="R394" s="0" t="n">
        <f aca="false">ROUNDDOWN(((INT(C394)+MOD(D394,1))-(INT(I394)+MOD(J394,1))),0)</f>
        <v>0</v>
      </c>
      <c r="S394" s="10"/>
    </row>
    <row r="395" customFormat="false" ht="204.9" hidden="false" customHeight="false" outlineLevel="0" collapsed="false">
      <c r="A395" s="8" t="s">
        <v>703</v>
      </c>
      <c r="B395" s="22" t="s">
        <v>704</v>
      </c>
      <c r="C395" s="18" t="n">
        <v>45783.5416666667</v>
      </c>
      <c r="D395" s="19" t="n">
        <v>45783.5416666667</v>
      </c>
      <c r="E395" s="18" t="n">
        <v>45783.75</v>
      </c>
      <c r="F395" s="19" t="n">
        <v>45783.75</v>
      </c>
      <c r="G395" s="20" t="n">
        <v>2000</v>
      </c>
      <c r="H395" s="8" t="n">
        <v>2</v>
      </c>
      <c r="I395" s="10" t="n">
        <v>45783</v>
      </c>
      <c r="J395" s="11" t="n">
        <v>0.518634259264213</v>
      </c>
      <c r="K395" s="1" t="str">
        <f aca="false">IF(L395&gt;24,     IF(H395=2,"Couple Extended Day","Extended Day"), IF(L395&lt;=12,     IF(AND(MOD(D395,1)&gt;=TIME(6,0,0),MOD(D395,1)&lt;TIME(18,0,0)),         IF(H395=2,"Couple Half Day","12H Day"),         IF(H395=2,"Couple Half Night","12H Night")), IF(L395&lt;=24,     IF(AND(MOD(D395,1)&gt;=TIME(6,0,0),MOD(D395,1)&lt;TIME(18,0,0)),         IF(H395=2,"Couple Full Day","24H Day"),         IF(H395=2,"Couple Full Night","24H Night")), "Check Data")))</f>
        <v>Couple Half Day</v>
      </c>
      <c r="L395" s="12" t="n">
        <f aca="false">((INT(E395)+MOD(F395,1))-(INT(C395)+MOD(D395,1)))*24</f>
        <v>4.99999999901047</v>
      </c>
      <c r="M395" s="1" t="n">
        <f aca="false">IFERROR(INDEX(Sheet3!$B$2:$B$500,MATCH(1,(INT(C395)+MOD(D395,1)&lt;INT(Sheet3!$A$2:$A$500)+TIME(18,0,0))*(INT(E395)+MOD(F395,1)&gt;=INT(Sheet3!$A$2:$A$500)),0)),0)</f>
        <v>0</v>
      </c>
      <c r="N395" s="1" t="n">
        <f aca="false">IF(OR( AND(Q395=6,D395&gt;=TIME(17,0,0),OR(K395="12H Night",K395="Couple Half Night",K395="24H Night",K395="Couple Full Night")), AND(Q395=7,D395&gt;=TIME(6,0,0),D395&lt;TIME(12,0,0),OR(K395="12H Day",K395="Couple Half Day",K395="24H Day",K395="Couple Full Day")) ),1,0)</f>
        <v>0</v>
      </c>
      <c r="O395" s="1" t="n">
        <f aca="false">IF(OR( AND(MONTH(C395)=12,DAY(C395)&gt;=26), AND(MONTH(C395)=4,DAY(C395)&gt;=15), MONTH(C395)=5, AND(MONTH(C395)=6,DAY(C395)&lt;=10) ),1,0)</f>
        <v>1</v>
      </c>
      <c r="P395" s="1" t="str">
        <f aca="false">IF(OR(MONTH(C395)=3,MONTH(C395)=4,MONTH(C395)=5,MONTH(C395)=6), "Summer", IF(OR(MONTH(C395)=7,MONTH(C395)=8,MONTH(C395)=9,MONTH(C395)=10), "Monsoon", "Winter"))</f>
        <v>Summer</v>
      </c>
      <c r="Q395" s="1" t="n">
        <f aca="false">WEEKDAY(C395,2)</f>
        <v>2</v>
      </c>
      <c r="R395" s="0" t="n">
        <f aca="false">ROUNDDOWN(((INT(C395)+MOD(D395,1))-(INT(I395)+MOD(J395,1))),0)</f>
        <v>0</v>
      </c>
      <c r="S395" s="10"/>
    </row>
    <row r="396" customFormat="false" ht="204.9" hidden="false" customHeight="false" outlineLevel="0" collapsed="false">
      <c r="A396" s="8" t="s">
        <v>705</v>
      </c>
      <c r="B396" s="22" t="s">
        <v>706</v>
      </c>
      <c r="C396" s="18" t="n">
        <v>45783.7916666667</v>
      </c>
      <c r="D396" s="19" t="n">
        <v>45783.7916666667</v>
      </c>
      <c r="E396" s="18" t="n">
        <v>45784.75</v>
      </c>
      <c r="F396" s="19" t="n">
        <v>45784.75</v>
      </c>
      <c r="G396" s="20" t="n">
        <v>5500</v>
      </c>
      <c r="H396" s="8" t="n">
        <v>10</v>
      </c>
      <c r="I396" s="10" t="n">
        <v>45780</v>
      </c>
      <c r="J396" s="11" t="n">
        <v>0.963587962964086</v>
      </c>
      <c r="K396" s="1" t="str">
        <f aca="false">IF(L396&gt;24,     IF(H396=2,"Couple Extended Day","Extended Day"), IF(L396&lt;=12,     IF(AND(MOD(D396,1)&gt;=TIME(6,0,0),MOD(D396,1)&lt;TIME(18,0,0)),         IF(H396=2,"Couple Half Day","12H Day"),         IF(H396=2,"Couple Half Night","12H Night")), IF(L396&lt;=24,     IF(AND(MOD(D396,1)&gt;=TIME(6,0,0),MOD(D396,1)&lt;TIME(18,0,0)),         IF(H396=2,"Couple Full Day","24H Day"),         IF(H396=2,"Couple Full Night","24H Night")), "Check Data")))</f>
        <v>24H Night</v>
      </c>
      <c r="L396" s="12" t="n">
        <f aca="false">((INT(E396)+MOD(F396,1))-(INT(C396)+MOD(D396,1)))*24</f>
        <v>22.9999999990105</v>
      </c>
      <c r="M396" s="1" t="n">
        <f aca="false">IFERROR(INDEX(Sheet3!$B$2:$B$500,MATCH(1,(INT(C396)+MOD(D396,1)&lt;INT(Sheet3!$A$2:$A$500)+TIME(18,0,0))*(INT(E396)+MOD(F396,1)&gt;=INT(Sheet3!$A$2:$A$500)),0)),0)</f>
        <v>0</v>
      </c>
      <c r="N396" s="1" t="n">
        <f aca="false">IF(OR( AND(Q396=6,D396&gt;=TIME(17,0,0),OR(K396="12H Night",K396="Couple Half Night",K396="24H Night",K396="Couple Full Night")), AND(Q396=7,D396&gt;=TIME(6,0,0),D396&lt;TIME(12,0,0),OR(K396="12H Day",K396="Couple Half Day",K396="24H Day",K396="Couple Full Day")) ),1,0)</f>
        <v>0</v>
      </c>
      <c r="O396" s="1" t="n">
        <f aca="false">IF(OR( AND(MONTH(C396)=12,DAY(C396)&gt;=26), AND(MONTH(C396)=4,DAY(C396)&gt;=15), MONTH(C396)=5, AND(MONTH(C396)=6,DAY(C396)&lt;=10) ),1,0)</f>
        <v>1</v>
      </c>
      <c r="P396" s="1" t="str">
        <f aca="false">IF(OR(MONTH(C396)=3,MONTH(C396)=4,MONTH(C396)=5,MONTH(C396)=6), "Summer", IF(OR(MONTH(C396)=7,MONTH(C396)=8,MONTH(C396)=9,MONTH(C396)=10), "Monsoon", "Winter"))</f>
        <v>Summer</v>
      </c>
      <c r="Q396" s="1" t="n">
        <f aca="false">WEEKDAY(C396,2)</f>
        <v>2</v>
      </c>
      <c r="R396" s="0" t="n">
        <f aca="false">ROUNDDOWN(((INT(C396)+MOD(D396,1))-(INT(I396)+MOD(J396,1))),0)</f>
        <v>2</v>
      </c>
      <c r="S396" s="10"/>
    </row>
    <row r="397" customFormat="false" ht="157" hidden="false" customHeight="false" outlineLevel="0" collapsed="false">
      <c r="A397" s="8" t="s">
        <v>707</v>
      </c>
      <c r="B397" s="22" t="s">
        <v>708</v>
      </c>
      <c r="C397" s="18" t="n">
        <v>45785.9166666667</v>
      </c>
      <c r="D397" s="19" t="n">
        <v>45785.9166666667</v>
      </c>
      <c r="E397" s="18" t="n">
        <v>45786.375</v>
      </c>
      <c r="F397" s="19" t="n">
        <v>45786.375</v>
      </c>
      <c r="G397" s="20" t="n">
        <v>2500</v>
      </c>
      <c r="H397" s="8" t="n">
        <v>12</v>
      </c>
      <c r="I397" s="10" t="n">
        <v>45786</v>
      </c>
      <c r="J397" s="11" t="n">
        <v>0.0832638888896296</v>
      </c>
      <c r="K397" s="1" t="str">
        <f aca="false">IF(L397&gt;24,     IF(H397=2,"Couple Extended Day","Extended Day"), IF(L397&lt;=12,     IF(AND(MOD(D397,1)&gt;=TIME(6,0,0),MOD(D397,1)&lt;TIME(18,0,0)),         IF(H397=2,"Couple Half Day","12H Day"),         IF(H397=2,"Couple Half Night","12H Night")), IF(L397&lt;=24,     IF(AND(MOD(D397,1)&gt;=TIME(6,0,0),MOD(D397,1)&lt;TIME(18,0,0)),         IF(H397=2,"Couple Full Day","24H Day"),         IF(H397=2,"Couple Full Night","24H Night")), "Check Data")))</f>
        <v>12H Night</v>
      </c>
      <c r="L397" s="12" t="n">
        <f aca="false">((INT(E397)+MOD(F397,1))-(INT(C397)+MOD(D397,1)))*24</f>
        <v>10.9999999990105</v>
      </c>
      <c r="M397" s="1" t="n">
        <f aca="false">IFERROR(INDEX(Sheet3!$B$2:$B$500,MATCH(1,(INT(C397)+MOD(D397,1)&lt;INT(Sheet3!$A$2:$A$500)+TIME(18,0,0))*(INT(E397)+MOD(F397,1)&gt;=INT(Sheet3!$A$2:$A$500)),0)),0)</f>
        <v>0</v>
      </c>
      <c r="N397" s="1" t="n">
        <f aca="false">IF(OR( AND(Q397=6,D397&gt;=TIME(17,0,0),OR(K397="12H Night",K397="Couple Half Night",K397="24H Night",K397="Couple Full Night")), AND(Q397=7,D397&gt;=TIME(6,0,0),D397&lt;TIME(12,0,0),OR(K397="12H Day",K397="Couple Half Day",K397="24H Day",K397="Couple Full Day")) ),1,0)</f>
        <v>0</v>
      </c>
      <c r="O397" s="1" t="n">
        <f aca="false">IF(OR( AND(MONTH(C397)=12,DAY(C397)&gt;=26), AND(MONTH(C397)=4,DAY(C397)&gt;=15), MONTH(C397)=5, AND(MONTH(C397)=6,DAY(C397)&lt;=10) ),1,0)</f>
        <v>1</v>
      </c>
      <c r="P397" s="1" t="str">
        <f aca="false">IF(OR(MONTH(C397)=3,MONTH(C397)=4,MONTH(C397)=5,MONTH(C397)=6), "Summer", IF(OR(MONTH(C397)=7,MONTH(C397)=8,MONTH(C397)=9,MONTH(C397)=10), "Monsoon", "Winter"))</f>
        <v>Summer</v>
      </c>
      <c r="Q397" s="1" t="n">
        <f aca="false">WEEKDAY(C397,2)</f>
        <v>4</v>
      </c>
      <c r="R397" s="0" t="n">
        <f aca="false">ROUNDDOWN(((INT(C397)+MOD(D397,1))-(INT(I397)+MOD(J397,1))),0)</f>
        <v>-0</v>
      </c>
      <c r="S397" s="10"/>
    </row>
    <row r="398" customFormat="false" ht="157" hidden="false" customHeight="false" outlineLevel="0" collapsed="false">
      <c r="A398" s="8" t="s">
        <v>709</v>
      </c>
      <c r="B398" s="22" t="s">
        <v>710</v>
      </c>
      <c r="C398" s="18" t="n">
        <v>45786.7916666667</v>
      </c>
      <c r="D398" s="19" t="n">
        <v>45786.7916666667</v>
      </c>
      <c r="E398" s="18" t="n">
        <v>45787.4166666667</v>
      </c>
      <c r="F398" s="19" t="n">
        <v>45787.4166666667</v>
      </c>
      <c r="G398" s="20" t="n">
        <v>3000</v>
      </c>
      <c r="H398" s="8" t="n">
        <v>10</v>
      </c>
      <c r="I398" s="10" t="n">
        <v>45785</v>
      </c>
      <c r="J398" s="11" t="n">
        <v>0.90357638888963</v>
      </c>
      <c r="K398" s="1" t="str">
        <f aca="false">IF(L398&gt;24,     IF(H398=2,"Couple Extended Day","Extended Day"), IF(L398&lt;=12,     IF(AND(MOD(D398,1)&gt;=TIME(6,0,0),MOD(D398,1)&lt;TIME(18,0,0)),         IF(H398=2,"Couple Half Day","12H Day"),         IF(H398=2,"Couple Half Night","12H Night")), IF(L398&lt;=24,     IF(AND(MOD(D398,1)&gt;=TIME(6,0,0),MOD(D398,1)&lt;TIME(18,0,0)),         IF(H398=2,"Couple Full Day","24H Day"),         IF(H398=2,"Couple Full Night","24H Night")), "Check Data")))</f>
        <v>24H Night</v>
      </c>
      <c r="L398" s="12" t="n">
        <f aca="false">((INT(E398)+MOD(F398,1))-(INT(C398)+MOD(D398,1)))*24</f>
        <v>15</v>
      </c>
      <c r="M398" s="1" t="n">
        <f aca="false">IFERROR(INDEX(Sheet3!$B$2:$B$500,MATCH(1,(INT(C398)+MOD(D398,1)&lt;INT(Sheet3!$A$2:$A$500)+TIME(18,0,0))*(INT(E398)+MOD(F398,1)&gt;=INT(Sheet3!$A$2:$A$500)),0)),0)</f>
        <v>0</v>
      </c>
      <c r="N398" s="1" t="n">
        <f aca="false">IF(OR( AND(Q398=6,D398&gt;=TIME(17,0,0),OR(K398="12H Night",K398="Couple Half Night",K398="24H Night",K398="Couple Full Night")), AND(Q398=7,D398&gt;=TIME(6,0,0),D398&lt;TIME(12,0,0),OR(K398="12H Day",K398="Couple Half Day",K398="24H Day",K398="Couple Full Day")) ),1,0)</f>
        <v>0</v>
      </c>
      <c r="O398" s="1" t="n">
        <f aca="false">IF(OR( AND(MONTH(C398)=12,DAY(C398)&gt;=26), AND(MONTH(C398)=4,DAY(C398)&gt;=15), MONTH(C398)=5, AND(MONTH(C398)=6,DAY(C398)&lt;=10) ),1,0)</f>
        <v>1</v>
      </c>
      <c r="P398" s="1" t="str">
        <f aca="false">IF(OR(MONTH(C398)=3,MONTH(C398)=4,MONTH(C398)=5,MONTH(C398)=6), "Summer", IF(OR(MONTH(C398)=7,MONTH(C398)=8,MONTH(C398)=9,MONTH(C398)=10), "Monsoon", "Winter"))</f>
        <v>Summer</v>
      </c>
      <c r="Q398" s="1" t="n">
        <f aca="false">WEEKDAY(C398,2)</f>
        <v>5</v>
      </c>
      <c r="R398" s="0" t="n">
        <f aca="false">ROUNDDOWN(((INT(C398)+MOD(D398,1))-(INT(I398)+MOD(J398,1))),0)</f>
        <v>0</v>
      </c>
      <c r="S398" s="10"/>
    </row>
    <row r="399" customFormat="false" ht="133.05" hidden="false" customHeight="false" outlineLevel="0" collapsed="false">
      <c r="A399" s="8" t="s">
        <v>711</v>
      </c>
      <c r="B399" s="22" t="s">
        <v>712</v>
      </c>
      <c r="C399" s="18" t="n">
        <v>45787.4166666667</v>
      </c>
      <c r="D399" s="19" t="n">
        <v>45787.4166666667</v>
      </c>
      <c r="E399" s="18" t="n">
        <v>45787.75</v>
      </c>
      <c r="F399" s="19" t="n">
        <v>45787.75</v>
      </c>
      <c r="G399" s="20" t="n">
        <v>2000</v>
      </c>
      <c r="H399" s="8" t="n">
        <v>7</v>
      </c>
      <c r="I399" s="10" t="n">
        <v>45786</v>
      </c>
      <c r="J399" s="11" t="n">
        <v>0.78402777777956</v>
      </c>
      <c r="K399" s="1" t="str">
        <f aca="false">IF(L399&gt;24,     IF(H399=2,"Couple Extended Day","Extended Day"), IF(L399&lt;=12,     IF(AND(MOD(D399,1)&gt;=TIME(6,0,0),MOD(D399,1)&lt;TIME(18,0,0)),         IF(H399=2,"Couple Half Day","12H Day"),         IF(H399=2,"Couple Half Night","12H Night")), IF(L399&lt;=24,     IF(AND(MOD(D399,1)&gt;=TIME(6,0,0),MOD(D399,1)&lt;TIME(18,0,0)),         IF(H399=2,"Couple Full Day","24H Day"),         IF(H399=2,"Couple Full Night","24H Night")), "Check Data")))</f>
        <v>12H Day</v>
      </c>
      <c r="L399" s="12" t="n">
        <f aca="false">((INT(E399)+MOD(F399,1))-(INT(C399)+MOD(D399,1)))*24</f>
        <v>7.99999999901047</v>
      </c>
      <c r="M399" s="1" t="n">
        <f aca="false">IFERROR(INDEX(Sheet3!$B$2:$B$500,MATCH(1,(INT(C399)+MOD(D399,1)&lt;INT(Sheet3!$A$2:$A$500)+TIME(18,0,0))*(INT(E399)+MOD(F399,1)&gt;=INT(Sheet3!$A$2:$A$500)),0)),0)</f>
        <v>0</v>
      </c>
      <c r="N399" s="1" t="n">
        <f aca="false">IF(OR( AND(Q399=6,D399&gt;=TIME(17,0,0),OR(K399="12H Night",K399="Couple Half Night",K399="24H Night",K399="Couple Full Night")), AND(Q399=7,D399&gt;=TIME(6,0,0),D399&lt;TIME(12,0,0),OR(K399="12H Day",K399="Couple Half Day",K399="24H Day",K399="Couple Full Day")) ),1,0)</f>
        <v>0</v>
      </c>
      <c r="O399" s="1" t="n">
        <f aca="false">IF(OR( AND(MONTH(C399)=12,DAY(C399)&gt;=26), AND(MONTH(C399)=4,DAY(C399)&gt;=15), MONTH(C399)=5, AND(MONTH(C399)=6,DAY(C399)&lt;=10) ),1,0)</f>
        <v>1</v>
      </c>
      <c r="P399" s="1" t="str">
        <f aca="false">IF(OR(MONTH(C399)=3,MONTH(C399)=4,MONTH(C399)=5,MONTH(C399)=6), "Summer", IF(OR(MONTH(C399)=7,MONTH(C399)=8,MONTH(C399)=9,MONTH(C399)=10), "Monsoon", "Winter"))</f>
        <v>Summer</v>
      </c>
      <c r="Q399" s="1" t="n">
        <f aca="false">WEEKDAY(C399,2)</f>
        <v>6</v>
      </c>
      <c r="R399" s="0" t="n">
        <f aca="false">ROUNDDOWN(((INT(C399)+MOD(D399,1))-(INT(I399)+MOD(J399,1))),0)</f>
        <v>0</v>
      </c>
      <c r="S399" s="10"/>
    </row>
    <row r="400" customFormat="false" ht="133.05" hidden="false" customHeight="false" outlineLevel="0" collapsed="false">
      <c r="A400" s="8" t="s">
        <v>713</v>
      </c>
      <c r="B400" s="22" t="s">
        <v>714</v>
      </c>
      <c r="C400" s="18" t="n">
        <v>45787.7916666667</v>
      </c>
      <c r="D400" s="19" t="n">
        <v>45787.7916666667</v>
      </c>
      <c r="E400" s="18" t="n">
        <v>45788.75</v>
      </c>
      <c r="F400" s="19" t="n">
        <v>45788.75</v>
      </c>
      <c r="G400" s="20" t="n">
        <v>10000</v>
      </c>
      <c r="H400" s="8" t="n">
        <v>12</v>
      </c>
      <c r="I400" s="10" t="n">
        <v>45786</v>
      </c>
      <c r="J400" s="11" t="n">
        <v>0.96969907407765</v>
      </c>
      <c r="K400" s="1" t="str">
        <f aca="false">IF(L400&gt;24,     IF(H400=2,"Couple Extended Day","Extended Day"), IF(L400&lt;=12,     IF(AND(MOD(D400,1)&gt;=TIME(6,0,0),MOD(D400,1)&lt;TIME(18,0,0)),         IF(H400=2,"Couple Half Day","12H Day"),         IF(H400=2,"Couple Half Night","12H Night")), IF(L400&lt;=24,     IF(AND(MOD(D400,1)&gt;=TIME(6,0,0),MOD(D400,1)&lt;TIME(18,0,0)),         IF(H400=2,"Couple Full Day","24H Day"),         IF(H400=2,"Couple Full Night","24H Night")), "Check Data")))</f>
        <v>24H Night</v>
      </c>
      <c r="L400" s="12" t="n">
        <f aca="false">((INT(E400)+MOD(F400,1))-(INT(C400)+MOD(D400,1)))*24</f>
        <v>22.9999999990105</v>
      </c>
      <c r="M400" s="1" t="n">
        <f aca="false">IFERROR(INDEX(Sheet3!$B$2:$B$500,MATCH(1,(INT(C400)+MOD(D400,1)&lt;INT(Sheet3!$A$2:$A$500)+TIME(18,0,0))*(INT(E400)+MOD(F400,1)&gt;=INT(Sheet3!$A$2:$A$500)),0)),0)</f>
        <v>0</v>
      </c>
      <c r="N400" s="1" t="n">
        <f aca="false">IF(OR( AND(Q400=6,D400&gt;=TIME(17,0,0),OR(K400="12H Night",K400="Couple Half Night",K400="24H Night",K400="Couple Full Night")), AND(Q400=7,D400&gt;=TIME(6,0,0),D400&lt;TIME(12,0,0),OR(K400="12H Day",K400="Couple Half Day",K400="24H Day",K400="Couple Full Day")) ),1,0)</f>
        <v>1</v>
      </c>
      <c r="O400" s="1" t="n">
        <f aca="false">IF(OR( AND(MONTH(C400)=12,DAY(C400)&gt;=26), AND(MONTH(C400)=4,DAY(C400)&gt;=15), MONTH(C400)=5, AND(MONTH(C400)=6,DAY(C400)&lt;=10) ),1,0)</f>
        <v>1</v>
      </c>
      <c r="P400" s="1" t="str">
        <f aca="false">IF(OR(MONTH(C400)=3,MONTH(C400)=4,MONTH(C400)=5,MONTH(C400)=6), "Summer", IF(OR(MONTH(C400)=7,MONTH(C400)=8,MONTH(C400)=9,MONTH(C400)=10), "Monsoon", "Winter"))</f>
        <v>Summer</v>
      </c>
      <c r="Q400" s="1" t="n">
        <f aca="false">WEEKDAY(C400,2)</f>
        <v>6</v>
      </c>
      <c r="R400" s="0" t="n">
        <f aca="false">ROUNDDOWN(((INT(C400)+MOD(D400,1))-(INT(I400)+MOD(J400,1))),0)</f>
        <v>0</v>
      </c>
      <c r="S400" s="10"/>
    </row>
    <row r="401" customFormat="false" ht="172.75" hidden="false" customHeight="false" outlineLevel="0" collapsed="false">
      <c r="A401" s="8" t="s">
        <v>715</v>
      </c>
      <c r="B401" s="22" t="s">
        <v>716</v>
      </c>
      <c r="C401" s="18" t="n">
        <v>45789.4583333333</v>
      </c>
      <c r="D401" s="19" t="n">
        <v>0</v>
      </c>
      <c r="E401" s="18" t="n">
        <v>45789.7083333333</v>
      </c>
      <c r="F401" s="19" t="n">
        <v>0</v>
      </c>
      <c r="G401" s="20" t="n">
        <v>2000</v>
      </c>
      <c r="H401" s="8" t="n">
        <v>2</v>
      </c>
      <c r="I401" s="10" t="n">
        <v>45789</v>
      </c>
      <c r="J401" s="11" t="n">
        <v>0.430358796293148</v>
      </c>
      <c r="K401" s="1" t="str">
        <f aca="false">IF(L401&gt;24,     IF(H401=2,"Couple Extended Day","Extended Day"), IF(L401&lt;=12,     IF(AND(MOD(D401,1)&gt;=TIME(6,0,0),MOD(D401,1)&lt;TIME(18,0,0)),         IF(H401=2,"Couple Half Day","12H Day"),         IF(H401=2,"Couple Half Night","12H Night")), IF(L401&lt;=24,     IF(AND(MOD(D401,1)&gt;=TIME(6,0,0),MOD(D401,1)&lt;TIME(18,0,0)),         IF(H401=2,"Couple Full Day","24H Day"),         IF(H401=2,"Couple Full Night","24H Night")), "Check Data")))</f>
        <v>Couple Half Night</v>
      </c>
      <c r="L401" s="12" t="n">
        <f aca="false">((INT(E401)+MOD(F401,1))-(INT(C401)+MOD(D401,1)))*24</f>
        <v>0</v>
      </c>
      <c r="M401" s="1" t="n">
        <f aca="false">IFERROR(INDEX(Sheet3!$B$2:$B$500,MATCH(1,(INT(C401)+MOD(D401,1)&lt;INT(Sheet3!$A$2:$A$500)+TIME(18,0,0))*(INT(E401)+MOD(F401,1)&gt;=INT(Sheet3!$A$2:$A$500)),0)),0)</f>
        <v>0</v>
      </c>
      <c r="N401" s="1" t="n">
        <f aca="false">IF(OR( AND(Q401=6,D401&gt;=TIME(17,0,0),OR(K401="12H Night",K401="Couple Half Night",K401="24H Night",K401="Couple Full Night")), AND(Q401=7,D401&gt;=TIME(6,0,0),D401&lt;TIME(12,0,0),OR(K401="12H Day",K401="Couple Half Day",K401="24H Day",K401="Couple Full Day")) ),1,0)</f>
        <v>0</v>
      </c>
      <c r="O401" s="1" t="n">
        <f aca="false">IF(OR( AND(MONTH(C401)=12,DAY(C401)&gt;=26), AND(MONTH(C401)=4,DAY(C401)&gt;=15), MONTH(C401)=5, AND(MONTH(C401)=6,DAY(C401)&lt;=10) ),1,0)</f>
        <v>1</v>
      </c>
      <c r="P401" s="1" t="str">
        <f aca="false">IF(OR(MONTH(C401)=3,MONTH(C401)=4,MONTH(C401)=5,MONTH(C401)=6), "Summer", IF(OR(MONTH(C401)=7,MONTH(C401)=8,MONTH(C401)=9,MONTH(C401)=10), "Monsoon", "Winter"))</f>
        <v>Summer</v>
      </c>
      <c r="Q401" s="1" t="n">
        <f aca="false">WEEKDAY(C401,2)</f>
        <v>1</v>
      </c>
      <c r="R401" s="0" t="n">
        <f aca="false">ROUNDDOWN(((INT(C401)+MOD(D401,1))-(INT(I401)+MOD(J401,1))),0)</f>
        <v>-0</v>
      </c>
      <c r="S401" s="10"/>
    </row>
    <row r="402" customFormat="false" ht="225.35" hidden="false" customHeight="false" outlineLevel="0" collapsed="false">
      <c r="A402" s="8" t="s">
        <v>445</v>
      </c>
      <c r="B402" s="22" t="s">
        <v>717</v>
      </c>
      <c r="C402" s="18" t="n">
        <v>45789.7916666667</v>
      </c>
      <c r="D402" s="19" t="n">
        <v>45789.7916666667</v>
      </c>
      <c r="E402" s="18" t="n">
        <v>45790.75</v>
      </c>
      <c r="F402" s="19" t="n">
        <v>45790.75</v>
      </c>
      <c r="G402" s="20" t="n">
        <v>6000</v>
      </c>
      <c r="H402" s="8" t="n">
        <v>20</v>
      </c>
      <c r="I402" s="10" t="n">
        <v>45781</v>
      </c>
      <c r="J402" s="11" t="n">
        <v>0.467013888890509</v>
      </c>
      <c r="K402" s="1" t="str">
        <f aca="false">IF(L402&gt;24,     IF(H402=2,"Couple Extended Day","Extended Day"), IF(L402&lt;=12,     IF(AND(MOD(D402,1)&gt;=TIME(6,0,0),MOD(D402,1)&lt;TIME(18,0,0)),         IF(H402=2,"Couple Half Day","12H Day"),         IF(H402=2,"Couple Half Night","12H Night")), IF(L402&lt;=24,     IF(AND(MOD(D402,1)&gt;=TIME(6,0,0),MOD(D402,1)&lt;TIME(18,0,0)),         IF(H402=2,"Couple Full Day","24H Day"),         IF(H402=2,"Couple Full Night","24H Night")), "Check Data")))</f>
        <v>24H Night</v>
      </c>
      <c r="L402" s="12" t="n">
        <f aca="false">((INT(E402)+MOD(F402,1))-(INT(C402)+MOD(D402,1)))*24</f>
        <v>22.9999999990105</v>
      </c>
      <c r="M402" s="1" t="n">
        <f aca="false">IFERROR(INDEX(Sheet3!$B$2:$B$500,MATCH(1,(INT(C402)+MOD(D402,1)&lt;INT(Sheet3!$A$2:$A$500)+TIME(18,0,0))*(INT(E402)+MOD(F402,1)&gt;=INT(Sheet3!$A$2:$A$500)),0)),0)</f>
        <v>0</v>
      </c>
      <c r="N402" s="1" t="n">
        <f aca="false">IF(OR( AND(Q402=6,D402&gt;=TIME(17,0,0),OR(K402="12H Night",K402="Couple Half Night",K402="24H Night",K402="Couple Full Night")), AND(Q402=7,D402&gt;=TIME(6,0,0),D402&lt;TIME(12,0,0),OR(K402="12H Day",K402="Couple Half Day",K402="24H Day",K402="Couple Full Day")) ),1,0)</f>
        <v>0</v>
      </c>
      <c r="O402" s="1" t="n">
        <f aca="false">IF(OR( AND(MONTH(C402)=12,DAY(C402)&gt;=26), AND(MONTH(C402)=4,DAY(C402)&gt;=15), MONTH(C402)=5, AND(MONTH(C402)=6,DAY(C402)&lt;=10) ),1,0)</f>
        <v>1</v>
      </c>
      <c r="P402" s="1" t="str">
        <f aca="false">IF(OR(MONTH(C402)=3,MONTH(C402)=4,MONTH(C402)=5,MONTH(C402)=6), "Summer", IF(OR(MONTH(C402)=7,MONTH(C402)=8,MONTH(C402)=9,MONTH(C402)=10), "Monsoon", "Winter"))</f>
        <v>Summer</v>
      </c>
      <c r="Q402" s="1" t="n">
        <f aca="false">WEEKDAY(C402,2)</f>
        <v>1</v>
      </c>
      <c r="R402" s="0" t="n">
        <f aca="false">ROUNDDOWN(((INT(C402)+MOD(D402,1))-(INT(I402)+MOD(J402,1))),0)</f>
        <v>8</v>
      </c>
      <c r="S402" s="10"/>
    </row>
    <row r="403" customFormat="false" ht="251.6" hidden="false" customHeight="false" outlineLevel="0" collapsed="false">
      <c r="A403" s="8" t="s">
        <v>718</v>
      </c>
      <c r="B403" s="22" t="s">
        <v>719</v>
      </c>
      <c r="C403" s="18" t="n">
        <v>45790.7916666667</v>
      </c>
      <c r="D403" s="19" t="n">
        <v>45790.7916666667</v>
      </c>
      <c r="E403" s="18" t="n">
        <v>45791.75</v>
      </c>
      <c r="F403" s="19" t="n">
        <v>45791.75</v>
      </c>
      <c r="G403" s="20" t="n">
        <v>5500</v>
      </c>
      <c r="H403" s="8" t="n">
        <v>14</v>
      </c>
      <c r="I403" s="10" t="n">
        <v>45774</v>
      </c>
      <c r="J403" s="11" t="n">
        <v>0.834479166667732</v>
      </c>
      <c r="K403" s="1" t="str">
        <f aca="false">IF(L403&gt;24,     IF(H403=2,"Couple Extended Day","Extended Day"), IF(L403&lt;=12,     IF(AND(MOD(D403,1)&gt;=TIME(6,0,0),MOD(D403,1)&lt;TIME(18,0,0)),         IF(H403=2,"Couple Half Day","12H Day"),         IF(H403=2,"Couple Half Night","12H Night")), IF(L403&lt;=24,     IF(AND(MOD(D403,1)&gt;=TIME(6,0,0),MOD(D403,1)&lt;TIME(18,0,0)),         IF(H403=2,"Couple Full Day","24H Day"),         IF(H403=2,"Couple Full Night","24H Night")), "Check Data")))</f>
        <v>24H Night</v>
      </c>
      <c r="L403" s="12" t="n">
        <f aca="false">((INT(E403)+MOD(F403,1))-(INT(C403)+MOD(D403,1)))*24</f>
        <v>22.9999999990105</v>
      </c>
      <c r="M403" s="1" t="n">
        <f aca="false">IFERROR(INDEX(Sheet3!$B$2:$B$500,MATCH(1,(INT(C403)+MOD(D403,1)&lt;INT(Sheet3!$A$2:$A$500)+TIME(18,0,0))*(INT(E403)+MOD(F403,1)&gt;=INT(Sheet3!$A$2:$A$500)),0)),0)</f>
        <v>0</v>
      </c>
      <c r="N403" s="1" t="n">
        <f aca="false">IF(OR( AND(Q403=6,D403&gt;=TIME(17,0,0),OR(K403="12H Night",K403="Couple Half Night",K403="24H Night",K403="Couple Full Night")), AND(Q403=7,D403&gt;=TIME(6,0,0),D403&lt;TIME(12,0,0),OR(K403="12H Day",K403="Couple Half Day",K403="24H Day",K403="Couple Full Day")) ),1,0)</f>
        <v>0</v>
      </c>
      <c r="O403" s="1" t="n">
        <f aca="false">IF(OR( AND(MONTH(C403)=12,DAY(C403)&gt;=26), AND(MONTH(C403)=4,DAY(C403)&gt;=15), MONTH(C403)=5, AND(MONTH(C403)=6,DAY(C403)&lt;=10) ),1,0)</f>
        <v>1</v>
      </c>
      <c r="P403" s="1" t="str">
        <f aca="false">IF(OR(MONTH(C403)=3,MONTH(C403)=4,MONTH(C403)=5,MONTH(C403)=6), "Summer", IF(OR(MONTH(C403)=7,MONTH(C403)=8,MONTH(C403)=9,MONTH(C403)=10), "Monsoon", "Winter"))</f>
        <v>Summer</v>
      </c>
      <c r="Q403" s="1" t="n">
        <f aca="false">WEEKDAY(C403,2)</f>
        <v>2</v>
      </c>
      <c r="R403" s="0" t="n">
        <f aca="false">ROUNDDOWN(((INT(C403)+MOD(D403,1))-(INT(I403)+MOD(J403,1))),0)</f>
        <v>15</v>
      </c>
      <c r="S403" s="10"/>
    </row>
    <row r="404" customFormat="false" ht="199.05" hidden="false" customHeight="false" outlineLevel="0" collapsed="false">
      <c r="A404" s="8" t="s">
        <v>720</v>
      </c>
      <c r="B404" s="22" t="s">
        <v>721</v>
      </c>
      <c r="C404" s="18" t="n">
        <v>45791.7916666667</v>
      </c>
      <c r="D404" s="19" t="n">
        <v>45791.7916666667</v>
      </c>
      <c r="E404" s="18" t="n">
        <v>45792.2916666667</v>
      </c>
      <c r="F404" s="19" t="n">
        <v>45792.2916666667</v>
      </c>
      <c r="G404" s="20" t="n">
        <v>2000</v>
      </c>
      <c r="H404" s="8" t="n">
        <v>15</v>
      </c>
      <c r="I404" s="10" t="n">
        <v>45791</v>
      </c>
      <c r="J404" s="11" t="n">
        <v>0.554409722222766</v>
      </c>
      <c r="K404" s="1" t="str">
        <f aca="false">IF(L404&gt;24,     IF(H404=2,"Couple Extended Day","Extended Day"), IF(L404&lt;=12,     IF(AND(MOD(D404,1)&gt;=TIME(6,0,0),MOD(D404,1)&lt;TIME(18,0,0)),         IF(H404=2,"Couple Half Day","12H Day"),         IF(H404=2,"Couple Half Night","12H Night")), IF(L404&lt;=24,     IF(AND(MOD(D404,1)&gt;=TIME(6,0,0),MOD(D404,1)&lt;TIME(18,0,0)),         IF(H404=2,"Couple Full Day","24H Day"),         IF(H404=2,"Couple Full Night","24H Night")), "Check Data")))</f>
        <v>12H Night</v>
      </c>
      <c r="L404" s="12" t="n">
        <f aca="false">((INT(E404)+MOD(F404,1))-(INT(C404)+MOD(D404,1)))*24</f>
        <v>12</v>
      </c>
      <c r="M404" s="1" t="n">
        <f aca="false">IFERROR(INDEX(Sheet3!$B$2:$B$500,MATCH(1,(INT(C404)+MOD(D404,1)&lt;INT(Sheet3!$A$2:$A$500)+TIME(18,0,0))*(INT(E404)+MOD(F404,1)&gt;=INT(Sheet3!$A$2:$A$500)),0)),0)</f>
        <v>0</v>
      </c>
      <c r="N404" s="1" t="n">
        <f aca="false">IF(OR( AND(Q404=6,D404&gt;=TIME(17,0,0),OR(K404="12H Night",K404="Couple Half Night",K404="24H Night",K404="Couple Full Night")), AND(Q404=7,D404&gt;=TIME(6,0,0),D404&lt;TIME(12,0,0),OR(K404="12H Day",K404="Couple Half Day",K404="24H Day",K404="Couple Full Day")) ),1,0)</f>
        <v>0</v>
      </c>
      <c r="O404" s="1" t="n">
        <f aca="false">IF(OR( AND(MONTH(C404)=12,DAY(C404)&gt;=26), AND(MONTH(C404)=4,DAY(C404)&gt;=15), MONTH(C404)=5, AND(MONTH(C404)=6,DAY(C404)&lt;=10) ),1,0)</f>
        <v>1</v>
      </c>
      <c r="P404" s="1" t="str">
        <f aca="false">IF(OR(MONTH(C404)=3,MONTH(C404)=4,MONTH(C404)=5,MONTH(C404)=6), "Summer", IF(OR(MONTH(C404)=7,MONTH(C404)=8,MONTH(C404)=9,MONTH(C404)=10), "Monsoon", "Winter"))</f>
        <v>Summer</v>
      </c>
      <c r="Q404" s="1" t="n">
        <f aca="false">WEEKDAY(C404,2)</f>
        <v>3</v>
      </c>
      <c r="R404" s="0" t="n">
        <f aca="false">ROUNDDOWN(((INT(C404)+MOD(D404,1))-(INT(I404)+MOD(J404,1))),0)</f>
        <v>0</v>
      </c>
      <c r="S404" s="10"/>
    </row>
    <row r="405" customFormat="false" ht="107" hidden="false" customHeight="false" outlineLevel="0" collapsed="false">
      <c r="A405" s="8" t="s">
        <v>296</v>
      </c>
      <c r="B405" s="22" t="s">
        <v>722</v>
      </c>
      <c r="C405" s="18" t="n">
        <v>45792.3333333333</v>
      </c>
      <c r="D405" s="19" t="n">
        <v>0</v>
      </c>
      <c r="E405" s="18" t="n">
        <v>45792.75</v>
      </c>
      <c r="F405" s="19" t="n">
        <v>45792.75</v>
      </c>
      <c r="G405" s="20" t="n">
        <v>4000</v>
      </c>
      <c r="H405" s="8" t="n">
        <v>8</v>
      </c>
      <c r="I405" s="10" t="n">
        <v>45789</v>
      </c>
      <c r="J405" s="11" t="n">
        <v>0.756400462967581</v>
      </c>
      <c r="K405" s="1" t="str">
        <f aca="false">IF(L405&gt;24,     IF(H405=2,"Couple Extended Day","Extended Day"), IF(L405&lt;=12,     IF(AND(MOD(D405,1)&gt;=TIME(6,0,0),MOD(D405,1)&lt;TIME(18,0,0)),         IF(H405=2,"Couple Half Day","12H Day"),         IF(H405=2,"Couple Half Night","12H Night")), IF(L405&lt;=24,     IF(AND(MOD(D405,1)&gt;=TIME(6,0,0),MOD(D405,1)&lt;TIME(18,0,0)),         IF(H405=2,"Couple Full Day","24H Day"),         IF(H405=2,"Couple Full Night","24H Night")), "Check Data")))</f>
        <v>24H Night</v>
      </c>
      <c r="L405" s="12" t="n">
        <f aca="false">((INT(E405)+MOD(F405,1))-(INT(C405)+MOD(D405,1)))*24</f>
        <v>18</v>
      </c>
      <c r="M405" s="1" t="n">
        <f aca="false">IFERROR(INDEX(Sheet3!$B$2:$B$500,MATCH(1,(INT(C405)+MOD(D405,1)&lt;INT(Sheet3!$A$2:$A$500)+TIME(18,0,0))*(INT(E405)+MOD(F405,1)&gt;=INT(Sheet3!$A$2:$A$500)),0)),0)</f>
        <v>0</v>
      </c>
      <c r="N405" s="1" t="n">
        <f aca="false">IF(OR( AND(Q405=6,D405&gt;=TIME(17,0,0),OR(K405="12H Night",K405="Couple Half Night",K405="24H Night",K405="Couple Full Night")), AND(Q405=7,D405&gt;=TIME(6,0,0),D405&lt;TIME(12,0,0),OR(K405="12H Day",K405="Couple Half Day",K405="24H Day",K405="Couple Full Day")) ),1,0)</f>
        <v>0</v>
      </c>
      <c r="O405" s="1" t="n">
        <f aca="false">IF(OR( AND(MONTH(C405)=12,DAY(C405)&gt;=26), AND(MONTH(C405)=4,DAY(C405)&gt;=15), MONTH(C405)=5, AND(MONTH(C405)=6,DAY(C405)&lt;=10) ),1,0)</f>
        <v>1</v>
      </c>
      <c r="P405" s="1" t="str">
        <f aca="false">IF(OR(MONTH(C405)=3,MONTH(C405)=4,MONTH(C405)=5,MONTH(C405)=6), "Summer", IF(OR(MONTH(C405)=7,MONTH(C405)=8,MONTH(C405)=9,MONTH(C405)=10), "Monsoon", "Winter"))</f>
        <v>Summer</v>
      </c>
      <c r="Q405" s="1" t="n">
        <f aca="false">WEEKDAY(C405,2)</f>
        <v>4</v>
      </c>
      <c r="R405" s="0" t="n">
        <f aca="false">ROUNDDOWN(((INT(C405)+MOD(D405,1))-(INT(I405)+MOD(J405,1))),0)</f>
        <v>2</v>
      </c>
      <c r="S405" s="10"/>
    </row>
    <row r="406" customFormat="false" ht="212.2" hidden="false" customHeight="false" outlineLevel="0" collapsed="false">
      <c r="A406" s="8" t="s">
        <v>723</v>
      </c>
      <c r="B406" s="22" t="s">
        <v>724</v>
      </c>
      <c r="C406" s="18" t="n">
        <v>45792.7916666667</v>
      </c>
      <c r="D406" s="19" t="n">
        <v>45792.7916666667</v>
      </c>
      <c r="E406" s="18" t="n">
        <v>45794.75</v>
      </c>
      <c r="F406" s="19" t="n">
        <v>45794.75</v>
      </c>
      <c r="G406" s="20" t="n">
        <v>10000</v>
      </c>
      <c r="H406" s="8" t="n">
        <v>15</v>
      </c>
      <c r="I406" s="10" t="n">
        <v>45788</v>
      </c>
      <c r="J406" s="11" t="n">
        <v>0.657418981485533</v>
      </c>
      <c r="K406" s="1" t="str">
        <f aca="false">IF(L406&gt;24,     IF(H406=2,"Couple Extended Day","Extended Day"), IF(L406&lt;=12,     IF(AND(MOD(D406,1)&gt;=TIME(6,0,0),MOD(D406,1)&lt;TIME(18,0,0)),         IF(H406=2,"Couple Half Day","12H Day"),         IF(H406=2,"Couple Half Night","12H Night")), IF(L406&lt;=24,     IF(AND(MOD(D406,1)&gt;=TIME(6,0,0),MOD(D406,1)&lt;TIME(18,0,0)),         IF(H406=2,"Couple Full Day","24H Day"),         IF(H406=2,"Couple Full Night","24H Night")), "Check Data")))</f>
        <v>Extended Day</v>
      </c>
      <c r="L406" s="12" t="n">
        <f aca="false">((INT(E406)+MOD(F406,1))-(INT(C406)+MOD(D406,1)))*24</f>
        <v>46.9999999990105</v>
      </c>
      <c r="M406" s="1" t="n">
        <f aca="false">IFERROR(INDEX(Sheet3!$B$2:$B$500,MATCH(1,(INT(C406)+MOD(D406,1)&lt;INT(Sheet3!$A$2:$A$500)+TIME(18,0,0))*(INT(E406)+MOD(F406,1)&gt;=INT(Sheet3!$A$2:$A$500)),0)),0)</f>
        <v>0</v>
      </c>
      <c r="N406" s="1" t="n">
        <f aca="false">IF(OR( AND(Q406=6,D406&gt;=TIME(17,0,0),OR(K406="12H Night",K406="Couple Half Night",K406="24H Night",K406="Couple Full Night")), AND(Q406=7,D406&gt;=TIME(6,0,0),D406&lt;TIME(12,0,0),OR(K406="12H Day",K406="Couple Half Day",K406="24H Day",K406="Couple Full Day")) ),1,0)</f>
        <v>0</v>
      </c>
      <c r="O406" s="1" t="n">
        <f aca="false">IF(OR( AND(MONTH(C406)=12,DAY(C406)&gt;=26), AND(MONTH(C406)=4,DAY(C406)&gt;=15), MONTH(C406)=5, AND(MONTH(C406)=6,DAY(C406)&lt;=10) ),1,0)</f>
        <v>1</v>
      </c>
      <c r="P406" s="1" t="str">
        <f aca="false">IF(OR(MONTH(C406)=3,MONTH(C406)=4,MONTH(C406)=5,MONTH(C406)=6), "Summer", IF(OR(MONTH(C406)=7,MONTH(C406)=8,MONTH(C406)=9,MONTH(C406)=10), "Monsoon", "Winter"))</f>
        <v>Summer</v>
      </c>
      <c r="Q406" s="1" t="n">
        <f aca="false">WEEKDAY(C406,2)</f>
        <v>4</v>
      </c>
      <c r="R406" s="0" t="n">
        <f aca="false">ROUNDDOWN(((INT(C406)+MOD(D406,1))-(INT(I406)+MOD(J406,1))),0)</f>
        <v>4</v>
      </c>
      <c r="S406" s="10"/>
    </row>
    <row r="407" customFormat="false" ht="159.6" hidden="false" customHeight="false" outlineLevel="0" collapsed="false">
      <c r="A407" s="8" t="s">
        <v>725</v>
      </c>
      <c r="B407" s="22" t="s">
        <v>726</v>
      </c>
      <c r="C407" s="18" t="n">
        <v>45794.7916666667</v>
      </c>
      <c r="D407" s="19" t="n">
        <v>45794.7916666667</v>
      </c>
      <c r="E407" s="18" t="n">
        <v>45795.75</v>
      </c>
      <c r="F407" s="19" t="n">
        <v>45795.75</v>
      </c>
      <c r="G407" s="20" t="n">
        <v>11500</v>
      </c>
      <c r="H407" s="8" t="n">
        <v>15</v>
      </c>
      <c r="I407" s="10" t="n">
        <v>45788</v>
      </c>
      <c r="J407" s="11" t="n">
        <v>0.788368055553287</v>
      </c>
      <c r="K407" s="1" t="str">
        <f aca="false">IF(L407&gt;24,     IF(H407=2,"Couple Extended Day","Extended Day"), IF(L407&lt;=12,     IF(AND(MOD(D407,1)&gt;=TIME(6,0,0),MOD(D407,1)&lt;TIME(18,0,0)),         IF(H407=2,"Couple Half Day","12H Day"),         IF(H407=2,"Couple Half Night","12H Night")), IF(L407&lt;=24,     IF(AND(MOD(D407,1)&gt;=TIME(6,0,0),MOD(D407,1)&lt;TIME(18,0,0)),         IF(H407=2,"Couple Full Day","24H Day"),         IF(H407=2,"Couple Full Night","24H Night")), "Check Data")))</f>
        <v>24H Night</v>
      </c>
      <c r="L407" s="12" t="n">
        <f aca="false">((INT(E407)+MOD(F407,1))-(INT(C407)+MOD(D407,1)))*24</f>
        <v>22.9999999990105</v>
      </c>
      <c r="M407" s="1" t="n">
        <f aca="false">IFERROR(INDEX(Sheet3!$B$2:$B$500,MATCH(1,(INT(C407)+MOD(D407,1)&lt;INT(Sheet3!$A$2:$A$500)+TIME(18,0,0))*(INT(E407)+MOD(F407,1)&gt;=INT(Sheet3!$A$2:$A$500)),0)),0)</f>
        <v>0</v>
      </c>
      <c r="N407" s="1" t="n">
        <f aca="false">IF(OR( AND(Q407=6,D407&gt;=TIME(17,0,0),OR(K407="12H Night",K407="Couple Half Night",K407="24H Night",K407="Couple Full Night")), AND(Q407=7,D407&gt;=TIME(6,0,0),D407&lt;TIME(12,0,0),OR(K407="12H Day",K407="Couple Half Day",K407="24H Day",K407="Couple Full Day")) ),1,0)</f>
        <v>1</v>
      </c>
      <c r="O407" s="1" t="n">
        <f aca="false">IF(OR( AND(MONTH(C407)=12,DAY(C407)&gt;=26), AND(MONTH(C407)=4,DAY(C407)&gt;=15), MONTH(C407)=5, AND(MONTH(C407)=6,DAY(C407)&lt;=10) ),1,0)</f>
        <v>1</v>
      </c>
      <c r="P407" s="1" t="str">
        <f aca="false">IF(OR(MONTH(C407)=3,MONTH(C407)=4,MONTH(C407)=5,MONTH(C407)=6), "Summer", IF(OR(MONTH(C407)=7,MONTH(C407)=8,MONTH(C407)=9,MONTH(C407)=10), "Monsoon", "Winter"))</f>
        <v>Summer</v>
      </c>
      <c r="Q407" s="1" t="n">
        <f aca="false">WEEKDAY(C407,2)</f>
        <v>6</v>
      </c>
      <c r="R407" s="0" t="n">
        <f aca="false">ROUNDDOWN(((INT(C407)+MOD(D407,1))-(INT(I407)+MOD(J407,1))),0)</f>
        <v>6</v>
      </c>
      <c r="S407" s="10"/>
    </row>
    <row r="408" customFormat="false" ht="97.15" hidden="false" customHeight="false" outlineLevel="0" collapsed="false">
      <c r="A408" s="8" t="s">
        <v>727</v>
      </c>
      <c r="B408" s="22" t="s">
        <v>728</v>
      </c>
      <c r="C408" s="18" t="n">
        <v>45795.7916666667</v>
      </c>
      <c r="D408" s="19" t="n">
        <v>45795.7916666667</v>
      </c>
      <c r="E408" s="18" t="n">
        <v>45796.75</v>
      </c>
      <c r="F408" s="19" t="n">
        <v>45796.75</v>
      </c>
      <c r="G408" s="20" t="n">
        <v>5000</v>
      </c>
      <c r="H408" s="8" t="n">
        <v>22</v>
      </c>
      <c r="I408" s="10" t="n">
        <v>45793</v>
      </c>
      <c r="J408" s="11" t="n">
        <v>0.559178240742766</v>
      </c>
      <c r="K408" s="1" t="str">
        <f aca="false">IF(L408&gt;24,     IF(H408=2,"Couple Extended Day","Extended Day"), IF(L408&lt;=12,     IF(AND(MOD(D408,1)&gt;=TIME(6,0,0),MOD(D408,1)&lt;TIME(18,0,0)),         IF(H408=2,"Couple Half Day","12H Day"),         IF(H408=2,"Couple Half Night","12H Night")), IF(L408&lt;=24,     IF(AND(MOD(D408,1)&gt;=TIME(6,0,0),MOD(D408,1)&lt;TIME(18,0,0)),         IF(H408=2,"Couple Full Day","24H Day"),         IF(H408=2,"Couple Full Night","24H Night")), "Check Data")))</f>
        <v>24H Night</v>
      </c>
      <c r="L408" s="12" t="n">
        <f aca="false">((INT(E408)+MOD(F408,1))-(INT(C408)+MOD(D408,1)))*24</f>
        <v>22.9999999990105</v>
      </c>
      <c r="M408" s="1" t="n">
        <f aca="false">IFERROR(INDEX(Sheet3!$B$2:$B$500,MATCH(1,(INT(C408)+MOD(D408,1)&lt;INT(Sheet3!$A$2:$A$500)+TIME(18,0,0))*(INT(E408)+MOD(F408,1)&gt;=INT(Sheet3!$A$2:$A$500)),0)),0)</f>
        <v>0</v>
      </c>
      <c r="N408" s="1" t="n">
        <f aca="false">IF(OR( AND(Q408=6,D408&gt;=TIME(17,0,0),OR(K408="12H Night",K408="Couple Half Night",K408="24H Night",K408="Couple Full Night")), AND(Q408=7,D408&gt;=TIME(6,0,0),D408&lt;TIME(12,0,0),OR(K408="12H Day",K408="Couple Half Day",K408="24H Day",K408="Couple Full Day")) ),1,0)</f>
        <v>0</v>
      </c>
      <c r="O408" s="1" t="n">
        <f aca="false">IF(OR( AND(MONTH(C408)=12,DAY(C408)&gt;=26), AND(MONTH(C408)=4,DAY(C408)&gt;=15), MONTH(C408)=5, AND(MONTH(C408)=6,DAY(C408)&lt;=10) ),1,0)</f>
        <v>1</v>
      </c>
      <c r="P408" s="1" t="str">
        <f aca="false">IF(OR(MONTH(C408)=3,MONTH(C408)=4,MONTH(C408)=5,MONTH(C408)=6), "Summer", IF(OR(MONTH(C408)=7,MONTH(C408)=8,MONTH(C408)=9,MONTH(C408)=10), "Monsoon", "Winter"))</f>
        <v>Summer</v>
      </c>
      <c r="Q408" s="1" t="n">
        <f aca="false">WEEKDAY(C408,2)</f>
        <v>7</v>
      </c>
      <c r="R408" s="0" t="n">
        <f aca="false">ROUNDDOWN(((INT(C408)+MOD(D408,1))-(INT(I408)+MOD(J408,1))),0)</f>
        <v>2</v>
      </c>
      <c r="S408" s="10"/>
    </row>
    <row r="409" customFormat="false" ht="97.15" hidden="false" customHeight="false" outlineLevel="0" collapsed="false">
      <c r="A409" s="8" t="s">
        <v>729</v>
      </c>
      <c r="B409" s="22" t="s">
        <v>730</v>
      </c>
      <c r="C409" s="18" t="n">
        <v>45796.7916666667</v>
      </c>
      <c r="D409" s="19" t="n">
        <v>45796.7916666667</v>
      </c>
      <c r="E409" s="18" t="n">
        <v>45797.75</v>
      </c>
      <c r="F409" s="19" t="n">
        <v>45797.75</v>
      </c>
      <c r="G409" s="20" t="n">
        <v>5500</v>
      </c>
      <c r="H409" s="8" t="n">
        <v>18</v>
      </c>
      <c r="I409" s="10" t="n">
        <v>45793</v>
      </c>
      <c r="J409" s="11" t="n">
        <v>0.946863425924676</v>
      </c>
      <c r="K409" s="1" t="str">
        <f aca="false">IF(L409&gt;24,     IF(H409=2,"Couple Extended Day","Extended Day"), IF(L409&lt;=12,     IF(AND(MOD(D409,1)&gt;=TIME(6,0,0),MOD(D409,1)&lt;TIME(18,0,0)),         IF(H409=2,"Couple Half Day","12H Day"),         IF(H409=2,"Couple Half Night","12H Night")), IF(L409&lt;=24,     IF(AND(MOD(D409,1)&gt;=TIME(6,0,0),MOD(D409,1)&lt;TIME(18,0,0)),         IF(H409=2,"Couple Full Day","24H Day"),         IF(H409=2,"Couple Full Night","24H Night")), "Check Data")))</f>
        <v>24H Night</v>
      </c>
      <c r="L409" s="12" t="n">
        <f aca="false">((INT(E409)+MOD(F409,1))-(INT(C409)+MOD(D409,1)))*24</f>
        <v>22.9999999990105</v>
      </c>
      <c r="M409" s="1" t="n">
        <f aca="false">IFERROR(INDEX(Sheet3!$B$2:$B$500,MATCH(1,(INT(C409)+MOD(D409,1)&lt;INT(Sheet3!$A$2:$A$500)+TIME(18,0,0))*(INT(E409)+MOD(F409,1)&gt;=INT(Sheet3!$A$2:$A$500)),0)),0)</f>
        <v>0</v>
      </c>
      <c r="N409" s="1" t="n">
        <f aca="false">IF(OR( AND(Q409=6,D409&gt;=TIME(17,0,0),OR(K409="12H Night",K409="Couple Half Night",K409="24H Night",K409="Couple Full Night")), AND(Q409=7,D409&gt;=TIME(6,0,0),D409&lt;TIME(12,0,0),OR(K409="12H Day",K409="Couple Half Day",K409="24H Day",K409="Couple Full Day")) ),1,0)</f>
        <v>0</v>
      </c>
      <c r="O409" s="1" t="n">
        <f aca="false">IF(OR( AND(MONTH(C409)=12,DAY(C409)&gt;=26), AND(MONTH(C409)=4,DAY(C409)&gt;=15), MONTH(C409)=5, AND(MONTH(C409)=6,DAY(C409)&lt;=10) ),1,0)</f>
        <v>1</v>
      </c>
      <c r="P409" s="1" t="str">
        <f aca="false">IF(OR(MONTH(C409)=3,MONTH(C409)=4,MONTH(C409)=5,MONTH(C409)=6), "Summer", IF(OR(MONTH(C409)=7,MONTH(C409)=8,MONTH(C409)=9,MONTH(C409)=10), "Monsoon", "Winter"))</f>
        <v>Summer</v>
      </c>
      <c r="Q409" s="1" t="n">
        <f aca="false">WEEKDAY(C409,2)</f>
        <v>1</v>
      </c>
      <c r="R409" s="0" t="n">
        <f aca="false">ROUNDDOWN(((INT(C409)+MOD(D409,1))-(INT(I409)+MOD(J409,1))),0)</f>
        <v>2</v>
      </c>
      <c r="S409" s="10"/>
    </row>
    <row r="410" customFormat="false" ht="172.75" hidden="false" customHeight="false" outlineLevel="0" collapsed="false">
      <c r="A410" s="8" t="s">
        <v>731</v>
      </c>
      <c r="B410" s="22" t="s">
        <v>732</v>
      </c>
      <c r="C410" s="18" t="n">
        <v>45797.7916666667</v>
      </c>
      <c r="D410" s="19" t="n">
        <v>45797.7916666667</v>
      </c>
      <c r="E410" s="18" t="n">
        <v>45798.75</v>
      </c>
      <c r="F410" s="19" t="n">
        <v>45798.75</v>
      </c>
      <c r="G410" s="20" t="n">
        <v>5000</v>
      </c>
      <c r="H410" s="8" t="n">
        <v>15</v>
      </c>
      <c r="I410" s="10" t="n">
        <v>45791</v>
      </c>
      <c r="J410" s="11" t="n">
        <v>0.625972222223935</v>
      </c>
      <c r="K410" s="1" t="str">
        <f aca="false">IF(L410&gt;24,     IF(H410=2,"Couple Extended Day","Extended Day"), IF(L410&lt;=12,     IF(AND(MOD(D410,1)&gt;=TIME(6,0,0),MOD(D410,1)&lt;TIME(18,0,0)),         IF(H410=2,"Couple Half Day","12H Day"),         IF(H410=2,"Couple Half Night","12H Night")), IF(L410&lt;=24,     IF(AND(MOD(D410,1)&gt;=TIME(6,0,0),MOD(D410,1)&lt;TIME(18,0,0)),         IF(H410=2,"Couple Full Day","24H Day"),         IF(H410=2,"Couple Full Night","24H Night")), "Check Data")))</f>
        <v>24H Night</v>
      </c>
      <c r="L410" s="12" t="n">
        <f aca="false">((INT(E410)+MOD(F410,1))-(INT(C410)+MOD(D410,1)))*24</f>
        <v>22.9999999990105</v>
      </c>
      <c r="M410" s="1" t="n">
        <f aca="false">IFERROR(INDEX(Sheet3!$B$2:$B$500,MATCH(1,(INT(C410)+MOD(D410,1)&lt;INT(Sheet3!$A$2:$A$500)+TIME(18,0,0))*(INT(E410)+MOD(F410,1)&gt;=INT(Sheet3!$A$2:$A$500)),0)),0)</f>
        <v>0</v>
      </c>
      <c r="N410" s="1" t="n">
        <f aca="false">IF(OR( AND(Q410=6,D410&gt;=TIME(17,0,0),OR(K410="12H Night",K410="Couple Half Night",K410="24H Night",K410="Couple Full Night")), AND(Q410=7,D410&gt;=TIME(6,0,0),D410&lt;TIME(12,0,0),OR(K410="12H Day",K410="Couple Half Day",K410="24H Day",K410="Couple Full Day")) ),1,0)</f>
        <v>0</v>
      </c>
      <c r="O410" s="1" t="n">
        <f aca="false">IF(OR( AND(MONTH(C410)=12,DAY(C410)&gt;=26), AND(MONTH(C410)=4,DAY(C410)&gt;=15), MONTH(C410)=5, AND(MONTH(C410)=6,DAY(C410)&lt;=10) ),1,0)</f>
        <v>1</v>
      </c>
      <c r="P410" s="1" t="str">
        <f aca="false">IF(OR(MONTH(C410)=3,MONTH(C410)=4,MONTH(C410)=5,MONTH(C410)=6), "Summer", IF(OR(MONTH(C410)=7,MONTH(C410)=8,MONTH(C410)=9,MONTH(C410)=10), "Monsoon", "Winter"))</f>
        <v>Summer</v>
      </c>
      <c r="Q410" s="1" t="n">
        <f aca="false">WEEKDAY(C410,2)</f>
        <v>2</v>
      </c>
      <c r="R410" s="0" t="n">
        <f aca="false">ROUNDDOWN(((INT(C410)+MOD(D410,1))-(INT(I410)+MOD(J410,1))),0)</f>
        <v>6</v>
      </c>
      <c r="S410" s="10"/>
    </row>
    <row r="411" customFormat="false" ht="80.75" hidden="false" customHeight="false" outlineLevel="0" collapsed="false">
      <c r="A411" s="8" t="s">
        <v>733</v>
      </c>
      <c r="B411" s="22" t="s">
        <v>734</v>
      </c>
      <c r="C411" s="18" t="n">
        <v>45798.7916666667</v>
      </c>
      <c r="D411" s="19" t="n">
        <v>45798.7916666667</v>
      </c>
      <c r="E411" s="18" t="n">
        <v>45799.75</v>
      </c>
      <c r="F411" s="19" t="n">
        <v>45799.75</v>
      </c>
      <c r="G411" s="20" t="n">
        <v>5000</v>
      </c>
      <c r="H411" s="8" t="n">
        <v>8</v>
      </c>
      <c r="I411" s="10" t="n">
        <v>45795</v>
      </c>
      <c r="J411" s="11" t="n">
        <v>0.704965277778681</v>
      </c>
      <c r="K411" s="1" t="str">
        <f aca="false">IF(L411&gt;24,     IF(H411=2,"Couple Extended Day","Extended Day"), IF(L411&lt;=12,     IF(AND(MOD(D411,1)&gt;=TIME(6,0,0),MOD(D411,1)&lt;TIME(18,0,0)),         IF(H411=2,"Couple Half Day","12H Day"),         IF(H411=2,"Couple Half Night","12H Night")), IF(L411&lt;=24,     IF(AND(MOD(D411,1)&gt;=TIME(6,0,0),MOD(D411,1)&lt;TIME(18,0,0)),         IF(H411=2,"Couple Full Day","24H Day"),         IF(H411=2,"Couple Full Night","24H Night")), "Check Data")))</f>
        <v>24H Night</v>
      </c>
      <c r="L411" s="12" t="n">
        <f aca="false">((INT(E411)+MOD(F411,1))-(INT(C411)+MOD(D411,1)))*24</f>
        <v>22.9999999990105</v>
      </c>
      <c r="M411" s="1" t="n">
        <f aca="false">IFERROR(INDEX(Sheet3!$B$2:$B$500,MATCH(1,(INT(C411)+MOD(D411,1)&lt;INT(Sheet3!$A$2:$A$500)+TIME(18,0,0))*(INT(E411)+MOD(F411,1)&gt;=INT(Sheet3!$A$2:$A$500)),0)),0)</f>
        <v>0</v>
      </c>
      <c r="N411" s="1" t="n">
        <f aca="false">IF(OR( AND(Q411=6,D411&gt;=TIME(17,0,0),OR(K411="12H Night",K411="Couple Half Night",K411="24H Night",K411="Couple Full Night")), AND(Q411=7,D411&gt;=TIME(6,0,0),D411&lt;TIME(12,0,0),OR(K411="12H Day",K411="Couple Half Day",K411="24H Day",K411="Couple Full Day")) ),1,0)</f>
        <v>0</v>
      </c>
      <c r="O411" s="1" t="n">
        <f aca="false">IF(OR( AND(MONTH(C411)=12,DAY(C411)&gt;=26), AND(MONTH(C411)=4,DAY(C411)&gt;=15), MONTH(C411)=5, AND(MONTH(C411)=6,DAY(C411)&lt;=10) ),1,0)</f>
        <v>1</v>
      </c>
      <c r="P411" s="1" t="str">
        <f aca="false">IF(OR(MONTH(C411)=3,MONTH(C411)=4,MONTH(C411)=5,MONTH(C411)=6), "Summer", IF(OR(MONTH(C411)=7,MONTH(C411)=8,MONTH(C411)=9,MONTH(C411)=10), "Monsoon", "Winter"))</f>
        <v>Summer</v>
      </c>
      <c r="Q411" s="1" t="n">
        <f aca="false">WEEKDAY(C411,2)</f>
        <v>3</v>
      </c>
      <c r="R411" s="0" t="n">
        <f aca="false">ROUNDDOWN(((INT(C411)+MOD(D411,1))-(INT(I411)+MOD(J411,1))),0)</f>
        <v>3</v>
      </c>
      <c r="S411" s="10"/>
    </row>
    <row r="412" customFormat="false" ht="107" hidden="false" customHeight="false" outlineLevel="0" collapsed="false">
      <c r="A412" s="8" t="s">
        <v>735</v>
      </c>
      <c r="B412" s="22" t="s">
        <v>736</v>
      </c>
      <c r="C412" s="18" t="n">
        <v>45799.7916666667</v>
      </c>
      <c r="D412" s="19" t="n">
        <v>45799.7916666667</v>
      </c>
      <c r="E412" s="18" t="n">
        <v>45800.75</v>
      </c>
      <c r="F412" s="19" t="n">
        <v>45800.75</v>
      </c>
      <c r="G412" s="20" t="n">
        <v>5500</v>
      </c>
      <c r="H412" s="8" t="n">
        <v>20</v>
      </c>
      <c r="I412" s="10" t="n">
        <v>45796</v>
      </c>
      <c r="J412" s="11" t="n">
        <v>0.767141203701609</v>
      </c>
      <c r="K412" s="1" t="str">
        <f aca="false">IF(L412&gt;24,     IF(H412=2,"Couple Extended Day","Extended Day"), IF(L412&lt;=12,     IF(AND(MOD(D412,1)&gt;=TIME(6,0,0),MOD(D412,1)&lt;TIME(18,0,0)),         IF(H412=2,"Couple Half Day","12H Day"),         IF(H412=2,"Couple Half Night","12H Night")), IF(L412&lt;=24,     IF(AND(MOD(D412,1)&gt;=TIME(6,0,0),MOD(D412,1)&lt;TIME(18,0,0)),         IF(H412=2,"Couple Full Day","24H Day"),         IF(H412=2,"Couple Full Night","24H Night")), "Check Data")))</f>
        <v>24H Night</v>
      </c>
      <c r="L412" s="12" t="n">
        <f aca="false">((INT(E412)+MOD(F412,1))-(INT(C412)+MOD(D412,1)))*24</f>
        <v>22.9999999990105</v>
      </c>
      <c r="M412" s="1" t="n">
        <f aca="false">IFERROR(INDEX(Sheet3!$B$2:$B$500,MATCH(1,(INT(C412)+MOD(D412,1)&lt;INT(Sheet3!$A$2:$A$500)+TIME(18,0,0))*(INT(E412)+MOD(F412,1)&gt;=INT(Sheet3!$A$2:$A$500)),0)),0)</f>
        <v>0</v>
      </c>
      <c r="N412" s="1" t="n">
        <f aca="false">IF(OR( AND(Q412=6,D412&gt;=TIME(17,0,0),OR(K412="12H Night",K412="Couple Half Night",K412="24H Night",K412="Couple Full Night")), AND(Q412=7,D412&gt;=TIME(6,0,0),D412&lt;TIME(12,0,0),OR(K412="12H Day",K412="Couple Half Day",K412="24H Day",K412="Couple Full Day")) ),1,0)</f>
        <v>0</v>
      </c>
      <c r="O412" s="1" t="n">
        <f aca="false">IF(OR( AND(MONTH(C412)=12,DAY(C412)&gt;=26), AND(MONTH(C412)=4,DAY(C412)&gt;=15), MONTH(C412)=5, AND(MONTH(C412)=6,DAY(C412)&lt;=10) ),1,0)</f>
        <v>1</v>
      </c>
      <c r="P412" s="1" t="str">
        <f aca="false">IF(OR(MONTH(C412)=3,MONTH(C412)=4,MONTH(C412)=5,MONTH(C412)=6), "Summer", IF(OR(MONTH(C412)=7,MONTH(C412)=8,MONTH(C412)=9,MONTH(C412)=10), "Monsoon", "Winter"))</f>
        <v>Summer</v>
      </c>
      <c r="Q412" s="1" t="n">
        <f aca="false">WEEKDAY(C412,2)</f>
        <v>4</v>
      </c>
      <c r="R412" s="0" t="n">
        <f aca="false">ROUNDDOWN(((INT(C412)+MOD(D412,1))-(INT(I412)+MOD(J412,1))),0)</f>
        <v>3</v>
      </c>
      <c r="S412" s="10"/>
    </row>
    <row r="413" customFormat="false" ht="120.15" hidden="false" customHeight="false" outlineLevel="0" collapsed="false">
      <c r="A413" s="8" t="s">
        <v>737</v>
      </c>
      <c r="B413" s="22" t="s">
        <v>738</v>
      </c>
      <c r="C413" s="18" t="n">
        <v>45800.7916666667</v>
      </c>
      <c r="D413" s="19" t="n">
        <v>45800.7916666667</v>
      </c>
      <c r="E413" s="18" t="n">
        <v>45801.3333333333</v>
      </c>
      <c r="F413" s="19" t="n">
        <v>0</v>
      </c>
      <c r="G413" s="20" t="n">
        <v>2500</v>
      </c>
      <c r="H413" s="8" t="n">
        <v>8</v>
      </c>
      <c r="I413" s="10" t="n">
        <v>45798</v>
      </c>
      <c r="J413" s="11" t="n">
        <v>0.899560185185695</v>
      </c>
      <c r="K413" s="1" t="str">
        <f aca="false">IF(L413&gt;24,     IF(H413=2,"Couple Extended Day","Extended Day"), IF(L413&lt;=12,     IF(AND(MOD(D413,1)&gt;=TIME(6,0,0),MOD(D413,1)&lt;TIME(18,0,0)),         IF(H413=2,"Couple Half Day","12H Day"),         IF(H413=2,"Couple Half Night","12H Night")), IF(L413&lt;=24,     IF(AND(MOD(D413,1)&gt;=TIME(6,0,0),MOD(D413,1)&lt;TIME(18,0,0)),         IF(H413=2,"Couple Full Day","24H Day"),         IF(H413=2,"Couple Full Night","24H Night")), "Check Data")))</f>
        <v>12H Night</v>
      </c>
      <c r="L413" s="12" t="n">
        <f aca="false">((INT(E413)+MOD(F413,1))-(INT(C413)+MOD(D413,1)))*24</f>
        <v>4.99999999901047</v>
      </c>
      <c r="M413" s="1" t="n">
        <f aca="false">IFERROR(INDEX(Sheet3!$B$2:$B$500,MATCH(1,(INT(C413)+MOD(D413,1)&lt;INT(Sheet3!$A$2:$A$500)+TIME(18,0,0))*(INT(E413)+MOD(F413,1)&gt;=INT(Sheet3!$A$2:$A$500)),0)),0)</f>
        <v>0</v>
      </c>
      <c r="N413" s="1" t="n">
        <f aca="false">IF(OR( AND(Q413=6,D413&gt;=TIME(17,0,0),OR(K413="12H Night",K413="Couple Half Night",K413="24H Night",K413="Couple Full Night")), AND(Q413=7,D413&gt;=TIME(6,0,0),D413&lt;TIME(12,0,0),OR(K413="12H Day",K413="Couple Half Day",K413="24H Day",K413="Couple Full Day")) ),1,0)</f>
        <v>0</v>
      </c>
      <c r="O413" s="1" t="n">
        <f aca="false">IF(OR( AND(MONTH(C413)=12,DAY(C413)&gt;=26), AND(MONTH(C413)=4,DAY(C413)&gt;=15), MONTH(C413)=5, AND(MONTH(C413)=6,DAY(C413)&lt;=10) ),1,0)</f>
        <v>1</v>
      </c>
      <c r="P413" s="1" t="str">
        <f aca="false">IF(OR(MONTH(C413)=3,MONTH(C413)=4,MONTH(C413)=5,MONTH(C413)=6), "Summer", IF(OR(MONTH(C413)=7,MONTH(C413)=8,MONTH(C413)=9,MONTH(C413)=10), "Monsoon", "Winter"))</f>
        <v>Summer</v>
      </c>
      <c r="Q413" s="1" t="n">
        <f aca="false">WEEKDAY(C413,2)</f>
        <v>5</v>
      </c>
      <c r="R413" s="0" t="n">
        <f aca="false">ROUNDDOWN(((INT(C413)+MOD(D413,1))-(INT(I413)+MOD(J413,1))),0)</f>
        <v>1</v>
      </c>
      <c r="S413" s="10"/>
    </row>
    <row r="414" customFormat="false" ht="133.3" hidden="false" customHeight="false" outlineLevel="0" collapsed="false">
      <c r="A414" s="8" t="s">
        <v>739</v>
      </c>
      <c r="B414" s="22" t="s">
        <v>740</v>
      </c>
      <c r="C414" s="18" t="n">
        <v>45801.3541666667</v>
      </c>
      <c r="D414" s="19" t="n">
        <v>45801.3541666667</v>
      </c>
      <c r="E414" s="18" t="n">
        <v>45801.75</v>
      </c>
      <c r="F414" s="19" t="n">
        <v>45801.75</v>
      </c>
      <c r="G414" s="20" t="n">
        <v>3500</v>
      </c>
      <c r="H414" s="8" t="n">
        <v>4</v>
      </c>
      <c r="I414" s="10" t="n">
        <v>45798</v>
      </c>
      <c r="J414" s="11" t="n">
        <v>0.597847222219572</v>
      </c>
      <c r="K414" s="1" t="str">
        <f aca="false">IF(L414&gt;24,     IF(H414=2,"Couple Extended Day","Extended Day"), IF(L414&lt;=12,     IF(AND(MOD(D414,1)&gt;=TIME(6,0,0),MOD(D414,1)&lt;TIME(18,0,0)),         IF(H414=2,"Couple Half Day","12H Day"),         IF(H414=2,"Couple Half Night","12H Night")), IF(L414&lt;=24,     IF(AND(MOD(D414,1)&gt;=TIME(6,0,0),MOD(D414,1)&lt;TIME(18,0,0)),         IF(H414=2,"Couple Full Day","24H Day"),         IF(H414=2,"Couple Full Night","24H Night")), "Check Data")))</f>
        <v>12H Day</v>
      </c>
      <c r="L414" s="12" t="n">
        <f aca="false">((INT(E414)+MOD(F414,1))-(INT(C414)+MOD(D414,1)))*24</f>
        <v>9.49999999901047</v>
      </c>
      <c r="M414" s="1" t="n">
        <f aca="false">IFERROR(INDEX(Sheet3!$B$2:$B$500,MATCH(1,(INT(C414)+MOD(D414,1)&lt;INT(Sheet3!$A$2:$A$500)+TIME(18,0,0))*(INT(E414)+MOD(F414,1)&gt;=INT(Sheet3!$A$2:$A$500)),0)),0)</f>
        <v>0</v>
      </c>
      <c r="N414" s="1" t="n">
        <f aca="false">IF(OR( AND(Q414=6,D414&gt;=TIME(17,0,0),OR(K414="12H Night",K414="Couple Half Night",K414="24H Night",K414="Couple Full Night")), AND(Q414=7,D414&gt;=TIME(6,0,0),D414&lt;TIME(12,0,0),OR(K414="12H Day",K414="Couple Half Day",K414="24H Day",K414="Couple Full Day")) ),1,0)</f>
        <v>0</v>
      </c>
      <c r="O414" s="1" t="n">
        <f aca="false">IF(OR( AND(MONTH(C414)=12,DAY(C414)&gt;=26), AND(MONTH(C414)=4,DAY(C414)&gt;=15), MONTH(C414)=5, AND(MONTH(C414)=6,DAY(C414)&lt;=10) ),1,0)</f>
        <v>1</v>
      </c>
      <c r="P414" s="1" t="str">
        <f aca="false">IF(OR(MONTH(C414)=3,MONTH(C414)=4,MONTH(C414)=5,MONTH(C414)=6), "Summer", IF(OR(MONTH(C414)=7,MONTH(C414)=8,MONTH(C414)=9,MONTH(C414)=10), "Monsoon", "Winter"))</f>
        <v>Summer</v>
      </c>
      <c r="Q414" s="1" t="n">
        <f aca="false">WEEKDAY(C414,2)</f>
        <v>6</v>
      </c>
      <c r="R414" s="0" t="n">
        <f aca="false">ROUNDDOWN(((INT(C414)+MOD(D414,1))-(INT(I414)+MOD(J414,1))),0)</f>
        <v>2</v>
      </c>
      <c r="S414" s="10"/>
    </row>
    <row r="415" customFormat="false" ht="97.15" hidden="false" customHeight="false" outlineLevel="0" collapsed="false">
      <c r="A415" s="8" t="s">
        <v>741</v>
      </c>
      <c r="B415" s="22" t="s">
        <v>742</v>
      </c>
      <c r="C415" s="18" t="n">
        <v>45801.7916666667</v>
      </c>
      <c r="D415" s="19" t="n">
        <v>45801.7916666667</v>
      </c>
      <c r="E415" s="18" t="n">
        <v>45802.75</v>
      </c>
      <c r="F415" s="19" t="n">
        <v>45802.75</v>
      </c>
      <c r="G415" s="20" t="n">
        <v>11000</v>
      </c>
      <c r="H415" s="8" t="n">
        <v>20</v>
      </c>
      <c r="I415" s="10" t="n">
        <v>45799</v>
      </c>
      <c r="J415" s="11" t="n">
        <v>0.889976851853137</v>
      </c>
      <c r="K415" s="1" t="str">
        <f aca="false">IF(L415&gt;24,     IF(H415=2,"Couple Extended Day","Extended Day"), IF(L415&lt;=12,     IF(AND(MOD(D415,1)&gt;=TIME(6,0,0),MOD(D415,1)&lt;TIME(18,0,0)),         IF(H415=2,"Couple Half Day","12H Day"),         IF(H415=2,"Couple Half Night","12H Night")), IF(L415&lt;=24,     IF(AND(MOD(D415,1)&gt;=TIME(6,0,0),MOD(D415,1)&lt;TIME(18,0,0)),         IF(H415=2,"Couple Full Day","24H Day"),         IF(H415=2,"Couple Full Night","24H Night")), "Check Data")))</f>
        <v>24H Night</v>
      </c>
      <c r="L415" s="12" t="n">
        <f aca="false">((INT(E415)+MOD(F415,1))-(INT(C415)+MOD(D415,1)))*24</f>
        <v>22.9999999990105</v>
      </c>
      <c r="M415" s="1" t="n">
        <f aca="false">IFERROR(INDEX(Sheet3!$B$2:$B$500,MATCH(1,(INT(C415)+MOD(D415,1)&lt;INT(Sheet3!$A$2:$A$500)+TIME(18,0,0))*(INT(E415)+MOD(F415,1)&gt;=INT(Sheet3!$A$2:$A$500)),0)),0)</f>
        <v>0</v>
      </c>
      <c r="N415" s="1" t="n">
        <f aca="false">IF(OR( AND(Q415=6,D415&gt;=TIME(17,0,0),OR(K415="12H Night",K415="Couple Half Night",K415="24H Night",K415="Couple Full Night")), AND(Q415=7,D415&gt;=TIME(6,0,0),D415&lt;TIME(12,0,0),OR(K415="12H Day",K415="Couple Half Day",K415="24H Day",K415="Couple Full Day")) ),1,0)</f>
        <v>1</v>
      </c>
      <c r="O415" s="1" t="n">
        <f aca="false">IF(OR( AND(MONTH(C415)=12,DAY(C415)&gt;=26), AND(MONTH(C415)=4,DAY(C415)&gt;=15), MONTH(C415)=5, AND(MONTH(C415)=6,DAY(C415)&lt;=10) ),1,0)</f>
        <v>1</v>
      </c>
      <c r="P415" s="1" t="str">
        <f aca="false">IF(OR(MONTH(C415)=3,MONTH(C415)=4,MONTH(C415)=5,MONTH(C415)=6), "Summer", IF(OR(MONTH(C415)=7,MONTH(C415)=8,MONTH(C415)=9,MONTH(C415)=10), "Monsoon", "Winter"))</f>
        <v>Summer</v>
      </c>
      <c r="Q415" s="1" t="n">
        <f aca="false">WEEKDAY(C415,2)</f>
        <v>6</v>
      </c>
      <c r="R415" s="0" t="n">
        <f aca="false">ROUNDDOWN(((INT(C415)+MOD(D415,1))-(INT(I415)+MOD(J415,1))),0)</f>
        <v>1</v>
      </c>
      <c r="S415" s="10"/>
    </row>
    <row r="416" customFormat="false" ht="97.15" hidden="false" customHeight="false" outlineLevel="0" collapsed="false">
      <c r="A416" s="8" t="s">
        <v>743</v>
      </c>
      <c r="B416" s="22" t="s">
        <v>744</v>
      </c>
      <c r="C416" s="18" t="n">
        <v>45802.7916666667</v>
      </c>
      <c r="D416" s="19" t="n">
        <v>45802.7916666667</v>
      </c>
      <c r="E416" s="18" t="n">
        <v>45803.3333333333</v>
      </c>
      <c r="F416" s="19" t="n">
        <v>0</v>
      </c>
      <c r="G416" s="20" t="n">
        <v>2500</v>
      </c>
      <c r="H416" s="8" t="n">
        <v>10</v>
      </c>
      <c r="I416" s="10" t="n">
        <v>45801</v>
      </c>
      <c r="J416" s="11" t="n">
        <v>0.824675925927292</v>
      </c>
      <c r="K416" s="1" t="str">
        <f aca="false">IF(L416&gt;24,     IF(H416=2,"Couple Extended Day","Extended Day"), IF(L416&lt;=12,     IF(AND(MOD(D416,1)&gt;=TIME(6,0,0),MOD(D416,1)&lt;TIME(18,0,0)),         IF(H416=2,"Couple Half Day","12H Day"),         IF(H416=2,"Couple Half Night","12H Night")), IF(L416&lt;=24,     IF(AND(MOD(D416,1)&gt;=TIME(6,0,0),MOD(D416,1)&lt;TIME(18,0,0)),         IF(H416=2,"Couple Full Day","24H Day"),         IF(H416=2,"Couple Full Night","24H Night")), "Check Data")))</f>
        <v>12H Night</v>
      </c>
      <c r="L416" s="12" t="n">
        <f aca="false">((INT(E416)+MOD(F416,1))-(INT(C416)+MOD(D416,1)))*24</f>
        <v>4.99999999901047</v>
      </c>
      <c r="M416" s="1" t="n">
        <f aca="false">IFERROR(INDEX(Sheet3!$B$2:$B$500,MATCH(1,(INT(C416)+MOD(D416,1)&lt;INT(Sheet3!$A$2:$A$500)+TIME(18,0,0))*(INT(E416)+MOD(F416,1)&gt;=INT(Sheet3!$A$2:$A$500)),0)),0)</f>
        <v>0</v>
      </c>
      <c r="N416" s="1" t="n">
        <f aca="false">IF(OR( AND(Q416=6,D416&gt;=TIME(17,0,0),OR(K416="12H Night",K416="Couple Half Night",K416="24H Night",K416="Couple Full Night")), AND(Q416=7,D416&gt;=TIME(6,0,0),D416&lt;TIME(12,0,0),OR(K416="12H Day",K416="Couple Half Day",K416="24H Day",K416="Couple Full Day")) ),1,0)</f>
        <v>0</v>
      </c>
      <c r="O416" s="1" t="n">
        <f aca="false">IF(OR( AND(MONTH(C416)=12,DAY(C416)&gt;=26), AND(MONTH(C416)=4,DAY(C416)&gt;=15), MONTH(C416)=5, AND(MONTH(C416)=6,DAY(C416)&lt;=10) ),1,0)</f>
        <v>1</v>
      </c>
      <c r="P416" s="1" t="str">
        <f aca="false">IF(OR(MONTH(C416)=3,MONTH(C416)=4,MONTH(C416)=5,MONTH(C416)=6), "Summer", IF(OR(MONTH(C416)=7,MONTH(C416)=8,MONTH(C416)=9,MONTH(C416)=10), "Monsoon", "Winter"))</f>
        <v>Summer</v>
      </c>
      <c r="Q416" s="1" t="n">
        <f aca="false">WEEKDAY(C416,2)</f>
        <v>7</v>
      </c>
      <c r="R416" s="0" t="n">
        <f aca="false">ROUNDDOWN(((INT(C416)+MOD(D416,1))-(INT(I416)+MOD(J416,1))),0)</f>
        <v>0</v>
      </c>
      <c r="S416" s="10"/>
    </row>
    <row r="417" customFormat="false" ht="185.9" hidden="false" customHeight="false" outlineLevel="0" collapsed="false">
      <c r="A417" s="8" t="s">
        <v>268</v>
      </c>
      <c r="B417" s="22" t="s">
        <v>745</v>
      </c>
      <c r="C417" s="18" t="n">
        <v>45803.375</v>
      </c>
      <c r="D417" s="19" t="n">
        <v>45803.375</v>
      </c>
      <c r="E417" s="18" t="n">
        <v>45803.75</v>
      </c>
      <c r="F417" s="19" t="n">
        <v>45803.75</v>
      </c>
      <c r="G417" s="20" t="n">
        <v>2550</v>
      </c>
      <c r="H417" s="8" t="n">
        <v>18</v>
      </c>
      <c r="I417" s="10" t="n">
        <v>45800</v>
      </c>
      <c r="J417" s="11" t="n">
        <v>0.708564814813148</v>
      </c>
      <c r="K417" s="1" t="str">
        <f aca="false">IF(L417&gt;24,     IF(H417=2,"Couple Extended Day","Extended Day"), IF(L417&lt;=12,     IF(AND(MOD(D417,1)&gt;=TIME(6,0,0),MOD(D417,1)&lt;TIME(18,0,0)),         IF(H417=2,"Couple Half Day","12H Day"),         IF(H417=2,"Couple Half Night","12H Night")), IF(L417&lt;=24,     IF(AND(MOD(D417,1)&gt;=TIME(6,0,0),MOD(D417,1)&lt;TIME(18,0,0)),         IF(H417=2,"Couple Full Day","24H Day"),         IF(H417=2,"Couple Full Night","24H Night")), "Check Data")))</f>
        <v>12H Day</v>
      </c>
      <c r="L417" s="12" t="n">
        <f aca="false">((INT(E417)+MOD(F417,1))-(INT(C417)+MOD(D417,1)))*24</f>
        <v>9</v>
      </c>
      <c r="M417" s="1" t="n">
        <f aca="false">IFERROR(INDEX(Sheet3!$B$2:$B$500,MATCH(1,(INT(C417)+MOD(D417,1)&lt;INT(Sheet3!$A$2:$A$500)+TIME(18,0,0))*(INT(E417)+MOD(F417,1)&gt;=INT(Sheet3!$A$2:$A$500)),0)),0)</f>
        <v>0</v>
      </c>
      <c r="N417" s="1" t="n">
        <f aca="false">IF(OR( AND(Q417=6,D417&gt;=TIME(17,0,0),OR(K417="12H Night",K417="Couple Half Night",K417="24H Night",K417="Couple Full Night")), AND(Q417=7,D417&gt;=TIME(6,0,0),D417&lt;TIME(12,0,0),OR(K417="12H Day",K417="Couple Half Day",K417="24H Day",K417="Couple Full Day")) ),1,0)</f>
        <v>0</v>
      </c>
      <c r="O417" s="1" t="n">
        <f aca="false">IF(OR( AND(MONTH(C417)=12,DAY(C417)&gt;=26), AND(MONTH(C417)=4,DAY(C417)&gt;=15), MONTH(C417)=5, AND(MONTH(C417)=6,DAY(C417)&lt;=10) ),1,0)</f>
        <v>1</v>
      </c>
      <c r="P417" s="1" t="str">
        <f aca="false">IF(OR(MONTH(C417)=3,MONTH(C417)=4,MONTH(C417)=5,MONTH(C417)=6), "Summer", IF(OR(MONTH(C417)=7,MONTH(C417)=8,MONTH(C417)=9,MONTH(C417)=10), "Monsoon", "Winter"))</f>
        <v>Summer</v>
      </c>
      <c r="Q417" s="1" t="n">
        <f aca="false">WEEKDAY(C417,2)</f>
        <v>1</v>
      </c>
      <c r="R417" s="0" t="n">
        <f aca="false">ROUNDDOWN(((INT(C417)+MOD(D417,1))-(INT(I417)+MOD(J417,1))),0)</f>
        <v>2</v>
      </c>
      <c r="S417" s="10"/>
    </row>
    <row r="418" customFormat="false" ht="107" hidden="false" customHeight="false" outlineLevel="0" collapsed="false">
      <c r="A418" s="8" t="s">
        <v>575</v>
      </c>
      <c r="B418" s="22" t="s">
        <v>746</v>
      </c>
      <c r="C418" s="18" t="n">
        <v>45803.7916666667</v>
      </c>
      <c r="D418" s="19" t="n">
        <v>45803.7916666667</v>
      </c>
      <c r="E418" s="18" t="n">
        <v>45804.3333333333</v>
      </c>
      <c r="F418" s="19" t="n">
        <v>0</v>
      </c>
      <c r="G418" s="20" t="n">
        <v>2500</v>
      </c>
      <c r="H418" s="8" t="n">
        <v>5</v>
      </c>
      <c r="I418" s="10" t="n">
        <v>45803</v>
      </c>
      <c r="J418" s="11" t="n">
        <v>0.517430555555625</v>
      </c>
      <c r="K418" s="1" t="str">
        <f aca="false">IF(L418&gt;24,     IF(H418=2,"Couple Extended Day","Extended Day"), IF(L418&lt;=12,     IF(AND(MOD(D418,1)&gt;=TIME(6,0,0),MOD(D418,1)&lt;TIME(18,0,0)),         IF(H418=2,"Couple Half Day","12H Day"),         IF(H418=2,"Couple Half Night","12H Night")), IF(L418&lt;=24,     IF(AND(MOD(D418,1)&gt;=TIME(6,0,0),MOD(D418,1)&lt;TIME(18,0,0)),         IF(H418=2,"Couple Full Day","24H Day"),         IF(H418=2,"Couple Full Night","24H Night")), "Check Data")))</f>
        <v>12H Night</v>
      </c>
      <c r="L418" s="12" t="n">
        <f aca="false">((INT(E418)+MOD(F418,1))-(INT(C418)+MOD(D418,1)))*24</f>
        <v>4.99999999901047</v>
      </c>
      <c r="M418" s="1" t="n">
        <f aca="false">IFERROR(INDEX(Sheet3!$B$2:$B$500,MATCH(1,(INT(C418)+MOD(D418,1)&lt;INT(Sheet3!$A$2:$A$500)+TIME(18,0,0))*(INT(E418)+MOD(F418,1)&gt;=INT(Sheet3!$A$2:$A$500)),0)),0)</f>
        <v>0</v>
      </c>
      <c r="N418" s="1" t="n">
        <f aca="false">IF(OR( AND(Q418=6,D418&gt;=TIME(17,0,0),OR(K418="12H Night",K418="Couple Half Night",K418="24H Night",K418="Couple Full Night")), AND(Q418=7,D418&gt;=TIME(6,0,0),D418&lt;TIME(12,0,0),OR(K418="12H Day",K418="Couple Half Day",K418="24H Day",K418="Couple Full Day")) ),1,0)</f>
        <v>0</v>
      </c>
      <c r="O418" s="1" t="n">
        <f aca="false">IF(OR( AND(MONTH(C418)=12,DAY(C418)&gt;=26), AND(MONTH(C418)=4,DAY(C418)&gt;=15), MONTH(C418)=5, AND(MONTH(C418)=6,DAY(C418)&lt;=10) ),1,0)</f>
        <v>1</v>
      </c>
      <c r="P418" s="1" t="str">
        <f aca="false">IF(OR(MONTH(C418)=3,MONTH(C418)=4,MONTH(C418)=5,MONTH(C418)=6), "Summer", IF(OR(MONTH(C418)=7,MONTH(C418)=8,MONTH(C418)=9,MONTH(C418)=10), "Monsoon", "Winter"))</f>
        <v>Summer</v>
      </c>
      <c r="Q418" s="1" t="n">
        <f aca="false">WEEKDAY(C418,2)</f>
        <v>1</v>
      </c>
      <c r="R418" s="0" t="n">
        <f aca="false">ROUNDDOWN(((INT(C418)+MOD(D418,1))-(INT(I418)+MOD(J418,1))),0)</f>
        <v>0</v>
      </c>
      <c r="S418" s="10"/>
    </row>
    <row r="419" customFormat="false" ht="159.6" hidden="false" customHeight="false" outlineLevel="0" collapsed="false">
      <c r="A419" s="8" t="s">
        <v>747</v>
      </c>
      <c r="B419" s="22" t="s">
        <v>748</v>
      </c>
      <c r="C419" s="18" t="n">
        <v>45804.375</v>
      </c>
      <c r="D419" s="19" t="n">
        <v>45804.375</v>
      </c>
      <c r="E419" s="18" t="n">
        <v>45804.75</v>
      </c>
      <c r="F419" s="19" t="n">
        <v>45804.75</v>
      </c>
      <c r="G419" s="20" t="n">
        <v>3500</v>
      </c>
      <c r="H419" s="8" t="n">
        <v>9</v>
      </c>
      <c r="I419" s="10" t="n">
        <v>45802</v>
      </c>
      <c r="J419" s="11" t="n">
        <v>0.535740740742766</v>
      </c>
      <c r="K419" s="1" t="str">
        <f aca="false">IF(L419&gt;24,     IF(H419=2,"Couple Extended Day","Extended Day"), IF(L419&lt;=12,     IF(AND(MOD(D419,1)&gt;=TIME(6,0,0),MOD(D419,1)&lt;TIME(18,0,0)),         IF(H419=2,"Couple Half Day","12H Day"),         IF(H419=2,"Couple Half Night","12H Night")), IF(L419&lt;=24,     IF(AND(MOD(D419,1)&gt;=TIME(6,0,0),MOD(D419,1)&lt;TIME(18,0,0)),         IF(H419=2,"Couple Full Day","24H Day"),         IF(H419=2,"Couple Full Night","24H Night")), "Check Data")))</f>
        <v>12H Day</v>
      </c>
      <c r="L419" s="12" t="n">
        <f aca="false">((INT(E419)+MOD(F419,1))-(INT(C419)+MOD(D419,1)))*24</f>
        <v>9</v>
      </c>
      <c r="M419" s="1" t="n">
        <f aca="false">IFERROR(INDEX(Sheet3!$B$2:$B$500,MATCH(1,(INT(C419)+MOD(D419,1)&lt;INT(Sheet3!$A$2:$A$500)+TIME(18,0,0))*(INT(E419)+MOD(F419,1)&gt;=INT(Sheet3!$A$2:$A$500)),0)),0)</f>
        <v>0</v>
      </c>
      <c r="N419" s="1" t="n">
        <f aca="false">IF(OR( AND(Q419=6,D419&gt;=TIME(17,0,0),OR(K419="12H Night",K419="Couple Half Night",K419="24H Night",K419="Couple Full Night")), AND(Q419=7,D419&gt;=TIME(6,0,0),D419&lt;TIME(12,0,0),OR(K419="12H Day",K419="Couple Half Day",K419="24H Day",K419="Couple Full Day")) ),1,0)</f>
        <v>0</v>
      </c>
      <c r="O419" s="1" t="n">
        <f aca="false">IF(OR( AND(MONTH(C419)=12,DAY(C419)&gt;=26), AND(MONTH(C419)=4,DAY(C419)&gt;=15), MONTH(C419)=5, AND(MONTH(C419)=6,DAY(C419)&lt;=10) ),1,0)</f>
        <v>1</v>
      </c>
      <c r="P419" s="1" t="str">
        <f aca="false">IF(OR(MONTH(C419)=3,MONTH(C419)=4,MONTH(C419)=5,MONTH(C419)=6), "Summer", IF(OR(MONTH(C419)=7,MONTH(C419)=8,MONTH(C419)=9,MONTH(C419)=10), "Monsoon", "Winter"))</f>
        <v>Summer</v>
      </c>
      <c r="Q419" s="1" t="n">
        <f aca="false">WEEKDAY(C419,2)</f>
        <v>2</v>
      </c>
      <c r="R419" s="0" t="n">
        <f aca="false">ROUNDDOWN(((INT(C419)+MOD(D419,1))-(INT(I419)+MOD(J419,1))),0)</f>
        <v>1</v>
      </c>
      <c r="S419" s="10"/>
    </row>
    <row r="420" customFormat="false" ht="28.15" hidden="false" customHeight="false" outlineLevel="0" collapsed="false">
      <c r="A420" s="8" t="s">
        <v>749</v>
      </c>
      <c r="B420" s="22" t="s">
        <v>750</v>
      </c>
      <c r="C420" s="18" t="n">
        <v>45805</v>
      </c>
      <c r="D420" s="19" t="n">
        <v>45805</v>
      </c>
      <c r="E420" s="18" t="n">
        <v>45805.2916666667</v>
      </c>
      <c r="F420" s="19" t="n">
        <v>45805.2916666667</v>
      </c>
      <c r="G420" s="20" t="n">
        <v>2000</v>
      </c>
      <c r="I420" s="10" t="n">
        <v>45805</v>
      </c>
      <c r="J420" s="11" t="n">
        <v>0.00724537036876157</v>
      </c>
      <c r="K420" s="1" t="str">
        <f aca="false">IF(L420&gt;24,     IF(H420=2,"Couple Extended Day","Extended Day"), IF(L420&lt;=12,     IF(AND(MOD(D420,1)&gt;=TIME(6,0,0),MOD(D420,1)&lt;TIME(18,0,0)),         IF(H420=2,"Couple Half Day","12H Day"),         IF(H420=2,"Couple Half Night","12H Night")), IF(L420&lt;=24,     IF(AND(MOD(D420,1)&gt;=TIME(6,0,0),MOD(D420,1)&lt;TIME(18,0,0)),         IF(H420=2,"Couple Full Day","24H Day"),         IF(H420=2,"Couple Full Night","24H Night")), "Check Data")))</f>
        <v>12H Night</v>
      </c>
      <c r="L420" s="12" t="n">
        <f aca="false">((INT(E420)+MOD(F420,1))-(INT(C420)+MOD(D420,1)))*24</f>
        <v>7.00000000098953</v>
      </c>
      <c r="M420" s="1" t="n">
        <f aca="false">IFERROR(INDEX(Sheet3!$B$2:$B$500,MATCH(1,(INT(C420)+MOD(D420,1)&lt;INT(Sheet3!$A$2:$A$500)+TIME(18,0,0))*(INT(E420)+MOD(F420,1)&gt;=INT(Sheet3!$A$2:$A$500)),0)),0)</f>
        <v>0</v>
      </c>
      <c r="N420" s="1" t="n">
        <f aca="false">IF(OR( AND(Q420=6,D420&gt;=TIME(17,0,0),OR(K420="12H Night",K420="Couple Half Night",K420="24H Night",K420="Couple Full Night")), AND(Q420=7,D420&gt;=TIME(6,0,0),D420&lt;TIME(12,0,0),OR(K420="12H Day",K420="Couple Half Day",K420="24H Day",K420="Couple Full Day")) ),1,0)</f>
        <v>0</v>
      </c>
      <c r="O420" s="1" t="n">
        <f aca="false">IF(OR( AND(MONTH(C420)=12,DAY(C420)&gt;=26), AND(MONTH(C420)=4,DAY(C420)&gt;=15), MONTH(C420)=5, AND(MONTH(C420)=6,DAY(C420)&lt;=10) ),1,0)</f>
        <v>1</v>
      </c>
      <c r="P420" s="1" t="str">
        <f aca="false">IF(OR(MONTH(C420)=3,MONTH(C420)=4,MONTH(C420)=5,MONTH(C420)=6), "Summer", IF(OR(MONTH(C420)=7,MONTH(C420)=8,MONTH(C420)=9,MONTH(C420)=10), "Monsoon", "Winter"))</f>
        <v>Summer</v>
      </c>
      <c r="Q420" s="1" t="n">
        <f aca="false">WEEKDAY(C420,2)</f>
        <v>3</v>
      </c>
      <c r="R420" s="0" t="n">
        <f aca="false">ROUNDDOWN(((INT(C420)+MOD(D420,1))-(INT(I420)+MOD(J420,1))),0)</f>
        <v>-0</v>
      </c>
      <c r="S420" s="10"/>
    </row>
    <row r="421" customFormat="false" ht="107" hidden="false" customHeight="false" outlineLevel="0" collapsed="false">
      <c r="A421" s="8" t="s">
        <v>751</v>
      </c>
      <c r="B421" s="22" t="s">
        <v>752</v>
      </c>
      <c r="C421" s="18" t="n">
        <v>45805.3333333333</v>
      </c>
      <c r="D421" s="19" t="n">
        <v>0</v>
      </c>
      <c r="E421" s="18" t="n">
        <v>45805.75</v>
      </c>
      <c r="F421" s="19" t="n">
        <v>45805.75</v>
      </c>
      <c r="G421" s="20" t="n">
        <v>3000</v>
      </c>
      <c r="H421" s="8" t="n">
        <v>10</v>
      </c>
      <c r="I421" s="10" t="n">
        <v>45804</v>
      </c>
      <c r="J421" s="11" t="n">
        <v>0.786377314812847</v>
      </c>
      <c r="K421" s="1" t="str">
        <f aca="false">IF(L421&gt;24,     IF(H421=2,"Couple Extended Day","Extended Day"), IF(L421&lt;=12,     IF(AND(MOD(D421,1)&gt;=TIME(6,0,0),MOD(D421,1)&lt;TIME(18,0,0)),         IF(H421=2,"Couple Half Day","12H Day"),         IF(H421=2,"Couple Half Night","12H Night")), IF(L421&lt;=24,     IF(AND(MOD(D421,1)&gt;=TIME(6,0,0),MOD(D421,1)&lt;TIME(18,0,0)),         IF(H421=2,"Couple Full Day","24H Day"),         IF(H421=2,"Couple Full Night","24H Night")), "Check Data")))</f>
        <v>24H Night</v>
      </c>
      <c r="L421" s="12" t="n">
        <f aca="false">((INT(E421)+MOD(F421,1))-(INT(C421)+MOD(D421,1)))*24</f>
        <v>18</v>
      </c>
      <c r="M421" s="1" t="n">
        <f aca="false">IFERROR(INDEX(Sheet3!$B$2:$B$500,MATCH(1,(INT(C421)+MOD(D421,1)&lt;INT(Sheet3!$A$2:$A$500)+TIME(18,0,0))*(INT(E421)+MOD(F421,1)&gt;=INT(Sheet3!$A$2:$A$500)),0)),0)</f>
        <v>0</v>
      </c>
      <c r="N421" s="1" t="n">
        <f aca="false">IF(OR( AND(Q421=6,D421&gt;=TIME(17,0,0),OR(K421="12H Night",K421="Couple Half Night",K421="24H Night",K421="Couple Full Night")), AND(Q421=7,D421&gt;=TIME(6,0,0),D421&lt;TIME(12,0,0),OR(K421="12H Day",K421="Couple Half Day",K421="24H Day",K421="Couple Full Day")) ),1,0)</f>
        <v>0</v>
      </c>
      <c r="O421" s="1" t="n">
        <f aca="false">IF(OR( AND(MONTH(C421)=12,DAY(C421)&gt;=26), AND(MONTH(C421)=4,DAY(C421)&gt;=15), MONTH(C421)=5, AND(MONTH(C421)=6,DAY(C421)&lt;=10) ),1,0)</f>
        <v>1</v>
      </c>
      <c r="P421" s="1" t="str">
        <f aca="false">IF(OR(MONTH(C421)=3,MONTH(C421)=4,MONTH(C421)=5,MONTH(C421)=6), "Summer", IF(OR(MONTH(C421)=7,MONTH(C421)=8,MONTH(C421)=9,MONTH(C421)=10), "Monsoon", "Winter"))</f>
        <v>Summer</v>
      </c>
      <c r="Q421" s="1" t="n">
        <f aca="false">WEEKDAY(C421,2)</f>
        <v>3</v>
      </c>
      <c r="R421" s="0" t="n">
        <f aca="false">ROUNDDOWN(((INT(C421)+MOD(D421,1))-(INT(I421)+MOD(J421,1))),0)</f>
        <v>0</v>
      </c>
      <c r="S421" s="10"/>
    </row>
    <row r="422" customFormat="false" ht="133.3" hidden="false" customHeight="false" outlineLevel="0" collapsed="false">
      <c r="A422" s="8" t="s">
        <v>603</v>
      </c>
      <c r="B422" s="22" t="s">
        <v>753</v>
      </c>
      <c r="C422" s="18" t="n">
        <v>45805.875</v>
      </c>
      <c r="D422" s="19" t="n">
        <v>45805.875</v>
      </c>
      <c r="E422" s="18" t="n">
        <v>45806.75</v>
      </c>
      <c r="F422" s="19" t="n">
        <v>45806.75</v>
      </c>
      <c r="G422" s="20" t="n">
        <v>4000</v>
      </c>
      <c r="H422" s="8" t="n">
        <v>15</v>
      </c>
      <c r="I422" s="10" t="n">
        <v>45805</v>
      </c>
      <c r="J422" s="11" t="n">
        <v>0.873182870374873</v>
      </c>
      <c r="K422" s="1" t="str">
        <f aca="false">IF(L422&gt;24,     IF(H422=2,"Couple Extended Day","Extended Day"), IF(L422&lt;=12,     IF(AND(MOD(D422,1)&gt;=TIME(6,0,0),MOD(D422,1)&lt;TIME(18,0,0)),         IF(H422=2,"Couple Half Day","12H Day"),         IF(H422=2,"Couple Half Night","12H Night")), IF(L422&lt;=24,     IF(AND(MOD(D422,1)&gt;=TIME(6,0,0),MOD(D422,1)&lt;TIME(18,0,0)),         IF(H422=2,"Couple Full Day","24H Day"),         IF(H422=2,"Couple Full Night","24H Night")), "Check Data")))</f>
        <v>24H Night</v>
      </c>
      <c r="L422" s="12" t="n">
        <f aca="false">((INT(E422)+MOD(F422,1))-(INT(C422)+MOD(D422,1)))*24</f>
        <v>21</v>
      </c>
      <c r="M422" s="1" t="n">
        <f aca="false">IFERROR(INDEX(Sheet3!$B$2:$B$500,MATCH(1,(INT(C422)+MOD(D422,1)&lt;INT(Sheet3!$A$2:$A$500)+TIME(18,0,0))*(INT(E422)+MOD(F422,1)&gt;=INT(Sheet3!$A$2:$A$500)),0)),0)</f>
        <v>0</v>
      </c>
      <c r="N422" s="1" t="n">
        <f aca="false">IF(OR( AND(Q422=6,D422&gt;=TIME(17,0,0),OR(K422="12H Night",K422="Couple Half Night",K422="24H Night",K422="Couple Full Night")), AND(Q422=7,D422&gt;=TIME(6,0,0),D422&lt;TIME(12,0,0),OR(K422="12H Day",K422="Couple Half Day",K422="24H Day",K422="Couple Full Day")) ),1,0)</f>
        <v>0</v>
      </c>
      <c r="O422" s="1" t="n">
        <f aca="false">IF(OR( AND(MONTH(C422)=12,DAY(C422)&gt;=26), AND(MONTH(C422)=4,DAY(C422)&gt;=15), MONTH(C422)=5, AND(MONTH(C422)=6,DAY(C422)&lt;=10) ),1,0)</f>
        <v>1</v>
      </c>
      <c r="P422" s="1" t="str">
        <f aca="false">IF(OR(MONTH(C422)=3,MONTH(C422)=4,MONTH(C422)=5,MONTH(C422)=6), "Summer", IF(OR(MONTH(C422)=7,MONTH(C422)=8,MONTH(C422)=9,MONTH(C422)=10), "Monsoon", "Winter"))</f>
        <v>Summer</v>
      </c>
      <c r="Q422" s="1" t="n">
        <f aca="false">WEEKDAY(C422,2)</f>
        <v>3</v>
      </c>
      <c r="R422" s="0" t="n">
        <f aca="false">ROUNDDOWN(((INT(C422)+MOD(D422,1))-(INT(I422)+MOD(J422,1))),0)</f>
        <v>0</v>
      </c>
      <c r="S422" s="10"/>
    </row>
    <row r="423" customFormat="false" ht="107" hidden="false" customHeight="false" outlineLevel="0" collapsed="false">
      <c r="A423" s="8" t="s">
        <v>754</v>
      </c>
      <c r="B423" s="22" t="s">
        <v>755</v>
      </c>
      <c r="C423" s="18" t="n">
        <v>45806.7916666667</v>
      </c>
      <c r="D423" s="19" t="n">
        <v>45806.7916666667</v>
      </c>
      <c r="E423" s="18" t="n">
        <v>45807.75</v>
      </c>
      <c r="F423" s="19" t="n">
        <v>45807.75</v>
      </c>
      <c r="G423" s="20" t="n">
        <v>5000</v>
      </c>
      <c r="H423" s="8" t="n">
        <v>10</v>
      </c>
      <c r="I423" s="10" t="n">
        <v>45805</v>
      </c>
      <c r="J423" s="11" t="n">
        <v>0.688032407408171</v>
      </c>
      <c r="K423" s="1" t="str">
        <f aca="false">IF(L423&gt;24,     IF(H423=2,"Couple Extended Day","Extended Day"), IF(L423&lt;=12,     IF(AND(MOD(D423,1)&gt;=TIME(6,0,0),MOD(D423,1)&lt;TIME(18,0,0)),         IF(H423=2,"Couple Half Day","12H Day"),         IF(H423=2,"Couple Half Night","12H Night")), IF(L423&lt;=24,     IF(AND(MOD(D423,1)&gt;=TIME(6,0,0),MOD(D423,1)&lt;TIME(18,0,0)),         IF(H423=2,"Couple Full Day","24H Day"),         IF(H423=2,"Couple Full Night","24H Night")), "Check Data")))</f>
        <v>24H Night</v>
      </c>
      <c r="L423" s="12" t="n">
        <f aca="false">((INT(E423)+MOD(F423,1))-(INT(C423)+MOD(D423,1)))*24</f>
        <v>22.9999999990105</v>
      </c>
      <c r="M423" s="1" t="n">
        <f aca="false">IFERROR(INDEX(Sheet3!$B$2:$B$500,MATCH(1,(INT(C423)+MOD(D423,1)&lt;INT(Sheet3!$A$2:$A$500)+TIME(18,0,0))*(INT(E423)+MOD(F423,1)&gt;=INT(Sheet3!$A$2:$A$500)),0)),0)</f>
        <v>0</v>
      </c>
      <c r="N423" s="1" t="n">
        <f aca="false">IF(OR( AND(Q423=6,D423&gt;=TIME(17,0,0),OR(K423="12H Night",K423="Couple Half Night",K423="24H Night",K423="Couple Full Night")), AND(Q423=7,D423&gt;=TIME(6,0,0),D423&lt;TIME(12,0,0),OR(K423="12H Day",K423="Couple Half Day",K423="24H Day",K423="Couple Full Day")) ),1,0)</f>
        <v>0</v>
      </c>
      <c r="O423" s="1" t="n">
        <f aca="false">IF(OR( AND(MONTH(C423)=12,DAY(C423)&gt;=26), AND(MONTH(C423)=4,DAY(C423)&gt;=15), MONTH(C423)=5, AND(MONTH(C423)=6,DAY(C423)&lt;=10) ),1,0)</f>
        <v>1</v>
      </c>
      <c r="P423" s="1" t="str">
        <f aca="false">IF(OR(MONTH(C423)=3,MONTH(C423)=4,MONTH(C423)=5,MONTH(C423)=6), "Summer", IF(OR(MONTH(C423)=7,MONTH(C423)=8,MONTH(C423)=9,MONTH(C423)=10), "Monsoon", "Winter"))</f>
        <v>Summer</v>
      </c>
      <c r="Q423" s="1" t="n">
        <f aca="false">WEEKDAY(C423,2)</f>
        <v>4</v>
      </c>
      <c r="R423" s="0" t="n">
        <f aca="false">ROUNDDOWN(((INT(C423)+MOD(D423,1))-(INT(I423)+MOD(J423,1))),0)</f>
        <v>1</v>
      </c>
      <c r="S423" s="10"/>
    </row>
    <row r="424" customFormat="false" ht="172.75" hidden="false" customHeight="false" outlineLevel="0" collapsed="false">
      <c r="A424" s="8" t="s">
        <v>756</v>
      </c>
      <c r="B424" s="22" t="s">
        <v>757</v>
      </c>
      <c r="C424" s="18" t="n">
        <v>45807.7916666667</v>
      </c>
      <c r="D424" s="19" t="n">
        <v>45807.7916666667</v>
      </c>
      <c r="E424" s="18" t="n">
        <v>45808.75</v>
      </c>
      <c r="F424" s="19" t="n">
        <v>45808.75</v>
      </c>
      <c r="G424" s="20" t="n">
        <v>5000</v>
      </c>
      <c r="H424" s="8" t="n">
        <v>10</v>
      </c>
      <c r="I424" s="10" t="n">
        <v>45805</v>
      </c>
      <c r="J424" s="11" t="n">
        <v>0.909166666664537</v>
      </c>
      <c r="K424" s="1" t="str">
        <f aca="false">IF(L424&gt;24,     IF(H424=2,"Couple Extended Day","Extended Day"), IF(L424&lt;=12,     IF(AND(MOD(D424,1)&gt;=TIME(6,0,0),MOD(D424,1)&lt;TIME(18,0,0)),         IF(H424=2,"Couple Half Day","12H Day"),         IF(H424=2,"Couple Half Night","12H Night")), IF(L424&lt;=24,     IF(AND(MOD(D424,1)&gt;=TIME(6,0,0),MOD(D424,1)&lt;TIME(18,0,0)),         IF(H424=2,"Couple Full Day","24H Day"),         IF(H424=2,"Couple Full Night","24H Night")), "Check Data")))</f>
        <v>24H Night</v>
      </c>
      <c r="L424" s="12" t="n">
        <f aca="false">((INT(E424)+MOD(F424,1))-(INT(C424)+MOD(D424,1)))*24</f>
        <v>22.9999999990105</v>
      </c>
      <c r="M424" s="1" t="n">
        <f aca="false">IFERROR(INDEX(Sheet3!$B$2:$B$500,MATCH(1,(INT(C424)+MOD(D424,1)&lt;INT(Sheet3!$A$2:$A$500)+TIME(18,0,0))*(INT(E424)+MOD(F424,1)&gt;=INT(Sheet3!$A$2:$A$500)),0)),0)</f>
        <v>0</v>
      </c>
      <c r="N424" s="1" t="n">
        <f aca="false">IF(OR( AND(Q424=6,D424&gt;=TIME(17,0,0),OR(K424="12H Night",K424="Couple Half Night",K424="24H Night",K424="Couple Full Night")), AND(Q424=7,D424&gt;=TIME(6,0,0),D424&lt;TIME(12,0,0),OR(K424="12H Day",K424="Couple Half Day",K424="24H Day",K424="Couple Full Day")) ),1,0)</f>
        <v>0</v>
      </c>
      <c r="O424" s="1" t="n">
        <f aca="false">IF(OR( AND(MONTH(C424)=12,DAY(C424)&gt;=26), AND(MONTH(C424)=4,DAY(C424)&gt;=15), MONTH(C424)=5, AND(MONTH(C424)=6,DAY(C424)&lt;=10) ),1,0)</f>
        <v>1</v>
      </c>
      <c r="P424" s="1" t="str">
        <f aca="false">IF(OR(MONTH(C424)=3,MONTH(C424)=4,MONTH(C424)=5,MONTH(C424)=6), "Summer", IF(OR(MONTH(C424)=7,MONTH(C424)=8,MONTH(C424)=9,MONTH(C424)=10), "Monsoon", "Winter"))</f>
        <v>Summer</v>
      </c>
      <c r="Q424" s="1" t="n">
        <f aca="false">WEEKDAY(C424,2)</f>
        <v>5</v>
      </c>
      <c r="R424" s="0" t="n">
        <f aca="false">ROUNDDOWN(((INT(C424)+MOD(D424,1))-(INT(I424)+MOD(J424,1))),0)</f>
        <v>1</v>
      </c>
      <c r="S424" s="10"/>
    </row>
    <row r="425" customFormat="false" ht="185.9" hidden="false" customHeight="false" outlineLevel="0" collapsed="false">
      <c r="A425" s="8" t="s">
        <v>758</v>
      </c>
      <c r="B425" s="22" t="s">
        <v>759</v>
      </c>
      <c r="C425" s="18" t="n">
        <v>45808.7916666667</v>
      </c>
      <c r="D425" s="19" t="n">
        <v>45808.7916666667</v>
      </c>
      <c r="E425" s="18" t="n">
        <v>45809.75</v>
      </c>
      <c r="F425" s="19" t="n">
        <v>45809.75</v>
      </c>
      <c r="G425" s="20" t="n">
        <v>12000</v>
      </c>
      <c r="H425" s="8" t="n">
        <v>10</v>
      </c>
      <c r="I425" s="10" t="n">
        <v>45804</v>
      </c>
      <c r="J425" s="11" t="n">
        <v>0.905127314814306</v>
      </c>
      <c r="K425" s="1" t="str">
        <f aca="false">IF(L425&gt;24,     IF(H425=2,"Couple Extended Day","Extended Day"), IF(L425&lt;=12,     IF(AND(MOD(D425,1)&gt;=TIME(6,0,0),MOD(D425,1)&lt;TIME(18,0,0)),         IF(H425=2,"Couple Half Day","12H Day"),         IF(H425=2,"Couple Half Night","12H Night")), IF(L425&lt;=24,     IF(AND(MOD(D425,1)&gt;=TIME(6,0,0),MOD(D425,1)&lt;TIME(18,0,0)),         IF(H425=2,"Couple Full Day","24H Day"),         IF(H425=2,"Couple Full Night","24H Night")), "Check Data")))</f>
        <v>24H Night</v>
      </c>
      <c r="L425" s="12" t="n">
        <f aca="false">((INT(E425)+MOD(F425,1))-(INT(C425)+MOD(D425,1)))*24</f>
        <v>22.9999999990105</v>
      </c>
      <c r="M425" s="1" t="n">
        <f aca="false">IFERROR(INDEX(Sheet3!$B$2:$B$500,MATCH(1,(INT(C425)+MOD(D425,1)&lt;INT(Sheet3!$A$2:$A$500)+TIME(18,0,0))*(INT(E425)+MOD(F425,1)&gt;=INT(Sheet3!$A$2:$A$500)),0)),0)</f>
        <v>0</v>
      </c>
      <c r="N425" s="1" t="n">
        <f aca="false">IF(OR( AND(Q425=6,D425&gt;=TIME(17,0,0),OR(K425="12H Night",K425="Couple Half Night",K425="24H Night",K425="Couple Full Night")), AND(Q425=7,D425&gt;=TIME(6,0,0),D425&lt;TIME(12,0,0),OR(K425="12H Day",K425="Couple Half Day",K425="24H Day",K425="Couple Full Day")) ),1,0)</f>
        <v>1</v>
      </c>
      <c r="O425" s="1" t="n">
        <f aca="false">IF(OR( AND(MONTH(C425)=12,DAY(C425)&gt;=26), AND(MONTH(C425)=4,DAY(C425)&gt;=15), MONTH(C425)=5, AND(MONTH(C425)=6,DAY(C425)&lt;=10) ),1,0)</f>
        <v>1</v>
      </c>
      <c r="P425" s="1" t="str">
        <f aca="false">IF(OR(MONTH(C425)=3,MONTH(C425)=4,MONTH(C425)=5,MONTH(C425)=6), "Summer", IF(OR(MONTH(C425)=7,MONTH(C425)=8,MONTH(C425)=9,MONTH(C425)=10), "Monsoon", "Winter"))</f>
        <v>Summer</v>
      </c>
      <c r="Q425" s="1" t="n">
        <f aca="false">WEEKDAY(C425,2)</f>
        <v>6</v>
      </c>
      <c r="R425" s="0" t="n">
        <f aca="false">ROUNDDOWN(((INT(C425)+MOD(D425,1))-(INT(I425)+MOD(J425,1))),0)</f>
        <v>3</v>
      </c>
      <c r="S425" s="10"/>
    </row>
    <row r="426" customFormat="false" ht="107" hidden="false" customHeight="false" outlineLevel="0" collapsed="false">
      <c r="A426" s="8" t="s">
        <v>760</v>
      </c>
      <c r="B426" s="22" t="s">
        <v>761</v>
      </c>
      <c r="C426" s="18" t="n">
        <v>45809.7916666667</v>
      </c>
      <c r="D426" s="19" t="n">
        <v>45809.7916666667</v>
      </c>
      <c r="E426" s="18" t="n">
        <v>45810.75</v>
      </c>
      <c r="F426" s="19" t="n">
        <v>45810.75</v>
      </c>
      <c r="G426" s="20" t="n">
        <v>5000</v>
      </c>
      <c r="H426" s="8" t="n">
        <v>20</v>
      </c>
      <c r="I426" s="10" t="n">
        <v>45808</v>
      </c>
      <c r="J426" s="11" t="n">
        <v>0.388726851851968</v>
      </c>
      <c r="K426" s="1" t="str">
        <f aca="false">IF(L426&gt;24,     IF(H426=2,"Couple Extended Day","Extended Day"), IF(L426&lt;=12,     IF(AND(MOD(D426,1)&gt;=TIME(6,0,0),MOD(D426,1)&lt;TIME(18,0,0)),         IF(H426=2,"Couple Half Day","12H Day"),         IF(H426=2,"Couple Half Night","12H Night")), IF(L426&lt;=24,     IF(AND(MOD(D426,1)&gt;=TIME(6,0,0),MOD(D426,1)&lt;TIME(18,0,0)),         IF(H426=2,"Couple Full Day","24H Day"),         IF(H426=2,"Couple Full Night","24H Night")), "Check Data")))</f>
        <v>24H Night</v>
      </c>
      <c r="L426" s="12" t="n">
        <f aca="false">((INT(E426)+MOD(F426,1))-(INT(C426)+MOD(D426,1)))*24</f>
        <v>22.9999999990105</v>
      </c>
      <c r="M426" s="1" t="n">
        <f aca="false">IFERROR(INDEX(Sheet3!$B$2:$B$500,MATCH(1,(INT(C426)+MOD(D426,1)&lt;INT(Sheet3!$A$2:$A$500)+TIME(18,0,0))*(INT(E426)+MOD(F426,1)&gt;=INT(Sheet3!$A$2:$A$500)),0)),0)</f>
        <v>0</v>
      </c>
      <c r="N426" s="1" t="n">
        <f aca="false">IF(OR( AND(Q426=6,D426&gt;=TIME(17,0,0),OR(K426="12H Night",K426="Couple Half Night",K426="24H Night",K426="Couple Full Night")), AND(Q426=7,D426&gt;=TIME(6,0,0),D426&lt;TIME(12,0,0),OR(K426="12H Day",K426="Couple Half Day",K426="24H Day",K426="Couple Full Day")) ),1,0)</f>
        <v>0</v>
      </c>
      <c r="O426" s="1" t="n">
        <f aca="false">IF(OR( AND(MONTH(C426)=12,DAY(C426)&gt;=26), AND(MONTH(C426)=4,DAY(C426)&gt;=15), MONTH(C426)=5, AND(MONTH(C426)=6,DAY(C426)&lt;=10) ),1,0)</f>
        <v>1</v>
      </c>
      <c r="P426" s="1" t="str">
        <f aca="false">IF(OR(MONTH(C426)=3,MONTH(C426)=4,MONTH(C426)=5,MONTH(C426)=6), "Summer", IF(OR(MONTH(C426)=7,MONTH(C426)=8,MONTH(C426)=9,MONTH(C426)=10), "Monsoon", "Winter"))</f>
        <v>Summer</v>
      </c>
      <c r="Q426" s="1" t="n">
        <f aca="false">WEEKDAY(C426,2)</f>
        <v>7</v>
      </c>
      <c r="R426" s="0" t="n">
        <f aca="false">ROUNDDOWN(((INT(C426)+MOD(D426,1))-(INT(I426)+MOD(J426,1))),0)</f>
        <v>1</v>
      </c>
      <c r="S426" s="10"/>
    </row>
    <row r="427" customFormat="false" ht="15.75" hidden="false" customHeight="false" outlineLevel="0" collapsed="false">
      <c r="A427" s="8" t="s">
        <v>762</v>
      </c>
      <c r="C427" s="18" t="n">
        <v>45809.875</v>
      </c>
      <c r="D427" s="19" t="n">
        <v>45809.875</v>
      </c>
      <c r="E427" s="18" t="n">
        <v>45809.9166666667</v>
      </c>
      <c r="F427" s="19" t="n">
        <v>45809.9166666667</v>
      </c>
      <c r="G427" s="20"/>
      <c r="I427" s="10" t="n">
        <v>45808</v>
      </c>
      <c r="J427" s="11" t="n">
        <v>0.340219907404387</v>
      </c>
      <c r="K427" s="1" t="str">
        <f aca="false">IF(L427&gt;24,     IF(H427=2,"Couple Extended Day","Extended Day"), IF(L427&lt;=12,     IF(AND(MOD(D427,1)&gt;=TIME(6,0,0),MOD(D427,1)&lt;TIME(18,0,0)),         IF(H427=2,"Couple Half Day","12H Day"),         IF(H427=2,"Couple Half Night","12H Night")), IF(L427&lt;=24,     IF(AND(MOD(D427,1)&gt;=TIME(6,0,0),MOD(D427,1)&lt;TIME(18,0,0)),         IF(H427=2,"Couple Full Day","24H Day"),         IF(H427=2,"Couple Full Night","24H Night")), "Check Data")))</f>
        <v>12H Night</v>
      </c>
      <c r="L427" s="12" t="n">
        <f aca="false">((INT(E427)+MOD(F427,1))-(INT(C427)+MOD(D427,1)))*24</f>
        <v>1.00000000098953</v>
      </c>
      <c r="M427" s="1" t="n">
        <f aca="false">IFERROR(INDEX(Sheet3!$B$2:$B$500,MATCH(1,(INT(C427)+MOD(D427,1)&lt;INT(Sheet3!$A$2:$A$500)+TIME(18,0,0))*(INT(E427)+MOD(F427,1)&gt;=INT(Sheet3!$A$2:$A$500)),0)),0)</f>
        <v>0</v>
      </c>
      <c r="N427" s="1" t="n">
        <f aca="false">IF(OR( AND(Q427=6,D427&gt;=TIME(17,0,0),OR(K427="12H Night",K427="Couple Half Night",K427="24H Night",K427="Couple Full Night")), AND(Q427=7,D427&gt;=TIME(6,0,0),D427&lt;TIME(12,0,0),OR(K427="12H Day",K427="Couple Half Day",K427="24H Day",K427="Couple Full Day")) ),1,0)</f>
        <v>0</v>
      </c>
      <c r="O427" s="1" t="n">
        <f aca="false">IF(OR( AND(MONTH(C427)=12,DAY(C427)&gt;=26), AND(MONTH(C427)=4,DAY(C427)&gt;=15), MONTH(C427)=5, AND(MONTH(C427)=6,DAY(C427)&lt;=10) ),1,0)</f>
        <v>1</v>
      </c>
      <c r="P427" s="1" t="str">
        <f aca="false">IF(OR(MONTH(C427)=3,MONTH(C427)=4,MONTH(C427)=5,MONTH(C427)=6), "Summer", IF(OR(MONTH(C427)=7,MONTH(C427)=8,MONTH(C427)=9,MONTH(C427)=10), "Monsoon", "Winter"))</f>
        <v>Summer</v>
      </c>
      <c r="Q427" s="1" t="n">
        <f aca="false">WEEKDAY(C427,2)</f>
        <v>7</v>
      </c>
      <c r="R427" s="0" t="n">
        <f aca="false">ROUNDDOWN(((INT(C427)+MOD(D427,1))-(INT(I427)+MOD(J427,1))),0)</f>
        <v>1</v>
      </c>
      <c r="S427" s="10"/>
    </row>
    <row r="428" customFormat="false" ht="159.6" hidden="false" customHeight="false" outlineLevel="0" collapsed="false">
      <c r="A428" s="8" t="s">
        <v>763</v>
      </c>
      <c r="B428" s="22" t="s">
        <v>764</v>
      </c>
      <c r="C428" s="18" t="n">
        <v>45810.7916666667</v>
      </c>
      <c r="D428" s="19" t="n">
        <v>45810.7916666667</v>
      </c>
      <c r="E428" s="18" t="n">
        <v>45811.75</v>
      </c>
      <c r="F428" s="19" t="n">
        <v>45811.75</v>
      </c>
      <c r="G428" s="20" t="n">
        <v>5500</v>
      </c>
      <c r="H428" s="8" t="n">
        <v>15</v>
      </c>
      <c r="I428" s="10" t="n">
        <v>45803</v>
      </c>
      <c r="J428" s="11" t="n">
        <v>0.71104166666919</v>
      </c>
      <c r="K428" s="1" t="str">
        <f aca="false">IF(L428&gt;24,     IF(H428=2,"Couple Extended Day","Extended Day"), IF(L428&lt;=12,     IF(AND(MOD(D428,1)&gt;=TIME(6,0,0),MOD(D428,1)&lt;TIME(18,0,0)),         IF(H428=2,"Couple Half Day","12H Day"),         IF(H428=2,"Couple Half Night","12H Night")), IF(L428&lt;=24,     IF(AND(MOD(D428,1)&gt;=TIME(6,0,0),MOD(D428,1)&lt;TIME(18,0,0)),         IF(H428=2,"Couple Full Day","24H Day"),         IF(H428=2,"Couple Full Night","24H Night")), "Check Data")))</f>
        <v>24H Night</v>
      </c>
      <c r="L428" s="12" t="n">
        <f aca="false">((INT(E428)+MOD(F428,1))-(INT(C428)+MOD(D428,1)))*24</f>
        <v>22.9999999990105</v>
      </c>
      <c r="M428" s="1" t="n">
        <f aca="false">IFERROR(INDEX(Sheet3!$B$2:$B$500,MATCH(1,(INT(C428)+MOD(D428,1)&lt;INT(Sheet3!$A$2:$A$500)+TIME(18,0,0))*(INT(E428)+MOD(F428,1)&gt;=INT(Sheet3!$A$2:$A$500)),0)),0)</f>
        <v>0</v>
      </c>
      <c r="N428" s="1" t="n">
        <f aca="false">IF(OR( AND(Q428=6,D428&gt;=TIME(17,0,0),OR(K428="12H Night",K428="Couple Half Night",K428="24H Night",K428="Couple Full Night")), AND(Q428=7,D428&gt;=TIME(6,0,0),D428&lt;TIME(12,0,0),OR(K428="12H Day",K428="Couple Half Day",K428="24H Day",K428="Couple Full Day")) ),1,0)</f>
        <v>0</v>
      </c>
      <c r="O428" s="1" t="n">
        <f aca="false">IF(OR( AND(MONTH(C428)=12,DAY(C428)&gt;=26), AND(MONTH(C428)=4,DAY(C428)&gt;=15), MONTH(C428)=5, AND(MONTH(C428)=6,DAY(C428)&lt;=10) ),1,0)</f>
        <v>1</v>
      </c>
      <c r="P428" s="1" t="str">
        <f aca="false">IF(OR(MONTH(C428)=3,MONTH(C428)=4,MONTH(C428)=5,MONTH(C428)=6), "Summer", IF(OR(MONTH(C428)=7,MONTH(C428)=8,MONTH(C428)=9,MONTH(C428)=10), "Monsoon", "Winter"))</f>
        <v>Summer</v>
      </c>
      <c r="Q428" s="1" t="n">
        <f aca="false">WEEKDAY(C428,2)</f>
        <v>1</v>
      </c>
      <c r="R428" s="0" t="n">
        <f aca="false">ROUNDDOWN(((INT(C428)+MOD(D428,1))-(INT(I428)+MOD(J428,1))),0)</f>
        <v>7</v>
      </c>
      <c r="S428" s="10"/>
    </row>
    <row r="429" customFormat="false" ht="80.75" hidden="false" customHeight="false" outlineLevel="0" collapsed="false">
      <c r="A429" s="8" t="s">
        <v>765</v>
      </c>
      <c r="B429" s="22" t="s">
        <v>766</v>
      </c>
      <c r="C429" s="18" t="n">
        <v>45811.7916666667</v>
      </c>
      <c r="D429" s="19" t="n">
        <v>45811.7916666667</v>
      </c>
      <c r="E429" s="18" t="n">
        <v>45812.3333333333</v>
      </c>
      <c r="F429" s="19" t="n">
        <v>0</v>
      </c>
      <c r="G429" s="20" t="n">
        <v>3000</v>
      </c>
      <c r="H429" s="8" t="n">
        <v>2</v>
      </c>
      <c r="I429" s="10" t="n">
        <v>45811</v>
      </c>
      <c r="J429" s="11" t="n">
        <v>0.649872685185984</v>
      </c>
      <c r="K429" s="1" t="s">
        <v>767</v>
      </c>
      <c r="L429" s="12" t="n">
        <f aca="false">((INT(E429)+MOD(F429,1))-(INT(C429)+MOD(D429,1)))*24</f>
        <v>4.99999999901047</v>
      </c>
      <c r="M429" s="1" t="n">
        <f aca="false">IFERROR(INDEX(Sheet3!$B$2:$B$500,MATCH(1,(INT(C429)+MOD(D429,1)&lt;INT(Sheet3!$A$2:$A$500)+TIME(18,0,0))*(INT(E429)+MOD(F429,1)&gt;=INT(Sheet3!$A$2:$A$500)),0)),0)</f>
        <v>0</v>
      </c>
      <c r="N429" s="1" t="n">
        <f aca="false">IF(OR( AND(Q429=6,D429&gt;=TIME(17,0,0),OR(K429="12H Night",K429="Couple Half Night",K429="24H Night",K429="Couple Full Night")), AND(Q429=7,D429&gt;=TIME(6,0,0),D429&lt;TIME(12,0,0),OR(K429="12H Day",K429="Couple Half Day",K429="24H Day",K429="Couple Full Day")) ),1,0)</f>
        <v>0</v>
      </c>
      <c r="O429" s="1" t="n">
        <f aca="false">IF(OR( AND(MONTH(C429)=12,DAY(C429)&gt;=26), AND(MONTH(C429)=4,DAY(C429)&gt;=15), MONTH(C429)=5, AND(MONTH(C429)=6,DAY(C429)&lt;=10) ),1,0)</f>
        <v>1</v>
      </c>
      <c r="P429" s="1" t="str">
        <f aca="false">IF(OR(MONTH(C429)=3,MONTH(C429)=4,MONTH(C429)=5,MONTH(C429)=6), "Summer", IF(OR(MONTH(C429)=7,MONTH(C429)=8,MONTH(C429)=9,MONTH(C429)=10), "Monsoon", "Winter"))</f>
        <v>Summer</v>
      </c>
      <c r="Q429" s="1" t="n">
        <f aca="false">WEEKDAY(C429,2)</f>
        <v>2</v>
      </c>
      <c r="R429" s="0" t="n">
        <f aca="false">ROUNDDOWN(((INT(C429)+MOD(D429,1))-(INT(I429)+MOD(J429,1))),0)</f>
        <v>0</v>
      </c>
      <c r="S429" s="10"/>
    </row>
    <row r="430" customFormat="false" ht="41.3" hidden="false" customHeight="false" outlineLevel="0" collapsed="false">
      <c r="A430" s="8" t="s">
        <v>768</v>
      </c>
      <c r="B430" s="22" t="s">
        <v>769</v>
      </c>
      <c r="C430" s="18" t="n">
        <v>45812.4166666667</v>
      </c>
      <c r="D430" s="19" t="n">
        <v>45812.4166666667</v>
      </c>
      <c r="E430" s="18" t="n">
        <v>45812.75</v>
      </c>
      <c r="F430" s="19" t="n">
        <v>45812.75</v>
      </c>
      <c r="G430" s="20" t="n">
        <v>2500</v>
      </c>
      <c r="I430" s="10" t="n">
        <v>45812</v>
      </c>
      <c r="J430" s="11" t="n">
        <v>0.66993055555213</v>
      </c>
      <c r="K430" s="1" t="s">
        <v>89</v>
      </c>
      <c r="L430" s="12" t="n">
        <f aca="false">((INT(E430)+MOD(F430,1))-(INT(C430)+MOD(D430,1)))*24</f>
        <v>7.99999999901047</v>
      </c>
      <c r="M430" s="1" t="n">
        <f aca="false">IFERROR(INDEX(Sheet3!$B$2:$B$500,MATCH(1,(INT(C430)+MOD(D430,1)&lt;INT(Sheet3!$A$2:$A$500)+TIME(18,0,0))*(INT(E430)+MOD(F430,1)&gt;=INT(Sheet3!$A$2:$A$500)),0)),0)</f>
        <v>0</v>
      </c>
      <c r="N430" s="1" t="n">
        <f aca="false">IF(OR( AND(Q430=6,D430&gt;=TIME(17,0,0),OR(K430="12H Night",K430="Couple Half Night",K430="24H Night",K430="Couple Full Night")), AND(Q430=7,D430&gt;=TIME(6,0,0),D430&lt;TIME(12,0,0),OR(K430="12H Day",K430="Couple Half Day",K430="24H Day",K430="Couple Full Day")) ),1,0)</f>
        <v>0</v>
      </c>
      <c r="O430" s="1" t="n">
        <f aca="false">IF(OR( AND(MONTH(C430)=12,DAY(C430)&gt;=26), AND(MONTH(C430)=4,DAY(C430)&gt;=15), MONTH(C430)=5, AND(MONTH(C430)=6,DAY(C430)&lt;=10) ),1,0)</f>
        <v>1</v>
      </c>
      <c r="P430" s="1" t="str">
        <f aca="false">IF(OR(MONTH(C430)=3,MONTH(C430)=4,MONTH(C430)=5,MONTH(C430)=6), "Summer", IF(OR(MONTH(C430)=7,MONTH(C430)=8,MONTH(C430)=9,MONTH(C430)=10), "Monsoon", "Winter"))</f>
        <v>Summer</v>
      </c>
      <c r="Q430" s="1" t="n">
        <f aca="false">WEEKDAY(C430,2)</f>
        <v>3</v>
      </c>
      <c r="R430" s="0" t="n">
        <f aca="false">ROUNDDOWN(((INT(C430)+MOD(D430,1))-(INT(I430)+MOD(J430,1))),0)</f>
        <v>-0</v>
      </c>
      <c r="S430" s="10"/>
    </row>
    <row r="431" customFormat="false" ht="107" hidden="false" customHeight="false" outlineLevel="0" collapsed="false">
      <c r="A431" s="8" t="s">
        <v>770</v>
      </c>
      <c r="B431" s="22" t="s">
        <v>771</v>
      </c>
      <c r="C431" s="18" t="n">
        <v>45812.7916666667</v>
      </c>
      <c r="D431" s="19" t="n">
        <v>45812.7916666667</v>
      </c>
      <c r="E431" s="18" t="n">
        <v>45813.75</v>
      </c>
      <c r="F431" s="19" t="n">
        <v>45813.75</v>
      </c>
      <c r="G431" s="20" t="n">
        <v>5500</v>
      </c>
      <c r="H431" s="8" t="n">
        <v>15</v>
      </c>
      <c r="I431" s="10" t="n">
        <v>45810</v>
      </c>
      <c r="J431" s="11" t="n">
        <v>0.582673611112118</v>
      </c>
      <c r="K431" s="1" t="str">
        <f aca="false">IF(L431&gt;24,     IF(H431=2,"Couple Extended Day","Extended Day"), IF(L431&lt;=12,     IF(AND(MOD(D431,1)&gt;=TIME(6,0,0),MOD(D431,1)&lt;TIME(18,0,0)),         IF(H431=2,"Couple Half Day","12H Day"),         IF(H431=2,"Couple Half Night","12H Night")), IF(L431&lt;=24,     IF(AND(MOD(D431,1)&gt;=TIME(6,0,0),MOD(D431,1)&lt;TIME(18,0,0)),         IF(H431=2,"Couple Full Day","24H Day"),         IF(H431=2,"Couple Full Night","24H Night")), "Check Data")))</f>
        <v>24H Night</v>
      </c>
      <c r="L431" s="12" t="n">
        <f aca="false">((INT(E431)+MOD(F431,1))-(INT(C431)+MOD(D431,1)))*24</f>
        <v>22.9999999990105</v>
      </c>
      <c r="M431" s="1" t="n">
        <f aca="false">IFERROR(INDEX(Sheet3!$B$2:$B$500,MATCH(1,(INT(C431)+MOD(D431,1)&lt;INT(Sheet3!$A$2:$A$500)+TIME(18,0,0))*(INT(E431)+MOD(F431,1)&gt;=INT(Sheet3!$A$2:$A$500)),0)),0)</f>
        <v>0</v>
      </c>
      <c r="N431" s="1" t="n">
        <f aca="false">IF(OR( AND(Q431=6,D431&gt;=TIME(17,0,0),OR(K431="12H Night",K431="Couple Half Night",K431="24H Night",K431="Couple Full Night")), AND(Q431=7,D431&gt;=TIME(6,0,0),D431&lt;TIME(12,0,0),OR(K431="12H Day",K431="Couple Half Day",K431="24H Day",K431="Couple Full Day")) ),1,0)</f>
        <v>0</v>
      </c>
      <c r="O431" s="1" t="n">
        <f aca="false">IF(OR( AND(MONTH(C431)=12,DAY(C431)&gt;=26), AND(MONTH(C431)=4,DAY(C431)&gt;=15), MONTH(C431)=5, AND(MONTH(C431)=6,DAY(C431)&lt;=10) ),1,0)</f>
        <v>1</v>
      </c>
      <c r="P431" s="1" t="str">
        <f aca="false">IF(OR(MONTH(C431)=3,MONTH(C431)=4,MONTH(C431)=5,MONTH(C431)=6), "Summer", IF(OR(MONTH(C431)=7,MONTH(C431)=8,MONTH(C431)=9,MONTH(C431)=10), "Monsoon", "Winter"))</f>
        <v>Summer</v>
      </c>
      <c r="Q431" s="1" t="n">
        <f aca="false">WEEKDAY(C431,2)</f>
        <v>3</v>
      </c>
      <c r="R431" s="0" t="n">
        <f aca="false">ROUNDDOWN(((INT(C431)+MOD(D431,1))-(INT(I431)+MOD(J431,1))),0)</f>
        <v>2</v>
      </c>
      <c r="S431" s="10"/>
    </row>
    <row r="432" customFormat="false" ht="185.9" hidden="false" customHeight="false" outlineLevel="0" collapsed="false">
      <c r="A432" s="8" t="s">
        <v>309</v>
      </c>
      <c r="B432" s="22" t="s">
        <v>772</v>
      </c>
      <c r="C432" s="18" t="n">
        <v>45813.7916666667</v>
      </c>
      <c r="D432" s="19" t="n">
        <v>45813.7916666667</v>
      </c>
      <c r="E432" s="18" t="n">
        <v>45814.75</v>
      </c>
      <c r="F432" s="19" t="n">
        <v>45814.75</v>
      </c>
      <c r="G432" s="20" t="n">
        <v>5500</v>
      </c>
      <c r="H432" s="8" t="n">
        <v>12</v>
      </c>
      <c r="I432" s="10" t="n">
        <v>45802</v>
      </c>
      <c r="J432" s="11" t="n">
        <v>0.8683912037086</v>
      </c>
      <c r="K432" s="1" t="str">
        <f aca="false">IF(L432&gt;24,     IF(H432=2,"Couple Extended Day","Extended Day"), IF(L432&lt;=12,     IF(AND(MOD(D432,1)&gt;=TIME(6,0,0),MOD(D432,1)&lt;TIME(18,0,0)),         IF(H432=2,"Couple Half Day","12H Day"),         IF(H432=2,"Couple Half Night","12H Night")), IF(L432&lt;=24,     IF(AND(MOD(D432,1)&gt;=TIME(6,0,0),MOD(D432,1)&lt;TIME(18,0,0)),         IF(H432=2,"Couple Full Day","24H Day"),         IF(H432=2,"Couple Full Night","24H Night")), "Check Data")))</f>
        <v>24H Night</v>
      </c>
      <c r="L432" s="12" t="n">
        <f aca="false">((INT(E432)+MOD(F432,1))-(INT(C432)+MOD(D432,1)))*24</f>
        <v>22.9999999990105</v>
      </c>
      <c r="M432" s="1" t="n">
        <f aca="false">IFERROR(INDEX(Sheet3!$B$2:$B$500,MATCH(1,(INT(C432)+MOD(D432,1)&lt;INT(Sheet3!$A$2:$A$500)+TIME(18,0,0))*(INT(E432)+MOD(F432,1)&gt;=INT(Sheet3!$A$2:$A$500)),0)),0)</f>
        <v>0</v>
      </c>
      <c r="N432" s="1" t="n">
        <f aca="false">IF(OR( AND(Q432=6,D432&gt;=TIME(17,0,0),OR(K432="12H Night",K432="Couple Half Night",K432="24H Night",K432="Couple Full Night")), AND(Q432=7,D432&gt;=TIME(6,0,0),D432&lt;TIME(12,0,0),OR(K432="12H Day",K432="Couple Half Day",K432="24H Day",K432="Couple Full Day")) ),1,0)</f>
        <v>0</v>
      </c>
      <c r="O432" s="1" t="n">
        <f aca="false">IF(OR( AND(MONTH(C432)=12,DAY(C432)&gt;=26), AND(MONTH(C432)=4,DAY(C432)&gt;=15), MONTH(C432)=5, AND(MONTH(C432)=6,DAY(C432)&lt;=10) ),1,0)</f>
        <v>1</v>
      </c>
      <c r="P432" s="1" t="str">
        <f aca="false">IF(OR(MONTH(C432)=3,MONTH(C432)=4,MONTH(C432)=5,MONTH(C432)=6), "Summer", IF(OR(MONTH(C432)=7,MONTH(C432)=8,MONTH(C432)=9,MONTH(C432)=10), "Monsoon", "Winter"))</f>
        <v>Summer</v>
      </c>
      <c r="Q432" s="1" t="n">
        <f aca="false">WEEKDAY(C432,2)</f>
        <v>4</v>
      </c>
      <c r="R432" s="0" t="n">
        <f aca="false">ROUNDDOWN(((INT(C432)+MOD(D432,1))-(INT(I432)+MOD(J432,1))),0)</f>
        <v>10</v>
      </c>
      <c r="S432" s="10"/>
    </row>
    <row r="433" customFormat="false" ht="93.85" hidden="false" customHeight="false" outlineLevel="0" collapsed="false">
      <c r="A433" s="8" t="s">
        <v>773</v>
      </c>
      <c r="B433" s="22" t="s">
        <v>774</v>
      </c>
      <c r="C433" s="18" t="n">
        <v>45814.875</v>
      </c>
      <c r="D433" s="19" t="n">
        <v>45814.875</v>
      </c>
      <c r="E433" s="18" t="n">
        <v>45815.0833333333</v>
      </c>
      <c r="F433" s="19" t="n">
        <v>0</v>
      </c>
      <c r="G433" s="20" t="n">
        <v>1500</v>
      </c>
      <c r="H433" s="8" t="n">
        <v>2</v>
      </c>
      <c r="I433" s="10" t="n">
        <v>45815</v>
      </c>
      <c r="J433" s="11" t="n">
        <v>0.61331018518831</v>
      </c>
      <c r="K433" s="1" t="str">
        <f aca="false">IF(L433&gt;24,     IF(H433=2,"Couple Extended Day","Extended Day"), IF(L433&lt;=12,     IF(AND(MOD(D433,1)&gt;=TIME(6,0,0),MOD(D433,1)&lt;TIME(18,0,0)),         IF(H433=2,"Couple Half Day","12H Day"),         IF(H433=2,"Couple Half Night","12H Night")), IF(L433&lt;=24,     IF(AND(MOD(D433,1)&gt;=TIME(6,0,0),MOD(D433,1)&lt;TIME(18,0,0)),         IF(H433=2,"Couple Full Day","24H Day"),         IF(H433=2,"Couple Full Night","24H Night")), "Check Data")))</f>
        <v>Couple Half Night</v>
      </c>
      <c r="L433" s="12" t="n">
        <f aca="false">((INT(E433)+MOD(F433,1))-(INT(C433)+MOD(D433,1)))*24</f>
        <v>3</v>
      </c>
      <c r="M433" s="1" t="n">
        <f aca="false">IFERROR(INDEX(Sheet3!$B$2:$B$500,MATCH(1,(INT(C433)+MOD(D433,1)&lt;INT(Sheet3!$A$2:$A$500)+TIME(18,0,0))*(INT(E433)+MOD(F433,1)&gt;=INT(Sheet3!$A$2:$A$500)),0)),0)</f>
        <v>0</v>
      </c>
      <c r="N433" s="1" t="n">
        <f aca="false">IF(OR( AND(Q433=6,D433&gt;=TIME(17,0,0),OR(K433="12H Night",K433="Couple Half Night",K433="24H Night",K433="Couple Full Night")), AND(Q433=7,D433&gt;=TIME(6,0,0),D433&lt;TIME(12,0,0),OR(K433="12H Day",K433="Couple Half Day",K433="24H Day",K433="Couple Full Day")) ),1,0)</f>
        <v>0</v>
      </c>
      <c r="O433" s="1" t="n">
        <f aca="false">IF(OR( AND(MONTH(C433)=12,DAY(C433)&gt;=26), AND(MONTH(C433)=4,DAY(C433)&gt;=15), MONTH(C433)=5, AND(MONTH(C433)=6,DAY(C433)&lt;=10) ),1,0)</f>
        <v>1</v>
      </c>
      <c r="P433" s="1" t="str">
        <f aca="false">IF(OR(MONTH(C433)=3,MONTH(C433)=4,MONTH(C433)=5,MONTH(C433)=6), "Summer", IF(OR(MONTH(C433)=7,MONTH(C433)=8,MONTH(C433)=9,MONTH(C433)=10), "Monsoon", "Winter"))</f>
        <v>Summer</v>
      </c>
      <c r="Q433" s="1" t="n">
        <f aca="false">WEEKDAY(C433,2)</f>
        <v>5</v>
      </c>
      <c r="R433" s="0" t="n">
        <f aca="false">ROUNDDOWN(((INT(C433)+MOD(D433,1))-(INT(I433)+MOD(J433,1))),0)</f>
        <v>-0</v>
      </c>
      <c r="S433" s="10"/>
    </row>
    <row r="434" customFormat="false" ht="133.3" hidden="false" customHeight="false" outlineLevel="0" collapsed="false">
      <c r="A434" s="8" t="s">
        <v>775</v>
      </c>
      <c r="B434" s="22" t="s">
        <v>776</v>
      </c>
      <c r="C434" s="18" t="n">
        <v>45815.4583333333</v>
      </c>
      <c r="D434" s="19" t="n">
        <v>0</v>
      </c>
      <c r="E434" s="18" t="n">
        <v>45815.75</v>
      </c>
      <c r="F434" s="19" t="n">
        <v>45815.75</v>
      </c>
      <c r="G434" s="20" t="n">
        <v>2000</v>
      </c>
      <c r="H434" s="8" t="n">
        <v>8</v>
      </c>
      <c r="I434" s="10" t="n">
        <v>45815</v>
      </c>
      <c r="J434" s="11" t="n">
        <v>0.482199074074745</v>
      </c>
      <c r="K434" s="1" t="str">
        <f aca="false">IF(L434&gt;24,     IF(H434=2,"Couple Extended Day","Extended Day"), IF(L434&lt;=12,     IF(AND(MOD(D434,1)&gt;=TIME(6,0,0),MOD(D434,1)&lt;TIME(18,0,0)),         IF(H434=2,"Couple Half Day","12H Day"),         IF(H434=2,"Couple Half Night","12H Night")), IF(L434&lt;=24,     IF(AND(MOD(D434,1)&gt;=TIME(6,0,0),MOD(D434,1)&lt;TIME(18,0,0)),         IF(H434=2,"Couple Full Day","24H Day"),         IF(H434=2,"Couple Full Night","24H Night")), "Check Data")))</f>
        <v>24H Night</v>
      </c>
      <c r="L434" s="12" t="n">
        <f aca="false">((INT(E434)+MOD(F434,1))-(INT(C434)+MOD(D434,1)))*24</f>
        <v>18</v>
      </c>
      <c r="M434" s="1" t="n">
        <f aca="false">IFERROR(INDEX(Sheet3!$B$2:$B$500,MATCH(1,(INT(C434)+MOD(D434,1)&lt;INT(Sheet3!$A$2:$A$500)+TIME(18,0,0))*(INT(E434)+MOD(F434,1)&gt;=INT(Sheet3!$A$2:$A$500)),0)),0)</f>
        <v>0</v>
      </c>
      <c r="N434" s="1" t="n">
        <f aca="false">IF(OR( AND(Q434=6,D434&gt;=TIME(17,0,0),OR(K434="12H Night",K434="Couple Half Night",K434="24H Night",K434="Couple Full Night")), AND(Q434=7,D434&gt;=TIME(6,0,0),D434&lt;TIME(12,0,0),OR(K434="12H Day",K434="Couple Half Day",K434="24H Day",K434="Couple Full Day")) ),1,0)</f>
        <v>0</v>
      </c>
      <c r="O434" s="1" t="n">
        <f aca="false">IF(OR( AND(MONTH(C434)=12,DAY(C434)&gt;=26), AND(MONTH(C434)=4,DAY(C434)&gt;=15), MONTH(C434)=5, AND(MONTH(C434)=6,DAY(C434)&lt;=10) ),1,0)</f>
        <v>1</v>
      </c>
      <c r="P434" s="1" t="str">
        <f aca="false">IF(OR(MONTH(C434)=3,MONTH(C434)=4,MONTH(C434)=5,MONTH(C434)=6), "Summer", IF(OR(MONTH(C434)=7,MONTH(C434)=8,MONTH(C434)=9,MONTH(C434)=10), "Monsoon", "Winter"))</f>
        <v>Summer</v>
      </c>
      <c r="Q434" s="1" t="n">
        <f aca="false">WEEKDAY(C434,2)</f>
        <v>6</v>
      </c>
      <c r="R434" s="0" t="n">
        <f aca="false">ROUNDDOWN(((INT(C434)+MOD(D434,1))-(INT(I434)+MOD(J434,1))),0)</f>
        <v>-0</v>
      </c>
      <c r="S434" s="10"/>
    </row>
    <row r="435" customFormat="false" ht="212.2" hidden="false" customHeight="false" outlineLevel="0" collapsed="false">
      <c r="A435" s="8" t="s">
        <v>315</v>
      </c>
      <c r="B435" s="22" t="s">
        <v>777</v>
      </c>
      <c r="C435" s="18" t="n">
        <v>45815.7916666667</v>
      </c>
      <c r="D435" s="19" t="n">
        <v>45815.7916666667</v>
      </c>
      <c r="E435" s="18" t="n">
        <v>45816.3333333333</v>
      </c>
      <c r="F435" s="19" t="n">
        <v>0</v>
      </c>
      <c r="G435" s="20" t="n">
        <v>5000</v>
      </c>
      <c r="H435" s="8" t="n">
        <v>18</v>
      </c>
      <c r="I435" s="10" t="n">
        <v>45815</v>
      </c>
      <c r="J435" s="11" t="n">
        <v>0.682650462964375</v>
      </c>
      <c r="K435" s="1" t="str">
        <f aca="false">IF(L435&gt;24,     IF(H435=2,"Couple Extended Day","Extended Day"), IF(L435&lt;=12,     IF(AND(MOD(D435,1)&gt;=TIME(6,0,0),MOD(D435,1)&lt;TIME(18,0,0)),         IF(H435=2,"Couple Half Day","12H Day"),         IF(H435=2,"Couple Half Night","12H Night")), IF(L435&lt;=24,     IF(AND(MOD(D435,1)&gt;=TIME(6,0,0),MOD(D435,1)&lt;TIME(18,0,0)),         IF(H435=2,"Couple Full Day","24H Day"),         IF(H435=2,"Couple Full Night","24H Night")), "Check Data")))</f>
        <v>12H Night</v>
      </c>
      <c r="L435" s="12" t="n">
        <f aca="false">((INT(E435)+MOD(F435,1))-(INT(C435)+MOD(D435,1)))*24</f>
        <v>4.99999999901047</v>
      </c>
      <c r="M435" s="1" t="n">
        <f aca="false">IFERROR(INDEX(Sheet3!$B$2:$B$500,MATCH(1,(INT(C435)+MOD(D435,1)&lt;INT(Sheet3!$A$2:$A$500)+TIME(18,0,0))*(INT(E435)+MOD(F435,1)&gt;=INT(Sheet3!$A$2:$A$500)),0)),0)</f>
        <v>0</v>
      </c>
      <c r="N435" s="1" t="n">
        <f aca="false">IF(OR( AND(Q435=6,D435&gt;=TIME(17,0,0),OR(K435="12H Night",K435="Couple Half Night",K435="24H Night",K435="Couple Full Night")), AND(Q435=7,D435&gt;=TIME(6,0,0),D435&lt;TIME(12,0,0),OR(K435="12H Day",K435="Couple Half Day",K435="24H Day",K435="Couple Full Day")) ),1,0)</f>
        <v>1</v>
      </c>
      <c r="O435" s="1" t="n">
        <f aca="false">IF(OR( AND(MONTH(C435)=12,DAY(C435)&gt;=26), AND(MONTH(C435)=4,DAY(C435)&gt;=15), MONTH(C435)=5, AND(MONTH(C435)=6,DAY(C435)&lt;=10) ),1,0)</f>
        <v>1</v>
      </c>
      <c r="P435" s="1" t="str">
        <f aca="false">IF(OR(MONTH(C435)=3,MONTH(C435)=4,MONTH(C435)=5,MONTH(C435)=6), "Summer", IF(OR(MONTH(C435)=7,MONTH(C435)=8,MONTH(C435)=9,MONTH(C435)=10), "Monsoon", "Winter"))</f>
        <v>Summer</v>
      </c>
      <c r="Q435" s="1" t="n">
        <f aca="false">WEEKDAY(C435,2)</f>
        <v>6</v>
      </c>
      <c r="R435" s="0" t="n">
        <f aca="false">ROUNDDOWN(((INT(C435)+MOD(D435,1))-(INT(I435)+MOD(J435,1))),0)</f>
        <v>0</v>
      </c>
      <c r="S435" s="10"/>
    </row>
    <row r="436" customFormat="false" ht="107" hidden="false" customHeight="false" outlineLevel="0" collapsed="false">
      <c r="A436" s="8" t="s">
        <v>168</v>
      </c>
      <c r="B436" s="22" t="s">
        <v>778</v>
      </c>
      <c r="C436" s="18" t="n">
        <v>45816.375</v>
      </c>
      <c r="D436" s="19" t="n">
        <v>45816.375</v>
      </c>
      <c r="E436" s="18" t="n">
        <v>45816.7916666667</v>
      </c>
      <c r="F436" s="19" t="n">
        <v>45816.7916666667</v>
      </c>
      <c r="G436" s="20" t="n">
        <v>6000</v>
      </c>
      <c r="H436" s="8" t="n">
        <v>4</v>
      </c>
      <c r="I436" s="10" t="n">
        <v>45815</v>
      </c>
      <c r="J436" s="11" t="n">
        <v>0.827731481476806</v>
      </c>
      <c r="K436" s="1" t="str">
        <f aca="false">IF(L436&gt;24,     IF(H436=2,"Couple Extended Day","Extended Day"), IF(L436&lt;=12,     IF(AND(MOD(D436,1)&gt;=TIME(6,0,0),MOD(D436,1)&lt;TIME(18,0,0)),         IF(H436=2,"Couple Half Day","12H Day"),         IF(H436=2,"Couple Half Night","12H Night")), IF(L436&lt;=24,     IF(AND(MOD(D436,1)&gt;=TIME(6,0,0),MOD(D436,1)&lt;TIME(18,0,0)),         IF(H436=2,"Couple Full Day","24H Day"),         IF(H436=2,"Couple Full Night","24H Night")), "Check Data")))</f>
        <v>12H Day</v>
      </c>
      <c r="L436" s="12" t="n">
        <f aca="false">((INT(E436)+MOD(F436,1))-(INT(C436)+MOD(D436,1)))*24</f>
        <v>10.0000000009895</v>
      </c>
      <c r="M436" s="1" t="n">
        <f aca="false">IFERROR(INDEX(Sheet3!$B$2:$B$500,MATCH(1,(INT(C436)+MOD(D436,1)&lt;INT(Sheet3!$A$2:$A$500)+TIME(18,0,0))*(INT(E436)+MOD(F436,1)&gt;=INT(Sheet3!$A$2:$A$500)),0)),0)</f>
        <v>0</v>
      </c>
      <c r="N436" s="1" t="n">
        <f aca="false">IF(OR( AND(Q436=6,D436&gt;=TIME(17,0,0),OR(K436="12H Night",K436="Couple Half Night",K436="24H Night",K436="Couple Full Night")), AND(Q436=7,D436&gt;=TIME(6,0,0),D436&lt;TIME(12,0,0),OR(K436="12H Day",K436="Couple Half Day",K436="24H Day",K436="Couple Full Day")) ),1,0)</f>
        <v>0</v>
      </c>
      <c r="O436" s="1" t="n">
        <f aca="false">IF(OR( AND(MONTH(C436)=12,DAY(C436)&gt;=26), AND(MONTH(C436)=4,DAY(C436)&gt;=15), MONTH(C436)=5, AND(MONTH(C436)=6,DAY(C436)&lt;=10) ),1,0)</f>
        <v>1</v>
      </c>
      <c r="P436" s="1" t="str">
        <f aca="false">IF(OR(MONTH(C436)=3,MONTH(C436)=4,MONTH(C436)=5,MONTH(C436)=6), "Summer", IF(OR(MONTH(C436)=7,MONTH(C436)=8,MONTH(C436)=9,MONTH(C436)=10), "Monsoon", "Winter"))</f>
        <v>Summer</v>
      </c>
      <c r="Q436" s="1" t="n">
        <f aca="false">WEEKDAY(C436,2)</f>
        <v>7</v>
      </c>
      <c r="R436" s="0" t="n">
        <f aca="false">ROUNDDOWN(((INT(C436)+MOD(D436,1))-(INT(I436)+MOD(J436,1))),0)</f>
        <v>0</v>
      </c>
      <c r="S436" s="10"/>
    </row>
    <row r="437" customFormat="false" ht="93.85" hidden="false" customHeight="false" outlineLevel="0" collapsed="false">
      <c r="A437" s="8" t="s">
        <v>779</v>
      </c>
      <c r="B437" s="22" t="s">
        <v>780</v>
      </c>
      <c r="C437" s="18" t="n">
        <v>45816.8333333333</v>
      </c>
      <c r="D437" s="19" t="n">
        <v>0</v>
      </c>
      <c r="E437" s="18" t="n">
        <v>45817.2916666667</v>
      </c>
      <c r="F437" s="19" t="n">
        <v>45817.2916666667</v>
      </c>
      <c r="G437" s="20" t="n">
        <v>1500</v>
      </c>
      <c r="H437" s="8" t="n">
        <v>2</v>
      </c>
      <c r="I437" s="10" t="n">
        <v>45816</v>
      </c>
      <c r="J437" s="11" t="n">
        <v>0.717523148152396</v>
      </c>
      <c r="K437" s="1" t="str">
        <f aca="false">IF(L437&gt;24,     IF(H437=2,"Couple Extended Day","Extended Day"), IF(L437&lt;=12,     IF(AND(MOD(D437,1)&gt;=TIME(6,0,0),MOD(D437,1)&lt;TIME(18,0,0)),         IF(H437=2,"Couple Half Day","12H Day"),         IF(H437=2,"Couple Half Night","12H Night")), IF(L437&lt;=24,     IF(AND(MOD(D437,1)&gt;=TIME(6,0,0),MOD(D437,1)&lt;TIME(18,0,0)),         IF(H437=2,"Couple Full Day","24H Day"),         IF(H437=2,"Couple Full Night","24H Night")), "Check Data")))</f>
        <v>Couple Extended Day</v>
      </c>
      <c r="L437" s="12" t="n">
        <f aca="false">((INT(E437)+MOD(F437,1))-(INT(C437)+MOD(D437,1)))*24</f>
        <v>31.0000000009895</v>
      </c>
      <c r="M437" s="1" t="n">
        <f aca="false">IFERROR(INDEX(Sheet3!$B$2:$B$500,MATCH(1,(INT(C437)+MOD(D437,1)&lt;INT(Sheet3!$A$2:$A$500)+TIME(18,0,0))*(INT(E437)+MOD(F437,1)&gt;=INT(Sheet3!$A$2:$A$500)),0)),0)</f>
        <v>0</v>
      </c>
      <c r="N437" s="1" t="n">
        <f aca="false">IF(OR( AND(Q437=6,D437&gt;=TIME(17,0,0),OR(K437="12H Night",K437="Couple Half Night",K437="24H Night",K437="Couple Full Night")), AND(Q437=7,D437&gt;=TIME(6,0,0),D437&lt;TIME(12,0,0),OR(K437="12H Day",K437="Couple Half Day",K437="24H Day",K437="Couple Full Day")) ),1,0)</f>
        <v>0</v>
      </c>
      <c r="O437" s="1" t="n">
        <f aca="false">IF(OR( AND(MONTH(C437)=12,DAY(C437)&gt;=26), AND(MONTH(C437)=4,DAY(C437)&gt;=15), MONTH(C437)=5, AND(MONTH(C437)=6,DAY(C437)&lt;=10) ),1,0)</f>
        <v>1</v>
      </c>
      <c r="P437" s="1" t="str">
        <f aca="false">IF(OR(MONTH(C437)=3,MONTH(C437)=4,MONTH(C437)=5,MONTH(C437)=6), "Summer", IF(OR(MONTH(C437)=7,MONTH(C437)=8,MONTH(C437)=9,MONTH(C437)=10), "Monsoon", "Winter"))</f>
        <v>Summer</v>
      </c>
      <c r="Q437" s="1" t="n">
        <f aca="false">WEEKDAY(C437,2)</f>
        <v>7</v>
      </c>
      <c r="R437" s="0" t="n">
        <f aca="false">ROUNDDOWN(((INT(C437)+MOD(D437,1))-(INT(I437)+MOD(J437,1))),0)</f>
        <v>-0</v>
      </c>
      <c r="S437" s="10"/>
    </row>
    <row r="438" customFormat="false" ht="185.9" hidden="false" customHeight="false" outlineLevel="0" collapsed="false">
      <c r="A438" s="8" t="s">
        <v>395</v>
      </c>
      <c r="B438" s="22" t="s">
        <v>781</v>
      </c>
      <c r="C438" s="18" t="n">
        <v>45817.375</v>
      </c>
      <c r="D438" s="19" t="n">
        <v>45817.375</v>
      </c>
      <c r="E438" s="18" t="n">
        <v>45817.75</v>
      </c>
      <c r="F438" s="19" t="n">
        <v>45817.75</v>
      </c>
      <c r="G438" s="20" t="n">
        <v>3000</v>
      </c>
      <c r="H438" s="8" t="n">
        <v>10</v>
      </c>
      <c r="I438" s="10" t="n">
        <v>45817</v>
      </c>
      <c r="J438" s="11" t="n">
        <v>0.35350694444787</v>
      </c>
      <c r="K438" s="1" t="str">
        <f aca="false">IF(L438&gt;24,     IF(H438=2,"Couple Extended Day","Extended Day"), IF(L438&lt;=12,     IF(AND(MOD(D438,1)&gt;=TIME(6,0,0),MOD(D438,1)&lt;TIME(18,0,0)),         IF(H438=2,"Couple Half Day","12H Day"),         IF(H438=2,"Couple Half Night","12H Night")), IF(L438&lt;=24,     IF(AND(MOD(D438,1)&gt;=TIME(6,0,0),MOD(D438,1)&lt;TIME(18,0,0)),         IF(H438=2,"Couple Full Day","24H Day"),         IF(H438=2,"Couple Full Night","24H Night")), "Check Data")))</f>
        <v>12H Day</v>
      </c>
      <c r="L438" s="12" t="n">
        <f aca="false">((INT(E438)+MOD(F438,1))-(INT(C438)+MOD(D438,1)))*24</f>
        <v>9</v>
      </c>
      <c r="M438" s="1" t="n">
        <f aca="false">IFERROR(INDEX(Sheet3!$B$2:$B$500,MATCH(1,(INT(C438)+MOD(D438,1)&lt;INT(Sheet3!$A$2:$A$500)+TIME(18,0,0))*(INT(E438)+MOD(F438,1)&gt;=INT(Sheet3!$A$2:$A$500)),0)),0)</f>
        <v>0</v>
      </c>
      <c r="N438" s="1" t="n">
        <f aca="false">IF(OR( AND(Q438=6,D438&gt;=TIME(17,0,0),OR(K438="12H Night",K438="Couple Half Night",K438="24H Night",K438="Couple Full Night")), AND(Q438=7,D438&gt;=TIME(6,0,0),D438&lt;TIME(12,0,0),OR(K438="12H Day",K438="Couple Half Day",K438="24H Day",K438="Couple Full Day")) ),1,0)</f>
        <v>0</v>
      </c>
      <c r="O438" s="1" t="n">
        <f aca="false">IF(OR( AND(MONTH(C438)=12,DAY(C438)&gt;=26), AND(MONTH(C438)=4,DAY(C438)&gt;=15), MONTH(C438)=5, AND(MONTH(C438)=6,DAY(C438)&lt;=10) ),1,0)</f>
        <v>1</v>
      </c>
      <c r="P438" s="1" t="str">
        <f aca="false">IF(OR(MONTH(C438)=3,MONTH(C438)=4,MONTH(C438)=5,MONTH(C438)=6), "Summer", IF(OR(MONTH(C438)=7,MONTH(C438)=8,MONTH(C438)=9,MONTH(C438)=10), "Monsoon", "Winter"))</f>
        <v>Summer</v>
      </c>
      <c r="Q438" s="1" t="n">
        <f aca="false">WEEKDAY(C438,2)</f>
        <v>1</v>
      </c>
      <c r="R438" s="0" t="n">
        <f aca="false">ROUNDDOWN(((INT(C438)+MOD(D438,1))-(INT(I438)+MOD(J438,1))),0)</f>
        <v>0</v>
      </c>
      <c r="S438" s="10"/>
    </row>
    <row r="439" customFormat="false" ht="107" hidden="false" customHeight="false" outlineLevel="0" collapsed="false">
      <c r="A439" s="8" t="s">
        <v>782</v>
      </c>
      <c r="B439" s="22" t="s">
        <v>783</v>
      </c>
      <c r="C439" s="18" t="n">
        <v>45819.375</v>
      </c>
      <c r="D439" s="19" t="n">
        <v>45819.375</v>
      </c>
      <c r="E439" s="18" t="n">
        <v>45819.75</v>
      </c>
      <c r="F439" s="19" t="n">
        <v>45819.75</v>
      </c>
      <c r="G439" s="20" t="n">
        <v>3000</v>
      </c>
      <c r="H439" s="8" t="n">
        <v>8</v>
      </c>
      <c r="I439" s="10" t="n">
        <v>45817</v>
      </c>
      <c r="J439" s="11" t="n">
        <v>0.425775462965243</v>
      </c>
      <c r="K439" s="1" t="str">
        <f aca="false">IF(L439&gt;24,     IF(H439=2,"Couple Extended Day","Extended Day"), IF(L439&lt;=12,     IF(AND(MOD(D439,1)&gt;=TIME(6,0,0),MOD(D439,1)&lt;TIME(18,0,0)),         IF(H439=2,"Couple Half Day","12H Day"),         IF(H439=2,"Couple Half Night","12H Night")), IF(L439&lt;=24,     IF(AND(MOD(D439,1)&gt;=TIME(6,0,0),MOD(D439,1)&lt;TIME(18,0,0)),         IF(H439=2,"Couple Full Day","24H Day"),         IF(H439=2,"Couple Full Night","24H Night")), "Check Data")))</f>
        <v>12H Day</v>
      </c>
      <c r="L439" s="12" t="n">
        <f aca="false">((INT(E439)+MOD(F439,1))-(INT(C439)+MOD(D439,1)))*24</f>
        <v>9</v>
      </c>
      <c r="M439" s="1" t="n">
        <f aca="false">IFERROR(INDEX(Sheet3!$B$2:$B$500,MATCH(1,(INT(C439)+MOD(D439,1)&lt;INT(Sheet3!$A$2:$A$500)+TIME(18,0,0))*(INT(E439)+MOD(F439,1)&gt;=INT(Sheet3!$A$2:$A$500)),0)),0)</f>
        <v>0</v>
      </c>
      <c r="N439" s="1" t="n">
        <f aca="false">IF(OR( AND(Q439=6,D439&gt;=TIME(17,0,0),OR(K439="12H Night",K439="Couple Half Night",K439="24H Night",K439="Couple Full Night")), AND(Q439=7,D439&gt;=TIME(6,0,0),D439&lt;TIME(12,0,0),OR(K439="12H Day",K439="Couple Half Day",K439="24H Day",K439="Couple Full Day")) ),1,0)</f>
        <v>0</v>
      </c>
      <c r="O439" s="1" t="n">
        <f aca="false">IF(OR( AND(MONTH(C439)=12,DAY(C439)&gt;=26), AND(MONTH(C439)=4,DAY(C439)&gt;=15), MONTH(C439)=5, AND(MONTH(C439)=6,DAY(C439)&lt;=10) ),1,0)</f>
        <v>0</v>
      </c>
      <c r="P439" s="1" t="str">
        <f aca="false">IF(OR(MONTH(C439)=3,MONTH(C439)=4,MONTH(C439)=5,MONTH(C439)=6), "Summer", IF(OR(MONTH(C439)=7,MONTH(C439)=8,MONTH(C439)=9,MONTH(C439)=10), "Monsoon", "Winter"))</f>
        <v>Summer</v>
      </c>
      <c r="Q439" s="1" t="n">
        <f aca="false">WEEKDAY(C439,2)</f>
        <v>3</v>
      </c>
      <c r="R439" s="0" t="n">
        <f aca="false">ROUNDDOWN(((INT(C439)+MOD(D439,1))-(INT(I439)+MOD(J439,1))),0)</f>
        <v>1</v>
      </c>
      <c r="S439" s="10"/>
    </row>
    <row r="440" customFormat="false" ht="41.3" hidden="false" customHeight="false" outlineLevel="0" collapsed="false">
      <c r="A440" s="8" t="s">
        <v>445</v>
      </c>
      <c r="B440" s="22" t="s">
        <v>784</v>
      </c>
      <c r="C440" s="18" t="n">
        <v>45820.4583333333</v>
      </c>
      <c r="D440" s="19" t="n">
        <v>0</v>
      </c>
      <c r="E440" s="18" t="n">
        <v>45820.5833333333</v>
      </c>
      <c r="F440" s="19" t="n">
        <v>0</v>
      </c>
      <c r="G440" s="20" t="n">
        <v>1500</v>
      </c>
      <c r="I440" s="10" t="n">
        <v>45820</v>
      </c>
      <c r="J440" s="11" t="n">
        <v>0.538391203706852</v>
      </c>
      <c r="K440" s="1" t="str">
        <f aca="false">IF(L440&gt;24,     IF(H440=2,"Couple Extended Day","Extended Day"), IF(L440&lt;=12,     IF(AND(MOD(D440,1)&gt;=TIME(6,0,0),MOD(D440,1)&lt;TIME(18,0,0)),         IF(H440=2,"Couple Half Day","12H Day"),         IF(H440=2,"Couple Half Night","12H Night")), IF(L440&lt;=24,     IF(AND(MOD(D440,1)&gt;=TIME(6,0,0),MOD(D440,1)&lt;TIME(18,0,0)),         IF(H440=2,"Couple Full Day","24H Day"),         IF(H440=2,"Couple Full Night","24H Night")), "Check Data")))</f>
        <v>12H Night</v>
      </c>
      <c r="L440" s="12" t="n">
        <f aca="false">((INT(E440)+MOD(F440,1))-(INT(C440)+MOD(D440,1)))*24</f>
        <v>0</v>
      </c>
      <c r="M440" s="1" t="n">
        <f aca="false">IFERROR(INDEX(Sheet3!$B$2:$B$500,MATCH(1,(INT(C440)+MOD(D440,1)&lt;INT(Sheet3!$A$2:$A$500)+TIME(18,0,0))*(INT(E440)+MOD(F440,1)&gt;=INT(Sheet3!$A$2:$A$500)),0)),0)</f>
        <v>0</v>
      </c>
      <c r="N440" s="1" t="n">
        <f aca="false">IF(OR( AND(Q440=6,D440&gt;=TIME(17,0,0),OR(K440="12H Night",K440="Couple Half Night",K440="24H Night",K440="Couple Full Night")), AND(Q440=7,D440&gt;=TIME(6,0,0),D440&lt;TIME(12,0,0),OR(K440="12H Day",K440="Couple Half Day",K440="24H Day",K440="Couple Full Day")) ),1,0)</f>
        <v>0</v>
      </c>
      <c r="O440" s="1" t="n">
        <f aca="false">IF(OR( AND(MONTH(C440)=12,DAY(C440)&gt;=26), AND(MONTH(C440)=4,DAY(C440)&gt;=15), MONTH(C440)=5, AND(MONTH(C440)=6,DAY(C440)&lt;=10) ),1,0)</f>
        <v>0</v>
      </c>
      <c r="P440" s="1" t="str">
        <f aca="false">IF(OR(MONTH(C440)=3,MONTH(C440)=4,MONTH(C440)=5,MONTH(C440)=6), "Summer", IF(OR(MONTH(C440)=7,MONTH(C440)=8,MONTH(C440)=9,MONTH(C440)=10), "Monsoon", "Winter"))</f>
        <v>Summer</v>
      </c>
      <c r="Q440" s="1" t="n">
        <f aca="false">WEEKDAY(C440,2)</f>
        <v>4</v>
      </c>
      <c r="R440" s="0" t="n">
        <f aca="false">ROUNDDOWN(((INT(C440)+MOD(D440,1))-(INT(I440)+MOD(J440,1))),0)</f>
        <v>-0</v>
      </c>
      <c r="S440" s="10"/>
    </row>
    <row r="441" customFormat="false" ht="120.15" hidden="false" customHeight="false" outlineLevel="0" collapsed="false">
      <c r="A441" s="8" t="s">
        <v>785</v>
      </c>
      <c r="B441" s="22" t="s">
        <v>786</v>
      </c>
      <c r="C441" s="18" t="n">
        <v>45820.7916666667</v>
      </c>
      <c r="D441" s="19" t="n">
        <v>45820.7916666667</v>
      </c>
      <c r="E441" s="18" t="n">
        <v>45821.3333333333</v>
      </c>
      <c r="F441" s="19" t="n">
        <v>0</v>
      </c>
      <c r="G441" s="20" t="n">
        <v>2500</v>
      </c>
      <c r="H441" s="8" t="n">
        <v>10</v>
      </c>
      <c r="I441" s="10" t="n">
        <v>45820</v>
      </c>
      <c r="J441" s="11" t="n">
        <v>0.666932870371968</v>
      </c>
      <c r="K441" s="1" t="str">
        <f aca="false">IF(L441&gt;24,     IF(H441=2,"Couple Extended Day","Extended Day"), IF(L441&lt;=12,     IF(AND(MOD(D441,1)&gt;=TIME(6,0,0),MOD(D441,1)&lt;TIME(18,0,0)),         IF(H441=2,"Couple Half Day","12H Day"),         IF(H441=2,"Couple Half Night","12H Night")), IF(L441&lt;=24,     IF(AND(MOD(D441,1)&gt;=TIME(6,0,0),MOD(D441,1)&lt;TIME(18,0,0)),         IF(H441=2,"Couple Full Day","24H Day"),         IF(H441=2,"Couple Full Night","24H Night")), "Check Data")))</f>
        <v>12H Night</v>
      </c>
      <c r="L441" s="12" t="n">
        <f aca="false">((INT(E441)+MOD(F441,1))-(INT(C441)+MOD(D441,1)))*24</f>
        <v>4.99999999901047</v>
      </c>
      <c r="M441" s="1" t="n">
        <f aca="false">IFERROR(INDEX(Sheet3!$B$2:$B$500,MATCH(1,(INT(C441)+MOD(D441,1)&lt;INT(Sheet3!$A$2:$A$500)+TIME(18,0,0))*(INT(E441)+MOD(F441,1)&gt;=INT(Sheet3!$A$2:$A$500)),0)),0)</f>
        <v>0</v>
      </c>
      <c r="N441" s="1" t="n">
        <f aca="false">IF(OR( AND(Q441=6,D441&gt;=TIME(17,0,0),OR(K441="12H Night",K441="Couple Half Night",K441="24H Night",K441="Couple Full Night")), AND(Q441=7,D441&gt;=TIME(6,0,0),D441&lt;TIME(12,0,0),OR(K441="12H Day",K441="Couple Half Day",K441="24H Day",K441="Couple Full Day")) ),1,0)</f>
        <v>0</v>
      </c>
      <c r="O441" s="1" t="n">
        <f aca="false">IF(OR( AND(MONTH(C441)=12,DAY(C441)&gt;=26), AND(MONTH(C441)=4,DAY(C441)&gt;=15), MONTH(C441)=5, AND(MONTH(C441)=6,DAY(C441)&lt;=10) ),1,0)</f>
        <v>0</v>
      </c>
      <c r="P441" s="1" t="str">
        <f aca="false">IF(OR(MONTH(C441)=3,MONTH(C441)=4,MONTH(C441)=5,MONTH(C441)=6), "Summer", IF(OR(MONTH(C441)=7,MONTH(C441)=8,MONTH(C441)=9,MONTH(C441)=10), "Monsoon", "Winter"))</f>
        <v>Summer</v>
      </c>
      <c r="Q441" s="1" t="n">
        <f aca="false">WEEKDAY(C441,2)</f>
        <v>4</v>
      </c>
      <c r="R441" s="0" t="n">
        <f aca="false">ROUNDDOWN(((INT(C441)+MOD(D441,1))-(INT(I441)+MOD(J441,1))),0)</f>
        <v>0</v>
      </c>
      <c r="S441" s="10"/>
    </row>
    <row r="442" customFormat="false" ht="107" hidden="false" customHeight="false" outlineLevel="0" collapsed="false">
      <c r="A442" s="8" t="s">
        <v>311</v>
      </c>
      <c r="B442" s="22" t="s">
        <v>787</v>
      </c>
      <c r="C442" s="18" t="n">
        <v>45821.375</v>
      </c>
      <c r="D442" s="19" t="n">
        <v>45821.375</v>
      </c>
      <c r="E442" s="18" t="n">
        <v>45821.75</v>
      </c>
      <c r="F442" s="19" t="n">
        <v>45821.75</v>
      </c>
      <c r="G442" s="20" t="n">
        <v>2500</v>
      </c>
      <c r="H442" s="8" t="n">
        <v>2</v>
      </c>
      <c r="I442" s="10" t="n">
        <v>45820</v>
      </c>
      <c r="J442" s="11" t="n">
        <v>0.532476851847604</v>
      </c>
      <c r="K442" s="1" t="str">
        <f aca="false">IF(L442&gt;24,     IF(H442=2,"Couple Extended Day","Extended Day"), IF(L442&lt;=12,     IF(AND(MOD(D442,1)&gt;=TIME(6,0,0),MOD(D442,1)&lt;TIME(18,0,0)),         IF(H442=2,"Couple Half Day","12H Day"),         IF(H442=2,"Couple Half Night","12H Night")), IF(L442&lt;=24,     IF(AND(MOD(D442,1)&gt;=TIME(6,0,0),MOD(D442,1)&lt;TIME(18,0,0)),         IF(H442=2,"Couple Full Day","24H Day"),         IF(H442=2,"Couple Full Night","24H Night")), "Check Data")))</f>
        <v>Couple Half Day</v>
      </c>
      <c r="L442" s="12" t="n">
        <f aca="false">((INT(E442)+MOD(F442,1))-(INT(C442)+MOD(D442,1)))*24</f>
        <v>9</v>
      </c>
      <c r="M442" s="1" t="n">
        <f aca="false">IFERROR(INDEX(Sheet3!$B$2:$B$500,MATCH(1,(INT(C442)+MOD(D442,1)&lt;INT(Sheet3!$A$2:$A$500)+TIME(18,0,0))*(INT(E442)+MOD(F442,1)&gt;=INT(Sheet3!$A$2:$A$500)),0)),0)</f>
        <v>0</v>
      </c>
      <c r="N442" s="1" t="n">
        <f aca="false">IF(OR( AND(Q442=6,D442&gt;=TIME(17,0,0),OR(K442="12H Night",K442="Couple Half Night",K442="24H Night",K442="Couple Full Night")), AND(Q442=7,D442&gt;=TIME(6,0,0),D442&lt;TIME(12,0,0),OR(K442="12H Day",K442="Couple Half Day",K442="24H Day",K442="Couple Full Day")) ),1,0)</f>
        <v>0</v>
      </c>
      <c r="O442" s="1" t="n">
        <f aca="false">IF(OR( AND(MONTH(C442)=12,DAY(C442)&gt;=26), AND(MONTH(C442)=4,DAY(C442)&gt;=15), MONTH(C442)=5, AND(MONTH(C442)=6,DAY(C442)&lt;=10) ),1,0)</f>
        <v>0</v>
      </c>
      <c r="P442" s="1" t="str">
        <f aca="false">IF(OR(MONTH(C442)=3,MONTH(C442)=4,MONTH(C442)=5,MONTH(C442)=6), "Summer", IF(OR(MONTH(C442)=7,MONTH(C442)=8,MONTH(C442)=9,MONTH(C442)=10), "Monsoon", "Winter"))</f>
        <v>Summer</v>
      </c>
      <c r="Q442" s="1" t="n">
        <f aca="false">WEEKDAY(C442,2)</f>
        <v>5</v>
      </c>
      <c r="R442" s="0" t="n">
        <f aca="false">ROUNDDOWN(((INT(C442)+MOD(D442,1))-(INT(I442)+MOD(J442,1))),0)</f>
        <v>0</v>
      </c>
      <c r="S442" s="10"/>
    </row>
    <row r="443" customFormat="false" ht="93.85" hidden="false" customHeight="false" outlineLevel="0" collapsed="false">
      <c r="A443" s="8" t="s">
        <v>788</v>
      </c>
      <c r="B443" s="22" t="s">
        <v>789</v>
      </c>
      <c r="C443" s="18" t="n">
        <v>45821.7916666667</v>
      </c>
      <c r="D443" s="19" t="n">
        <v>45821.7916666667</v>
      </c>
      <c r="E443" s="18" t="n">
        <v>45822.3333333333</v>
      </c>
      <c r="F443" s="19" t="n">
        <v>0</v>
      </c>
      <c r="G443" s="20" t="n">
        <v>2500</v>
      </c>
      <c r="H443" s="8" t="n">
        <v>15</v>
      </c>
      <c r="I443" s="10" t="n">
        <v>45820</v>
      </c>
      <c r="J443" s="11" t="n">
        <v>0.534212962964375</v>
      </c>
      <c r="K443" s="1" t="str">
        <f aca="false">IF(L443&gt;24,     IF(H443=2,"Couple Extended Day","Extended Day"), IF(L443&lt;=12,     IF(AND(MOD(D443,1)&gt;=TIME(6,0,0),MOD(D443,1)&lt;TIME(18,0,0)),         IF(H443=2,"Couple Half Day","12H Day"),         IF(H443=2,"Couple Half Night","12H Night")), IF(L443&lt;=24,     IF(AND(MOD(D443,1)&gt;=TIME(6,0,0),MOD(D443,1)&lt;TIME(18,0,0)),         IF(H443=2,"Couple Full Day","24H Day"),         IF(H443=2,"Couple Full Night","24H Night")), "Check Data")))</f>
        <v>12H Night</v>
      </c>
      <c r="L443" s="12" t="n">
        <f aca="false">((INT(E443)+MOD(F443,1))-(INT(C443)+MOD(D443,1)))*24</f>
        <v>4.99999999901047</v>
      </c>
      <c r="M443" s="1" t="n">
        <f aca="false">IFERROR(INDEX(Sheet3!$B$2:$B$500,MATCH(1,(INT(C443)+MOD(D443,1)&lt;INT(Sheet3!$A$2:$A$500)+TIME(18,0,0))*(INT(E443)+MOD(F443,1)&gt;=INT(Sheet3!$A$2:$A$500)),0)),0)</f>
        <v>0</v>
      </c>
      <c r="N443" s="1" t="n">
        <f aca="false">IF(OR( AND(Q443=6,D443&gt;=TIME(17,0,0),OR(K443="12H Night",K443="Couple Half Night",K443="24H Night",K443="Couple Full Night")), AND(Q443=7,D443&gt;=TIME(6,0,0),D443&lt;TIME(12,0,0),OR(K443="12H Day",K443="Couple Half Day",K443="24H Day",K443="Couple Full Day")) ),1,0)</f>
        <v>0</v>
      </c>
      <c r="O443" s="1" t="n">
        <f aca="false">IF(OR( AND(MONTH(C443)=12,DAY(C443)&gt;=26), AND(MONTH(C443)=4,DAY(C443)&gt;=15), MONTH(C443)=5, AND(MONTH(C443)=6,DAY(C443)&lt;=10) ),1,0)</f>
        <v>0</v>
      </c>
      <c r="P443" s="1" t="str">
        <f aca="false">IF(OR(MONTH(C443)=3,MONTH(C443)=4,MONTH(C443)=5,MONTH(C443)=6), "Summer", IF(OR(MONTH(C443)=7,MONTH(C443)=8,MONTH(C443)=9,MONTH(C443)=10), "Monsoon", "Winter"))</f>
        <v>Summer</v>
      </c>
      <c r="Q443" s="1" t="n">
        <f aca="false">WEEKDAY(C443,2)</f>
        <v>5</v>
      </c>
      <c r="R443" s="0" t="n">
        <f aca="false">ROUNDDOWN(((INT(C443)+MOD(D443,1))-(INT(I443)+MOD(J443,1))),0)</f>
        <v>1</v>
      </c>
      <c r="S443" s="10"/>
    </row>
    <row r="444" customFormat="false" ht="97.15" hidden="false" customHeight="false" outlineLevel="0" collapsed="false">
      <c r="A444" s="8" t="s">
        <v>790</v>
      </c>
      <c r="B444" s="22" t="s">
        <v>791</v>
      </c>
      <c r="C444" s="18" t="n">
        <v>45822.375</v>
      </c>
      <c r="D444" s="19" t="n">
        <v>45822.375</v>
      </c>
      <c r="E444" s="18" t="n">
        <v>45822.75</v>
      </c>
      <c r="F444" s="19" t="n">
        <v>45822.75</v>
      </c>
      <c r="G444" s="20" t="n">
        <v>2500</v>
      </c>
      <c r="H444" s="8" t="n">
        <v>4</v>
      </c>
      <c r="I444" s="10" t="n">
        <v>45821</v>
      </c>
      <c r="J444" s="11" t="n">
        <v>0.919363425928171</v>
      </c>
      <c r="K444" s="1" t="str">
        <f aca="false">IF(L444&gt;24,     IF(H444=2,"Couple Extended Day","Extended Day"), IF(L444&lt;=12,     IF(AND(MOD(D444,1)&gt;=TIME(6,0,0),MOD(D444,1)&lt;TIME(18,0,0)),         IF(H444=2,"Couple Half Day","12H Day"),         IF(H444=2,"Couple Half Night","12H Night")), IF(L444&lt;=24,     IF(AND(MOD(D444,1)&gt;=TIME(6,0,0),MOD(D444,1)&lt;TIME(18,0,0)),         IF(H444=2,"Couple Full Day","24H Day"),         IF(H444=2,"Couple Full Night","24H Night")), "Check Data")))</f>
        <v>12H Day</v>
      </c>
      <c r="L444" s="12" t="n">
        <f aca="false">((INT(E444)+MOD(F444,1))-(INT(C444)+MOD(D444,1)))*24</f>
        <v>9</v>
      </c>
      <c r="M444" s="1" t="n">
        <f aca="false">IFERROR(INDEX(Sheet3!$B$2:$B$500,MATCH(1,(INT(C444)+MOD(D444,1)&lt;INT(Sheet3!$A$2:$A$500)+TIME(18,0,0))*(INT(E444)+MOD(F444,1)&gt;=INT(Sheet3!$A$2:$A$500)),0)),0)</f>
        <v>0</v>
      </c>
      <c r="N444" s="1" t="n">
        <f aca="false">IF(OR( AND(Q444=6,D444&gt;=TIME(17,0,0),OR(K444="12H Night",K444="Couple Half Night",K444="24H Night",K444="Couple Full Night")), AND(Q444=7,D444&gt;=TIME(6,0,0),D444&lt;TIME(12,0,0),OR(K444="12H Day",K444="Couple Half Day",K444="24H Day",K444="Couple Full Day")) ),1,0)</f>
        <v>0</v>
      </c>
      <c r="O444" s="1" t="n">
        <f aca="false">IF(OR( AND(MONTH(C444)=12,DAY(C444)&gt;=26), AND(MONTH(C444)=4,DAY(C444)&gt;=15), MONTH(C444)=5, AND(MONTH(C444)=6,DAY(C444)&lt;=10) ),1,0)</f>
        <v>0</v>
      </c>
      <c r="P444" s="1" t="str">
        <f aca="false">IF(OR(MONTH(C444)=3,MONTH(C444)=4,MONTH(C444)=5,MONTH(C444)=6), "Summer", IF(OR(MONTH(C444)=7,MONTH(C444)=8,MONTH(C444)=9,MONTH(C444)=10), "Monsoon", "Winter"))</f>
        <v>Summer</v>
      </c>
      <c r="Q444" s="1" t="n">
        <f aca="false">WEEKDAY(C444,2)</f>
        <v>6</v>
      </c>
      <c r="R444" s="0" t="n">
        <f aca="false">ROUNDDOWN(((INT(C444)+MOD(D444,1))-(INT(I444)+MOD(J444,1))),0)</f>
        <v>0</v>
      </c>
      <c r="S444" s="10"/>
    </row>
    <row r="445" customFormat="false" ht="97.15" hidden="false" customHeight="false" outlineLevel="0" collapsed="false">
      <c r="A445" s="8" t="s">
        <v>792</v>
      </c>
      <c r="B445" s="22" t="s">
        <v>793</v>
      </c>
      <c r="C445" s="18" t="n">
        <v>45822.7916666667</v>
      </c>
      <c r="D445" s="19" t="n">
        <v>45822.7916666667</v>
      </c>
      <c r="E445" s="18" t="n">
        <v>45823.75</v>
      </c>
      <c r="F445" s="19" t="n">
        <v>45823.75</v>
      </c>
      <c r="G445" s="20" t="n">
        <v>10000</v>
      </c>
      <c r="H445" s="8" t="n">
        <v>15</v>
      </c>
      <c r="I445" s="10" t="n">
        <v>45821</v>
      </c>
      <c r="J445" s="11" t="n">
        <v>0.486990740741019</v>
      </c>
      <c r="K445" s="1" t="str">
        <f aca="false">IF(L445&gt;24,     IF(H445=2,"Couple Extended Day","Extended Day"), IF(L445&lt;=12,     IF(AND(MOD(D445,1)&gt;=TIME(6,0,0),MOD(D445,1)&lt;TIME(18,0,0)),         IF(H445=2,"Couple Half Day","12H Day"),         IF(H445=2,"Couple Half Night","12H Night")), IF(L445&lt;=24,     IF(AND(MOD(D445,1)&gt;=TIME(6,0,0),MOD(D445,1)&lt;TIME(18,0,0)),         IF(H445=2,"Couple Full Day","24H Day"),         IF(H445=2,"Couple Full Night","24H Night")), "Check Data")))</f>
        <v>24H Night</v>
      </c>
      <c r="L445" s="12" t="n">
        <f aca="false">((INT(E445)+MOD(F445,1))-(INT(C445)+MOD(D445,1)))*24</f>
        <v>22.9999999990105</v>
      </c>
      <c r="M445" s="1" t="n">
        <f aca="false">IFERROR(INDEX(Sheet3!$B$2:$B$500,MATCH(1,(INT(C445)+MOD(D445,1)&lt;INT(Sheet3!$A$2:$A$500)+TIME(18,0,0))*(INT(E445)+MOD(F445,1)&gt;=INT(Sheet3!$A$2:$A$500)),0)),0)</f>
        <v>0</v>
      </c>
      <c r="N445" s="1" t="n">
        <f aca="false">IF(OR( AND(Q445=6,D445&gt;=TIME(17,0,0),OR(K445="12H Night",K445="Couple Half Night",K445="24H Night",K445="Couple Full Night")), AND(Q445=7,D445&gt;=TIME(6,0,0),D445&lt;TIME(12,0,0),OR(K445="12H Day",K445="Couple Half Day",K445="24H Day",K445="Couple Full Day")) ),1,0)</f>
        <v>1</v>
      </c>
      <c r="O445" s="1" t="n">
        <f aca="false">IF(OR( AND(MONTH(C445)=12,DAY(C445)&gt;=26), AND(MONTH(C445)=4,DAY(C445)&gt;=15), MONTH(C445)=5, AND(MONTH(C445)=6,DAY(C445)&lt;=10) ),1,0)</f>
        <v>0</v>
      </c>
      <c r="P445" s="1" t="str">
        <f aca="false">IF(OR(MONTH(C445)=3,MONTH(C445)=4,MONTH(C445)=5,MONTH(C445)=6), "Summer", IF(OR(MONTH(C445)=7,MONTH(C445)=8,MONTH(C445)=9,MONTH(C445)=10), "Monsoon", "Winter"))</f>
        <v>Summer</v>
      </c>
      <c r="Q445" s="1" t="n">
        <f aca="false">WEEKDAY(C445,2)</f>
        <v>6</v>
      </c>
      <c r="R445" s="0" t="n">
        <f aca="false">ROUNDDOWN(((INT(C445)+MOD(D445,1))-(INT(I445)+MOD(J445,1))),0)</f>
        <v>1</v>
      </c>
      <c r="S445" s="10"/>
    </row>
    <row r="446" customFormat="false" ht="109.15" hidden="false" customHeight="false" outlineLevel="0" collapsed="false">
      <c r="A446" s="8" t="s">
        <v>794</v>
      </c>
      <c r="B446" s="22" t="s">
        <v>795</v>
      </c>
      <c r="C446" s="18" t="n">
        <v>45825.7916666667</v>
      </c>
      <c r="D446" s="19" t="n">
        <v>45825.7916666667</v>
      </c>
      <c r="E446" s="18" t="n">
        <v>45826.75</v>
      </c>
      <c r="F446" s="19" t="n">
        <v>45826.75</v>
      </c>
      <c r="G446" s="20" t="n">
        <v>4500</v>
      </c>
      <c r="H446" s="8" t="n">
        <v>10</v>
      </c>
      <c r="I446" s="10" t="n">
        <v>45823</v>
      </c>
      <c r="J446" s="11" t="n">
        <v>0.672303240738982</v>
      </c>
      <c r="K446" s="1" t="str">
        <f aca="false">IF(L446&gt;24,     IF(H446=2,"Couple Extended Day","Extended Day"), IF(L446&lt;=12,     IF(AND(MOD(D446,1)&gt;=TIME(6,0,0),MOD(D446,1)&lt;TIME(18,0,0)),         IF(H446=2,"Couple Half Day","12H Day"),         IF(H446=2,"Couple Half Night","12H Night")), IF(L446&lt;=24,     IF(AND(MOD(D446,1)&gt;=TIME(6,0,0),MOD(D446,1)&lt;TIME(18,0,0)),         IF(H446=2,"Couple Full Day","24H Day"),         IF(H446=2,"Couple Full Night","24H Night")), "Check Data")))</f>
        <v>24H Night</v>
      </c>
      <c r="L446" s="12" t="n">
        <f aca="false">((INT(E446)+MOD(F446,1))-(INT(C446)+MOD(D446,1)))*24</f>
        <v>22.9999999990105</v>
      </c>
      <c r="M446" s="1" t="n">
        <f aca="false">IFERROR(INDEX(Sheet3!$B$2:$B$500,MATCH(1,(INT(C446)+MOD(D446,1)&lt;INT(Sheet3!$A$2:$A$500)+TIME(18,0,0))*(INT(E446)+MOD(F446,1)&gt;=INT(Sheet3!$A$2:$A$500)),0)),0)</f>
        <v>0</v>
      </c>
      <c r="N446" s="1" t="n">
        <f aca="false">IF(OR( AND(Q446=6,D446&gt;=TIME(17,0,0),OR(K446="12H Night",K446="Couple Half Night",K446="24H Night",K446="Couple Full Night")), AND(Q446=7,D446&gt;=TIME(6,0,0),D446&lt;TIME(12,0,0),OR(K446="12H Day",K446="Couple Half Day",K446="24H Day",K446="Couple Full Day")) ),1,0)</f>
        <v>0</v>
      </c>
      <c r="O446" s="1" t="n">
        <f aca="false">IF(OR( AND(MONTH(C446)=12,DAY(C446)&gt;=26), AND(MONTH(C446)=4,DAY(C446)&gt;=15), MONTH(C446)=5, AND(MONTH(C446)=6,DAY(C446)&lt;=10) ),1,0)</f>
        <v>0</v>
      </c>
      <c r="P446" s="1" t="str">
        <f aca="false">IF(OR(MONTH(C446)=3,MONTH(C446)=4,MONTH(C446)=5,MONTH(C446)=6), "Summer", IF(OR(MONTH(C446)=7,MONTH(C446)=8,MONTH(C446)=9,MONTH(C446)=10), "Monsoon", "Winter"))</f>
        <v>Summer</v>
      </c>
      <c r="Q446" s="1" t="n">
        <f aca="false">WEEKDAY(C446,2)</f>
        <v>2</v>
      </c>
      <c r="R446" s="0" t="n">
        <f aca="false">ROUNDDOWN(((INT(C446)+MOD(D446,1))-(INT(I446)+MOD(J446,1))),0)</f>
        <v>2</v>
      </c>
      <c r="S446" s="10"/>
    </row>
    <row r="447" customFormat="false" ht="109.15" hidden="false" customHeight="false" outlineLevel="0" collapsed="false">
      <c r="A447" s="8" t="s">
        <v>796</v>
      </c>
      <c r="B447" s="22" t="s">
        <v>797</v>
      </c>
      <c r="C447" s="18" t="n">
        <v>45827.375</v>
      </c>
      <c r="D447" s="19" t="n">
        <v>45827.375</v>
      </c>
      <c r="E447" s="18" t="n">
        <v>45827.75</v>
      </c>
      <c r="F447" s="19" t="n">
        <v>45827.75</v>
      </c>
      <c r="G447" s="20" t="n">
        <v>2400</v>
      </c>
      <c r="H447" s="8" t="n">
        <v>2</v>
      </c>
      <c r="I447" s="10" t="n">
        <v>45825</v>
      </c>
      <c r="J447" s="11" t="n">
        <v>0.581840277780428</v>
      </c>
      <c r="K447" s="1" t="str">
        <f aca="false">IF(L447&gt;24,     IF(H447=2,"Couple Extended Day","Extended Day"), IF(L447&lt;=12,     IF(AND(MOD(D447,1)&gt;=TIME(6,0,0),MOD(D447,1)&lt;TIME(18,0,0)),         IF(H447=2,"Couple Half Day","12H Day"),         IF(H447=2,"Couple Half Night","12H Night")), IF(L447&lt;=24,     IF(AND(MOD(D447,1)&gt;=TIME(6,0,0),MOD(D447,1)&lt;TIME(18,0,0)),         IF(H447=2,"Couple Full Day","24H Day"),         IF(H447=2,"Couple Full Night","24H Night")), "Check Data")))</f>
        <v>Couple Half Day</v>
      </c>
      <c r="L447" s="12" t="n">
        <f aca="false">((INT(E447)+MOD(F447,1))-(INT(C447)+MOD(D447,1)))*24</f>
        <v>9</v>
      </c>
      <c r="M447" s="1" t="n">
        <f aca="false">IFERROR(INDEX(Sheet3!$B$2:$B$500,MATCH(1,(INT(C447)+MOD(D447,1)&lt;INT(Sheet3!$A$2:$A$500)+TIME(18,0,0))*(INT(E447)+MOD(F447,1)&gt;=INT(Sheet3!$A$2:$A$500)),0)),0)</f>
        <v>0</v>
      </c>
      <c r="N447" s="1" t="n">
        <f aca="false">IF(OR( AND(Q447=6,D447&gt;=TIME(17,0,0),OR(K447="12H Night",K447="Couple Half Night",K447="24H Night",K447="Couple Full Night")), AND(Q447=7,D447&gt;=TIME(6,0,0),D447&lt;TIME(12,0,0),OR(K447="12H Day",K447="Couple Half Day",K447="24H Day",K447="Couple Full Day")) ),1,0)</f>
        <v>0</v>
      </c>
      <c r="O447" s="1" t="n">
        <f aca="false">IF(OR( AND(MONTH(C447)=12,DAY(C447)&gt;=26), AND(MONTH(C447)=4,DAY(C447)&gt;=15), MONTH(C447)=5, AND(MONTH(C447)=6,DAY(C447)&lt;=10) ),1,0)</f>
        <v>0</v>
      </c>
      <c r="P447" s="1" t="str">
        <f aca="false">IF(OR(MONTH(C447)=3,MONTH(C447)=4,MONTH(C447)=5,MONTH(C447)=6), "Summer", IF(OR(MONTH(C447)=7,MONTH(C447)=8,MONTH(C447)=9,MONTH(C447)=10), "Monsoon", "Winter"))</f>
        <v>Summer</v>
      </c>
      <c r="Q447" s="1" t="n">
        <f aca="false">WEEKDAY(C447,2)</f>
        <v>4</v>
      </c>
      <c r="R447" s="0" t="n">
        <f aca="false">ROUNDDOWN(((INT(C447)+MOD(D447,1))-(INT(I447)+MOD(J447,1))),0)</f>
        <v>1</v>
      </c>
      <c r="S447" s="10"/>
    </row>
    <row r="448" customFormat="false" ht="93.85" hidden="false" customHeight="false" outlineLevel="0" collapsed="false">
      <c r="A448" s="8" t="s">
        <v>798</v>
      </c>
      <c r="B448" s="22" t="s">
        <v>799</v>
      </c>
      <c r="C448" s="18" t="n">
        <v>45827.8333333333</v>
      </c>
      <c r="D448" s="19" t="n">
        <v>0</v>
      </c>
      <c r="E448" s="18" t="n">
        <v>45828.3333333333</v>
      </c>
      <c r="F448" s="19" t="n">
        <v>0</v>
      </c>
      <c r="G448" s="20" t="n">
        <v>2500</v>
      </c>
      <c r="H448" s="8" t="n">
        <v>10</v>
      </c>
      <c r="I448" s="10" t="n">
        <v>45827</v>
      </c>
      <c r="J448" s="11" t="n">
        <v>0.796793981484375</v>
      </c>
      <c r="K448" s="1" t="str">
        <f aca="false">IF(L448&gt;24,     IF(H448=2,"Couple Extended Day","Extended Day"), IF(L448&lt;=12,     IF(AND(MOD(D448,1)&gt;=TIME(6,0,0),MOD(D448,1)&lt;TIME(18,0,0)),         IF(H448=2,"Couple Half Day","12H Day"),         IF(H448=2,"Couple Half Night","12H Night")), IF(L448&lt;=24,     IF(AND(MOD(D448,1)&gt;=TIME(6,0,0),MOD(D448,1)&lt;TIME(18,0,0)),         IF(H448=2,"Couple Full Day","24H Day"),         IF(H448=2,"Couple Full Night","24H Night")), "Check Data")))</f>
        <v>24H Night</v>
      </c>
      <c r="L448" s="12" t="n">
        <f aca="false">((INT(E448)+MOD(F448,1))-(INT(C448)+MOD(D448,1)))*24</f>
        <v>24</v>
      </c>
      <c r="M448" s="1" t="n">
        <f aca="false">IFERROR(INDEX(Sheet3!$B$2:$B$500,MATCH(1,(INT(C448)+MOD(D448,1)&lt;INT(Sheet3!$A$2:$A$500)+TIME(18,0,0))*(INT(E448)+MOD(F448,1)&gt;=INT(Sheet3!$A$2:$A$500)),0)),0)</f>
        <v>0</v>
      </c>
      <c r="N448" s="1" t="n">
        <f aca="false">IF(OR( AND(Q448=6,D448&gt;=TIME(17,0,0),OR(K448="12H Night",K448="Couple Half Night",K448="24H Night",K448="Couple Full Night")), AND(Q448=7,D448&gt;=TIME(6,0,0),D448&lt;TIME(12,0,0),OR(K448="12H Day",K448="Couple Half Day",K448="24H Day",K448="Couple Full Day")) ),1,0)</f>
        <v>0</v>
      </c>
      <c r="O448" s="1" t="n">
        <f aca="false">IF(OR( AND(MONTH(C448)=12,DAY(C448)&gt;=26), AND(MONTH(C448)=4,DAY(C448)&gt;=15), MONTH(C448)=5, AND(MONTH(C448)=6,DAY(C448)&lt;=10) ),1,0)</f>
        <v>0</v>
      </c>
      <c r="P448" s="1" t="str">
        <f aca="false">IF(OR(MONTH(C448)=3,MONTH(C448)=4,MONTH(C448)=5,MONTH(C448)=6), "Summer", IF(OR(MONTH(C448)=7,MONTH(C448)=8,MONTH(C448)=9,MONTH(C448)=10), "Monsoon", "Winter"))</f>
        <v>Summer</v>
      </c>
      <c r="Q448" s="1" t="n">
        <f aca="false">WEEKDAY(C448,2)</f>
        <v>4</v>
      </c>
      <c r="R448" s="0" t="n">
        <f aca="false">ROUNDDOWN(((INT(C448)+MOD(D448,1))-(INT(I448)+MOD(J448,1))),0)</f>
        <v>-0</v>
      </c>
      <c r="S448" s="10"/>
    </row>
    <row r="449" customFormat="false" ht="133.3" hidden="false" customHeight="false" outlineLevel="0" collapsed="false">
      <c r="A449" s="8" t="s">
        <v>800</v>
      </c>
      <c r="B449" s="22" t="s">
        <v>801</v>
      </c>
      <c r="C449" s="18" t="n">
        <v>45828.375</v>
      </c>
      <c r="D449" s="19" t="n">
        <v>45828.375</v>
      </c>
      <c r="E449" s="18" t="n">
        <v>45828.75</v>
      </c>
      <c r="F449" s="19" t="n">
        <v>45828.75</v>
      </c>
      <c r="G449" s="20" t="n">
        <v>2000</v>
      </c>
      <c r="H449" s="8" t="n">
        <v>2</v>
      </c>
      <c r="I449" s="10" t="n">
        <v>45827</v>
      </c>
      <c r="J449" s="11" t="n">
        <v>0.773425925930498</v>
      </c>
      <c r="K449" s="1" t="str">
        <f aca="false">IF(L449&gt;24,     IF(H449=2,"Couple Extended Day","Extended Day"), IF(L449&lt;=12,     IF(AND(MOD(D449,1)&gt;=TIME(6,0,0),MOD(D449,1)&lt;TIME(18,0,0)),         IF(H449=2,"Couple Half Day","12H Day"),         IF(H449=2,"Couple Half Night","12H Night")), IF(L449&lt;=24,     IF(AND(MOD(D449,1)&gt;=TIME(6,0,0),MOD(D449,1)&lt;TIME(18,0,0)),         IF(H449=2,"Couple Full Day","24H Day"),         IF(H449=2,"Couple Full Night","24H Night")), "Check Data")))</f>
        <v>Couple Half Day</v>
      </c>
      <c r="L449" s="12" t="n">
        <f aca="false">((INT(E449)+MOD(F449,1))-(INT(C449)+MOD(D449,1)))*24</f>
        <v>9</v>
      </c>
      <c r="M449" s="1" t="n">
        <f aca="false">IFERROR(INDEX(Sheet3!$B$2:$B$500,MATCH(1,(INT(C449)+MOD(D449,1)&lt;INT(Sheet3!$A$2:$A$500)+TIME(18,0,0))*(INT(E449)+MOD(F449,1)&gt;=INT(Sheet3!$A$2:$A$500)),0)),0)</f>
        <v>0</v>
      </c>
      <c r="N449" s="1" t="n">
        <f aca="false">IF(OR( AND(Q449=6,D449&gt;=TIME(17,0,0),OR(K449="12H Night",K449="Couple Half Night",K449="24H Night",K449="Couple Full Night")), AND(Q449=7,D449&gt;=TIME(6,0,0),D449&lt;TIME(12,0,0),OR(K449="12H Day",K449="Couple Half Day",K449="24H Day",K449="Couple Full Day")) ),1,0)</f>
        <v>0</v>
      </c>
      <c r="O449" s="1" t="n">
        <f aca="false">IF(OR( AND(MONTH(C449)=12,DAY(C449)&gt;=26), AND(MONTH(C449)=4,DAY(C449)&gt;=15), MONTH(C449)=5, AND(MONTH(C449)=6,DAY(C449)&lt;=10) ),1,0)</f>
        <v>0</v>
      </c>
      <c r="P449" s="1" t="str">
        <f aca="false">IF(OR(MONTH(C449)=3,MONTH(C449)=4,MONTH(C449)=5,MONTH(C449)=6), "Summer", IF(OR(MONTH(C449)=7,MONTH(C449)=8,MONTH(C449)=9,MONTH(C449)=10), "Monsoon", "Winter"))</f>
        <v>Summer</v>
      </c>
      <c r="Q449" s="1" t="n">
        <f aca="false">WEEKDAY(C449,2)</f>
        <v>5</v>
      </c>
      <c r="R449" s="0" t="n">
        <f aca="false">ROUNDDOWN(((INT(C449)+MOD(D449,1))-(INT(I449)+MOD(J449,1))),0)</f>
        <v>0</v>
      </c>
      <c r="S449" s="10"/>
    </row>
    <row r="450" customFormat="false" ht="172.75" hidden="false" customHeight="false" outlineLevel="0" collapsed="false">
      <c r="A450" s="8" t="s">
        <v>802</v>
      </c>
      <c r="B450" s="22" t="s">
        <v>803</v>
      </c>
      <c r="C450" s="18" t="n">
        <v>45828.7916666667</v>
      </c>
      <c r="D450" s="19" t="n">
        <v>45828.7916666667</v>
      </c>
      <c r="E450" s="18" t="n">
        <v>45829.75</v>
      </c>
      <c r="F450" s="19" t="n">
        <v>45829.75</v>
      </c>
      <c r="G450" s="20" t="n">
        <v>4500</v>
      </c>
      <c r="H450" s="8" t="n">
        <v>8</v>
      </c>
      <c r="I450" s="10" t="n">
        <v>45813</v>
      </c>
      <c r="J450" s="11" t="n">
        <v>0.863680555557951</v>
      </c>
      <c r="K450" s="1" t="str">
        <f aca="false">IF(L450&gt;24,     IF(H450=2,"Couple Extended Day","Extended Day"), IF(L450&lt;=12,     IF(AND(MOD(D450,1)&gt;=TIME(6,0,0),MOD(D450,1)&lt;TIME(18,0,0)),         IF(H450=2,"Couple Half Day","12H Day"),         IF(H450=2,"Couple Half Night","12H Night")), IF(L450&lt;=24,     IF(AND(MOD(D450,1)&gt;=TIME(6,0,0),MOD(D450,1)&lt;TIME(18,0,0)),         IF(H450=2,"Couple Full Day","24H Day"),         IF(H450=2,"Couple Full Night","24H Night")), "Check Data")))</f>
        <v>24H Night</v>
      </c>
      <c r="L450" s="12" t="n">
        <f aca="false">((INT(E450)+MOD(F450,1))-(INT(C450)+MOD(D450,1)))*24</f>
        <v>22.9999999990105</v>
      </c>
      <c r="M450" s="1" t="n">
        <f aca="false">IFERROR(INDEX(Sheet3!$B$2:$B$500,MATCH(1,(INT(C450)+MOD(D450,1)&lt;INT(Sheet3!$A$2:$A$500)+TIME(18,0,0))*(INT(E450)+MOD(F450,1)&gt;=INT(Sheet3!$A$2:$A$500)),0)),0)</f>
        <v>0</v>
      </c>
      <c r="N450" s="1" t="n">
        <f aca="false">IF(OR( AND(Q450=6,D450&gt;=TIME(17,0,0),OR(K450="12H Night",K450="Couple Half Night",K450="24H Night",K450="Couple Full Night")), AND(Q450=7,D450&gt;=TIME(6,0,0),D450&lt;TIME(12,0,0),OR(K450="12H Day",K450="Couple Half Day",K450="24H Day",K450="Couple Full Day")) ),1,0)</f>
        <v>0</v>
      </c>
      <c r="O450" s="1" t="n">
        <f aca="false">IF(OR( AND(MONTH(C450)=12,DAY(C450)&gt;=26), AND(MONTH(C450)=4,DAY(C450)&gt;=15), MONTH(C450)=5, AND(MONTH(C450)=6,DAY(C450)&lt;=10) ),1,0)</f>
        <v>0</v>
      </c>
      <c r="P450" s="1" t="str">
        <f aca="false">IF(OR(MONTH(C450)=3,MONTH(C450)=4,MONTH(C450)=5,MONTH(C450)=6), "Summer", IF(OR(MONTH(C450)=7,MONTH(C450)=8,MONTH(C450)=9,MONTH(C450)=10), "Monsoon", "Winter"))</f>
        <v>Summer</v>
      </c>
      <c r="Q450" s="1" t="n">
        <f aca="false">WEEKDAY(C450,2)</f>
        <v>5</v>
      </c>
      <c r="R450" s="0" t="n">
        <f aca="false">ROUNDDOWN(((INT(C450)+MOD(D450,1))-(INT(I450)+MOD(J450,1))),0)</f>
        <v>14</v>
      </c>
      <c r="S450" s="10"/>
    </row>
    <row r="451" customFormat="false" ht="238.45" hidden="false" customHeight="false" outlineLevel="0" collapsed="false">
      <c r="A451" s="8" t="s">
        <v>804</v>
      </c>
      <c r="B451" s="22" t="s">
        <v>805</v>
      </c>
      <c r="C451" s="18" t="n">
        <v>45829.7916666667</v>
      </c>
      <c r="D451" s="19" t="n">
        <v>45829.7916666667</v>
      </c>
      <c r="E451" s="18" t="n">
        <v>45830.75</v>
      </c>
      <c r="F451" s="19" t="n">
        <v>45830.75</v>
      </c>
      <c r="G451" s="20" t="n">
        <v>0</v>
      </c>
      <c r="H451" s="8" t="n">
        <v>15</v>
      </c>
      <c r="I451" s="10" t="n">
        <v>45806</v>
      </c>
      <c r="J451" s="11" t="n">
        <v>0.906689814815764</v>
      </c>
      <c r="K451" s="1" t="str">
        <f aca="false">IF(L451&gt;24,     IF(H451=2,"Couple Extended Day","Extended Day"), IF(L451&lt;=12,     IF(AND(MOD(D451,1)&gt;=TIME(6,0,0),MOD(D451,1)&lt;TIME(18,0,0)),         IF(H451=2,"Couple Half Day","12H Day"),         IF(H451=2,"Couple Half Night","12H Night")), IF(L451&lt;=24,     IF(AND(MOD(D451,1)&gt;=TIME(6,0,0),MOD(D451,1)&lt;TIME(18,0,0)),         IF(H451=2,"Couple Full Day","24H Day"),         IF(H451=2,"Couple Full Night","24H Night")), "Check Data")))</f>
        <v>24H Night</v>
      </c>
      <c r="L451" s="12" t="n">
        <f aca="false">((INT(E451)+MOD(F451,1))-(INT(C451)+MOD(D451,1)))*24</f>
        <v>22.9999999990105</v>
      </c>
      <c r="M451" s="1" t="n">
        <f aca="false">IFERROR(INDEX(Sheet3!$B$2:$B$500,MATCH(1,(INT(C451)+MOD(D451,1)&lt;INT(Sheet3!$A$2:$A$500)+TIME(18,0,0))*(INT(E451)+MOD(F451,1)&gt;=INT(Sheet3!$A$2:$A$500)),0)),0)</f>
        <v>0</v>
      </c>
      <c r="N451" s="1" t="n">
        <f aca="false">IF(OR( AND(Q451=6,D451&gt;=TIME(17,0,0),OR(K451="12H Night",K451="Couple Half Night",K451="24H Night",K451="Couple Full Night")), AND(Q451=7,D451&gt;=TIME(6,0,0),D451&lt;TIME(12,0,0),OR(K451="12H Day",K451="Couple Half Day",K451="24H Day",K451="Couple Full Day")) ),1,0)</f>
        <v>1</v>
      </c>
      <c r="O451" s="1" t="n">
        <f aca="false">IF(OR( AND(MONTH(C451)=12,DAY(C451)&gt;=26), AND(MONTH(C451)=4,DAY(C451)&gt;=15), MONTH(C451)=5, AND(MONTH(C451)=6,DAY(C451)&lt;=10) ),1,0)</f>
        <v>0</v>
      </c>
      <c r="P451" s="1" t="str">
        <f aca="false">IF(OR(MONTH(C451)=3,MONTH(C451)=4,MONTH(C451)=5,MONTH(C451)=6), "Summer", IF(OR(MONTH(C451)=7,MONTH(C451)=8,MONTH(C451)=9,MONTH(C451)=10), "Monsoon", "Winter"))</f>
        <v>Summer</v>
      </c>
      <c r="Q451" s="1" t="n">
        <f aca="false">WEEKDAY(C451,2)</f>
        <v>6</v>
      </c>
      <c r="R451" s="0" t="n">
        <f aca="false">ROUNDDOWN(((INT(C451)+MOD(D451,1))-(INT(I451)+MOD(J451,1))),0)</f>
        <v>22</v>
      </c>
      <c r="S451" s="10"/>
    </row>
    <row r="452" customFormat="false" ht="199.05" hidden="false" customHeight="false" outlineLevel="0" collapsed="false">
      <c r="A452" s="8" t="s">
        <v>806</v>
      </c>
      <c r="B452" s="22" t="s">
        <v>807</v>
      </c>
      <c r="C452" s="18" t="n">
        <v>45830.8333333333</v>
      </c>
      <c r="D452" s="19" t="n">
        <v>0</v>
      </c>
      <c r="E452" s="18" t="n">
        <v>45831.75</v>
      </c>
      <c r="F452" s="19" t="n">
        <v>45831.75</v>
      </c>
      <c r="G452" s="20" t="n">
        <v>3500</v>
      </c>
      <c r="H452" s="8" t="n">
        <v>2</v>
      </c>
      <c r="I452" s="10" t="n">
        <v>45830</v>
      </c>
      <c r="J452" s="11" t="n">
        <v>0.578564814815764</v>
      </c>
      <c r="K452" s="1" t="str">
        <f aca="false">IF(L452&gt;24,     IF(H452=2,"Couple Extended Day","Extended Day"), IF(L452&lt;=12,     IF(AND(MOD(D452,1)&gt;=TIME(6,0,0),MOD(D452,1)&lt;TIME(18,0,0)),         IF(H452=2,"Couple Half Day","12H Day"),         IF(H452=2,"Couple Half Night","12H Night")), IF(L452&lt;=24,     IF(AND(MOD(D452,1)&gt;=TIME(6,0,0),MOD(D452,1)&lt;TIME(18,0,0)),         IF(H452=2,"Couple Full Day","24H Day"),         IF(H452=2,"Couple Full Night","24H Night")), "Check Data")))</f>
        <v>Couple Extended Day</v>
      </c>
      <c r="L452" s="12" t="n">
        <f aca="false">((INT(E452)+MOD(F452,1))-(INT(C452)+MOD(D452,1)))*24</f>
        <v>42</v>
      </c>
      <c r="M452" s="1" t="n">
        <f aca="false">IFERROR(INDEX(Sheet3!$B$2:$B$500,MATCH(1,(INT(C452)+MOD(D452,1)&lt;INT(Sheet3!$A$2:$A$500)+TIME(18,0,0))*(INT(E452)+MOD(F452,1)&gt;=INT(Sheet3!$A$2:$A$500)),0)),0)</f>
        <v>0</v>
      </c>
      <c r="N452" s="1" t="n">
        <f aca="false">IF(OR( AND(Q452=6,D452&gt;=TIME(17,0,0),OR(K452="12H Night",K452="Couple Half Night",K452="24H Night",K452="Couple Full Night")), AND(Q452=7,D452&gt;=TIME(6,0,0),D452&lt;TIME(12,0,0),OR(K452="12H Day",K452="Couple Half Day",K452="24H Day",K452="Couple Full Day")) ),1,0)</f>
        <v>0</v>
      </c>
      <c r="O452" s="1" t="n">
        <f aca="false">IF(OR( AND(MONTH(C452)=12,DAY(C452)&gt;=26), AND(MONTH(C452)=4,DAY(C452)&gt;=15), MONTH(C452)=5, AND(MONTH(C452)=6,DAY(C452)&lt;=10) ),1,0)</f>
        <v>0</v>
      </c>
      <c r="P452" s="1" t="str">
        <f aca="false">IF(OR(MONTH(C452)=3,MONTH(C452)=4,MONTH(C452)=5,MONTH(C452)=6), "Summer", IF(OR(MONTH(C452)=7,MONTH(C452)=8,MONTH(C452)=9,MONTH(C452)=10), "Monsoon", "Winter"))</f>
        <v>Summer</v>
      </c>
      <c r="Q452" s="1" t="n">
        <f aca="false">WEEKDAY(C452,2)</f>
        <v>7</v>
      </c>
      <c r="R452" s="0" t="n">
        <f aca="false">ROUNDDOWN(((INT(C452)+MOD(D452,1))-(INT(I452)+MOD(J452,1))),0)</f>
        <v>-0</v>
      </c>
      <c r="S452" s="10"/>
    </row>
    <row r="453" customFormat="false" ht="97.15" hidden="false" customHeight="false" outlineLevel="0" collapsed="false">
      <c r="A453" s="8" t="s">
        <v>808</v>
      </c>
      <c r="B453" s="22" t="s">
        <v>809</v>
      </c>
      <c r="C453" s="18" t="n">
        <v>45831.7916666667</v>
      </c>
      <c r="D453" s="19" t="n">
        <v>45831.7916666667</v>
      </c>
      <c r="E453" s="18" t="n">
        <v>45832.75</v>
      </c>
      <c r="F453" s="19" t="n">
        <v>45832.75</v>
      </c>
      <c r="G453" s="20" t="n">
        <v>4000</v>
      </c>
      <c r="H453" s="8" t="n">
        <v>15</v>
      </c>
      <c r="I453" s="10" t="n">
        <v>45827</v>
      </c>
      <c r="J453" s="11" t="n">
        <v>0.899583333331979</v>
      </c>
      <c r="K453" s="1" t="str">
        <f aca="false">IF(L453&gt;24,     IF(H453=2,"Couple Extended Day","Extended Day"), IF(L453&lt;=12,     IF(AND(MOD(D453,1)&gt;=TIME(6,0,0),MOD(D453,1)&lt;TIME(18,0,0)),         IF(H453=2,"Couple Half Day","12H Day"),         IF(H453=2,"Couple Half Night","12H Night")), IF(L453&lt;=24,     IF(AND(MOD(D453,1)&gt;=TIME(6,0,0),MOD(D453,1)&lt;TIME(18,0,0)),         IF(H453=2,"Couple Full Day","24H Day"),         IF(H453=2,"Couple Full Night","24H Night")), "Check Data")))</f>
        <v>24H Night</v>
      </c>
      <c r="L453" s="12" t="n">
        <f aca="false">((INT(E453)+MOD(F453,1))-(INT(C453)+MOD(D453,1)))*24</f>
        <v>22.9999999990105</v>
      </c>
      <c r="M453" s="1" t="n">
        <f aca="false">IFERROR(INDEX(Sheet3!$B$2:$B$500,MATCH(1,(INT(C453)+MOD(D453,1)&lt;INT(Sheet3!$A$2:$A$500)+TIME(18,0,0))*(INT(E453)+MOD(F453,1)&gt;=INT(Sheet3!$A$2:$A$500)),0)),0)</f>
        <v>0</v>
      </c>
      <c r="N453" s="1" t="n">
        <f aca="false">IF(OR( AND(Q453=6,D453&gt;=TIME(17,0,0),OR(K453="12H Night",K453="Couple Half Night",K453="24H Night",K453="Couple Full Night")), AND(Q453=7,D453&gt;=TIME(6,0,0),D453&lt;TIME(12,0,0),OR(K453="12H Day",K453="Couple Half Day",K453="24H Day",K453="Couple Full Day")) ),1,0)</f>
        <v>0</v>
      </c>
      <c r="O453" s="1" t="n">
        <f aca="false">IF(OR( AND(MONTH(C453)=12,DAY(C453)&gt;=26), AND(MONTH(C453)=4,DAY(C453)&gt;=15), MONTH(C453)=5, AND(MONTH(C453)=6,DAY(C453)&lt;=10) ),1,0)</f>
        <v>0</v>
      </c>
      <c r="P453" s="1" t="str">
        <f aca="false">IF(OR(MONTH(C453)=3,MONTH(C453)=4,MONTH(C453)=5,MONTH(C453)=6), "Summer", IF(OR(MONTH(C453)=7,MONTH(C453)=8,MONTH(C453)=9,MONTH(C453)=10), "Monsoon", "Winter"))</f>
        <v>Summer</v>
      </c>
      <c r="Q453" s="1" t="n">
        <f aca="false">WEEKDAY(C453,2)</f>
        <v>1</v>
      </c>
      <c r="R453" s="0" t="n">
        <f aca="false">ROUNDDOWN(((INT(C453)+MOD(D453,1))-(INT(I453)+MOD(J453,1))),0)</f>
        <v>3</v>
      </c>
      <c r="S453" s="10"/>
    </row>
    <row r="454" customFormat="false" ht="97.15" hidden="false" customHeight="false" outlineLevel="0" collapsed="false">
      <c r="A454" s="8" t="s">
        <v>810</v>
      </c>
      <c r="B454" s="22" t="s">
        <v>811</v>
      </c>
      <c r="C454" s="18" t="n">
        <v>45835.375</v>
      </c>
      <c r="D454" s="19" t="n">
        <v>45835.375</v>
      </c>
      <c r="E454" s="18" t="n">
        <v>45835.75</v>
      </c>
      <c r="F454" s="19" t="n">
        <v>45835.75</v>
      </c>
      <c r="G454" s="20" t="n">
        <v>2300</v>
      </c>
      <c r="H454" s="8" t="n">
        <v>2</v>
      </c>
      <c r="I454" s="10" t="n">
        <v>45833</v>
      </c>
      <c r="J454" s="11" t="n">
        <v>0.534004629633275</v>
      </c>
      <c r="K454" s="1" t="str">
        <f aca="false">IF(L454&gt;24,     IF(H454=2,"Couple Extended Day","Extended Day"), IF(L454&lt;=12,     IF(AND(MOD(D454,1)&gt;=TIME(6,0,0),MOD(D454,1)&lt;TIME(18,0,0)),         IF(H454=2,"Couple Half Day","12H Day"),         IF(H454=2,"Couple Half Night","12H Night")), IF(L454&lt;=24,     IF(AND(MOD(D454,1)&gt;=TIME(6,0,0),MOD(D454,1)&lt;TIME(18,0,0)),         IF(H454=2,"Couple Full Day","24H Day"),         IF(H454=2,"Couple Full Night","24H Night")), "Check Data")))</f>
        <v>Couple Half Day</v>
      </c>
      <c r="L454" s="12" t="n">
        <f aca="false">((INT(E454)+MOD(F454,1))-(INT(C454)+MOD(D454,1)))*24</f>
        <v>9</v>
      </c>
      <c r="M454" s="1" t="n">
        <f aca="false">IFERROR(INDEX(Sheet3!$B$2:$B$500,MATCH(1,(INT(C454)+MOD(D454,1)&lt;INT(Sheet3!$A$2:$A$500)+TIME(18,0,0))*(INT(E454)+MOD(F454,1)&gt;=INT(Sheet3!$A$2:$A$500)),0)),0)</f>
        <v>0</v>
      </c>
      <c r="N454" s="1" t="n">
        <f aca="false">IF(OR( AND(Q454=6,D454&gt;=TIME(17,0,0),OR(K454="12H Night",K454="Couple Half Night",K454="24H Night",K454="Couple Full Night")), AND(Q454=7,D454&gt;=TIME(6,0,0),D454&lt;TIME(12,0,0),OR(K454="12H Day",K454="Couple Half Day",K454="24H Day",K454="Couple Full Day")) ),1,0)</f>
        <v>0</v>
      </c>
      <c r="O454" s="1" t="n">
        <f aca="false">IF(OR( AND(MONTH(C454)=12,DAY(C454)&gt;=26), AND(MONTH(C454)=4,DAY(C454)&gt;=15), MONTH(C454)=5, AND(MONTH(C454)=6,DAY(C454)&lt;=10) ),1,0)</f>
        <v>0</v>
      </c>
      <c r="P454" s="1" t="str">
        <f aca="false">IF(OR(MONTH(C454)=3,MONTH(C454)=4,MONTH(C454)=5,MONTH(C454)=6), "Summer", IF(OR(MONTH(C454)=7,MONTH(C454)=8,MONTH(C454)=9,MONTH(C454)=10), "Monsoon", "Winter"))</f>
        <v>Summer</v>
      </c>
      <c r="Q454" s="1" t="n">
        <f aca="false">WEEKDAY(C454,2)</f>
        <v>5</v>
      </c>
      <c r="R454" s="0" t="n">
        <f aca="false">ROUNDDOWN(((INT(C454)+MOD(D454,1))-(INT(I454)+MOD(J454,1))),0)</f>
        <v>1</v>
      </c>
      <c r="S454" s="10"/>
    </row>
    <row r="455" customFormat="false" ht="93.85" hidden="false" customHeight="false" outlineLevel="0" collapsed="false">
      <c r="A455" s="8" t="s">
        <v>812</v>
      </c>
      <c r="B455" s="22" t="s">
        <v>813</v>
      </c>
      <c r="C455" s="18" t="n">
        <v>45836.8333333333</v>
      </c>
      <c r="D455" s="19" t="n">
        <v>0</v>
      </c>
      <c r="E455" s="18" t="n">
        <v>45837.3333333333</v>
      </c>
      <c r="F455" s="19" t="n">
        <v>0</v>
      </c>
      <c r="G455" s="20" t="n">
        <v>3000</v>
      </c>
      <c r="H455" s="8" t="n">
        <v>15</v>
      </c>
      <c r="I455" s="10" t="n">
        <v>45835</v>
      </c>
      <c r="J455" s="11" t="n">
        <v>0.794143518520289</v>
      </c>
      <c r="K455" s="1" t="str">
        <f aca="false">IF(L455&gt;24,     IF(H455=2,"Couple Extended Day","Extended Day"), IF(L455&lt;=12,     IF(AND(MOD(D455,1)&gt;=TIME(6,0,0),MOD(D455,1)&lt;TIME(18,0,0)),         IF(H455=2,"Couple Half Day","12H Day"),         IF(H455=2,"Couple Half Night","12H Night")), IF(L455&lt;=24,     IF(AND(MOD(D455,1)&gt;=TIME(6,0,0),MOD(D455,1)&lt;TIME(18,0,0)),         IF(H455=2,"Couple Full Day","24H Day"),         IF(H455=2,"Couple Full Night","24H Night")), "Check Data")))</f>
        <v>24H Night</v>
      </c>
      <c r="L455" s="12" t="n">
        <f aca="false">((INT(E455)+MOD(F455,1))-(INT(C455)+MOD(D455,1)))*24</f>
        <v>24</v>
      </c>
      <c r="M455" s="1" t="n">
        <f aca="false">IFERROR(INDEX(Sheet3!$B$2:$B$500,MATCH(1,(INT(C455)+MOD(D455,1)&lt;INT(Sheet3!$A$2:$A$500)+TIME(18,0,0))*(INT(E455)+MOD(F455,1)&gt;=INT(Sheet3!$A$2:$A$500)),0)),0)</f>
        <v>0</v>
      </c>
      <c r="N455" s="1" t="n">
        <f aca="false">IF(OR( AND(Q455=6,D455&gt;=TIME(17,0,0),OR(K455="12H Night",K455="Couple Half Night",K455="24H Night",K455="Couple Full Night")), AND(Q455=7,D455&gt;=TIME(6,0,0),D455&lt;TIME(12,0,0),OR(K455="12H Day",K455="Couple Half Day",K455="24H Day",K455="Couple Full Day")) ),1,0)</f>
        <v>0</v>
      </c>
      <c r="O455" s="1" t="n">
        <f aca="false">IF(OR( AND(MONTH(C455)=12,DAY(C455)&gt;=26), AND(MONTH(C455)=4,DAY(C455)&gt;=15), MONTH(C455)=5, AND(MONTH(C455)=6,DAY(C455)&lt;=10) ),1,0)</f>
        <v>0</v>
      </c>
      <c r="P455" s="1" t="str">
        <f aca="false">IF(OR(MONTH(C455)=3,MONTH(C455)=4,MONTH(C455)=5,MONTH(C455)=6), "Summer", IF(OR(MONTH(C455)=7,MONTH(C455)=8,MONTH(C455)=9,MONTH(C455)=10), "Monsoon", "Winter"))</f>
        <v>Summer</v>
      </c>
      <c r="Q455" s="1" t="n">
        <f aca="false">WEEKDAY(C455,2)</f>
        <v>6</v>
      </c>
      <c r="R455" s="0" t="n">
        <f aca="false">ROUNDDOWN(((INT(C455)+MOD(D455,1))-(INT(I455)+MOD(J455,1))),0)</f>
        <v>0</v>
      </c>
      <c r="S455" s="10"/>
    </row>
    <row r="456" customFormat="false" ht="67.6" hidden="false" customHeight="false" outlineLevel="0" collapsed="false">
      <c r="A456" s="8" t="s">
        <v>814</v>
      </c>
      <c r="B456" s="22" t="s">
        <v>815</v>
      </c>
      <c r="C456" s="18" t="n">
        <v>45837.375</v>
      </c>
      <c r="D456" s="19" t="n">
        <v>45837.375</v>
      </c>
      <c r="E456" s="18" t="n">
        <v>45837.75</v>
      </c>
      <c r="F456" s="19" t="n">
        <v>45837.75</v>
      </c>
      <c r="G456" s="20" t="n">
        <v>3500</v>
      </c>
      <c r="H456" s="8" t="n">
        <v>4</v>
      </c>
      <c r="I456" s="10" t="n">
        <v>45835</v>
      </c>
      <c r="J456" s="11" t="n">
        <v>0.632152777776354</v>
      </c>
      <c r="K456" s="1" t="str">
        <f aca="false">IF(L456&gt;24,     IF(H456=2,"Couple Extended Day","Extended Day"), IF(L456&lt;=12,     IF(AND(MOD(D456,1)&gt;=TIME(6,0,0),MOD(D456,1)&lt;TIME(18,0,0)),         IF(H456=2,"Couple Half Day","12H Day"),         IF(H456=2,"Couple Half Night","12H Night")), IF(L456&lt;=24,     IF(AND(MOD(D456,1)&gt;=TIME(6,0,0),MOD(D456,1)&lt;TIME(18,0,0)),         IF(H456=2,"Couple Full Day","24H Day"),         IF(H456=2,"Couple Full Night","24H Night")), "Check Data")))</f>
        <v>12H Day</v>
      </c>
      <c r="L456" s="12" t="n">
        <f aca="false">((INT(E456)+MOD(F456,1))-(INT(C456)+MOD(D456,1)))*24</f>
        <v>9</v>
      </c>
      <c r="M456" s="1" t="n">
        <f aca="false">IFERROR(INDEX(Sheet3!$B$2:$B$500,MATCH(1,(INT(C456)+MOD(D456,1)&lt;INT(Sheet3!$A$2:$A$500)+TIME(18,0,0))*(INT(E456)+MOD(F456,1)&gt;=INT(Sheet3!$A$2:$A$500)),0)),0)</f>
        <v>0</v>
      </c>
      <c r="N456" s="1" t="n">
        <f aca="false">IF(OR( AND(Q456=6,D456&gt;=TIME(17,0,0),OR(K456="12H Night",K456="Couple Half Night",K456="24H Night",K456="Couple Full Night")), AND(Q456=7,D456&gt;=TIME(6,0,0),D456&lt;TIME(12,0,0),OR(K456="12H Day",K456="Couple Half Day",K456="24H Day",K456="Couple Full Day")) ),1,0)</f>
        <v>0</v>
      </c>
      <c r="O456" s="1" t="n">
        <f aca="false">IF(OR( AND(MONTH(C456)=12,DAY(C456)&gt;=26), AND(MONTH(C456)=4,DAY(C456)&gt;=15), MONTH(C456)=5, AND(MONTH(C456)=6,DAY(C456)&lt;=10) ),1,0)</f>
        <v>0</v>
      </c>
      <c r="P456" s="1" t="str">
        <f aca="false">IF(OR(MONTH(C456)=3,MONTH(C456)=4,MONTH(C456)=5,MONTH(C456)=6), "Summer", IF(OR(MONTH(C456)=7,MONTH(C456)=8,MONTH(C456)=9,MONTH(C456)=10), "Monsoon", "Winter"))</f>
        <v>Summer</v>
      </c>
      <c r="Q456" s="1" t="n">
        <f aca="false">WEEKDAY(C456,2)</f>
        <v>7</v>
      </c>
      <c r="R456" s="0" t="n">
        <f aca="false">ROUNDDOWN(((INT(C456)+MOD(D456,1))-(INT(I456)+MOD(J456,1))),0)</f>
        <v>1</v>
      </c>
      <c r="S456" s="10"/>
    </row>
    <row r="457" customFormat="false" ht="199.05" hidden="false" customHeight="false" outlineLevel="0" collapsed="false">
      <c r="A457" s="8" t="s">
        <v>816</v>
      </c>
      <c r="B457" s="22" t="s">
        <v>817</v>
      </c>
      <c r="C457" s="18" t="n">
        <v>45837.7916666667</v>
      </c>
      <c r="D457" s="19" t="n">
        <v>45837.7916666667</v>
      </c>
      <c r="E457" s="18" t="n">
        <v>45838.75</v>
      </c>
      <c r="F457" s="19" t="n">
        <v>45838.75</v>
      </c>
      <c r="G457" s="20" t="n">
        <v>3500</v>
      </c>
      <c r="H457" s="8" t="n">
        <v>10</v>
      </c>
      <c r="I457" s="10" t="n">
        <v>45837</v>
      </c>
      <c r="J457" s="11" t="n">
        <v>0.564016203701609</v>
      </c>
      <c r="K457" s="1" t="str">
        <f aca="false">IF(L457&gt;24,     IF(H457=2,"Couple Extended Day","Extended Day"), IF(L457&lt;=12,     IF(AND(MOD(D457,1)&gt;=TIME(6,0,0),MOD(D457,1)&lt;TIME(18,0,0)),         IF(H457=2,"Couple Half Day","12H Day"),         IF(H457=2,"Couple Half Night","12H Night")), IF(L457&lt;=24,     IF(AND(MOD(D457,1)&gt;=TIME(6,0,0),MOD(D457,1)&lt;TIME(18,0,0)),         IF(H457=2,"Couple Full Day","24H Day"),         IF(H457=2,"Couple Full Night","24H Night")), "Check Data")))</f>
        <v>24H Night</v>
      </c>
      <c r="L457" s="12" t="n">
        <f aca="false">((INT(E457)+MOD(F457,1))-(INT(C457)+MOD(D457,1)))*24</f>
        <v>22.9999999990105</v>
      </c>
      <c r="M457" s="1" t="n">
        <f aca="false">IFERROR(INDEX(Sheet3!$B$2:$B$500,MATCH(1,(INT(C457)+MOD(D457,1)&lt;INT(Sheet3!$A$2:$A$500)+TIME(18,0,0))*(INT(E457)+MOD(F457,1)&gt;=INT(Sheet3!$A$2:$A$500)),0)),0)</f>
        <v>0</v>
      </c>
      <c r="N457" s="1" t="n">
        <f aca="false">IF(OR( AND(Q457=6,D457&gt;=TIME(17,0,0),OR(K457="12H Night",K457="Couple Half Night",K457="24H Night",K457="Couple Full Night")), AND(Q457=7,D457&gt;=TIME(6,0,0),D457&lt;TIME(12,0,0),OR(K457="12H Day",K457="Couple Half Day",K457="24H Day",K457="Couple Full Day")) ),1,0)</f>
        <v>0</v>
      </c>
      <c r="O457" s="1" t="n">
        <f aca="false">IF(OR( AND(MONTH(C457)=12,DAY(C457)&gt;=26), AND(MONTH(C457)=4,DAY(C457)&gt;=15), MONTH(C457)=5, AND(MONTH(C457)=6,DAY(C457)&lt;=10) ),1,0)</f>
        <v>0</v>
      </c>
      <c r="P457" s="1" t="str">
        <f aca="false">IF(OR(MONTH(C457)=3,MONTH(C457)=4,MONTH(C457)=5,MONTH(C457)=6), "Summer", IF(OR(MONTH(C457)=7,MONTH(C457)=8,MONTH(C457)=9,MONTH(C457)=10), "Monsoon", "Winter"))</f>
        <v>Summer</v>
      </c>
      <c r="Q457" s="1" t="n">
        <f aca="false">WEEKDAY(C457,2)</f>
        <v>7</v>
      </c>
      <c r="R457" s="0" t="n">
        <f aca="false">ROUNDDOWN(((INT(C457)+MOD(D457,1))-(INT(I457)+MOD(J457,1))),0)</f>
        <v>0</v>
      </c>
      <c r="S457" s="10"/>
    </row>
    <row r="458" customFormat="false" ht="54.45" hidden="false" customHeight="false" outlineLevel="0" collapsed="false">
      <c r="A458" s="8" t="s">
        <v>818</v>
      </c>
      <c r="B458" s="22" t="s">
        <v>819</v>
      </c>
      <c r="C458" s="18" t="n">
        <v>45838.375</v>
      </c>
      <c r="D458" s="19" t="n">
        <v>45838.375</v>
      </c>
      <c r="E458" s="18" t="n">
        <v>45838.5416666667</v>
      </c>
      <c r="F458" s="19" t="n">
        <v>45838.5416666667</v>
      </c>
      <c r="G458" s="20" t="n">
        <v>500</v>
      </c>
      <c r="I458" s="10" t="n">
        <v>45838</v>
      </c>
      <c r="J458" s="11" t="n">
        <v>0.364641203705104</v>
      </c>
      <c r="K458" s="1" t="str">
        <f aca="false">IF(L458&gt;24,     IF(H458=2,"Couple Extended Day","Extended Day"), IF(L458&lt;=12,     IF(AND(MOD(D458,1)&gt;=TIME(6,0,0),MOD(D458,1)&lt;TIME(18,0,0)),         IF(H458=2,"Couple Half Day","12H Day"),         IF(H458=2,"Couple Half Night","12H Night")), IF(L458&lt;=24,     IF(AND(MOD(D458,1)&gt;=TIME(6,0,0),MOD(D458,1)&lt;TIME(18,0,0)),         IF(H458=2,"Couple Full Day","24H Day"),         IF(H458=2,"Couple Full Night","24H Night")), "Check Data")))</f>
        <v>12H Day</v>
      </c>
      <c r="L458" s="12" t="n">
        <f aca="false">((INT(E458)+MOD(F458,1))-(INT(C458)+MOD(D458,1)))*24</f>
        <v>4.00000000098953</v>
      </c>
      <c r="M458" s="1" t="n">
        <f aca="false">IFERROR(INDEX(Sheet3!$B$2:$B$500,MATCH(1,(INT(C458)+MOD(D458,1)&lt;INT(Sheet3!$A$2:$A$500)+TIME(18,0,0))*(INT(E458)+MOD(F458,1)&gt;=INT(Sheet3!$A$2:$A$500)),0)),0)</f>
        <v>0</v>
      </c>
      <c r="N458" s="1" t="n">
        <f aca="false">IF(OR( AND(Q458=6,D458&gt;=TIME(17,0,0),OR(K458="12H Night",K458="Couple Half Night",K458="24H Night",K458="Couple Full Night")), AND(Q458=7,D458&gt;=TIME(6,0,0),D458&lt;TIME(12,0,0),OR(K458="12H Day",K458="Couple Half Day",K458="24H Day",K458="Couple Full Day")) ),1,0)</f>
        <v>0</v>
      </c>
      <c r="O458" s="1" t="n">
        <f aca="false">IF(OR( AND(MONTH(C458)=12,DAY(C458)&gt;=26), AND(MONTH(C458)=4,DAY(C458)&gt;=15), MONTH(C458)=5, AND(MONTH(C458)=6,DAY(C458)&lt;=10) ),1,0)</f>
        <v>0</v>
      </c>
      <c r="P458" s="1" t="str">
        <f aca="false">IF(OR(MONTH(C458)=3,MONTH(C458)=4,MONTH(C458)=5,MONTH(C458)=6), "Summer", IF(OR(MONTH(C458)=7,MONTH(C458)=8,MONTH(C458)=9,MONTH(C458)=10), "Monsoon", "Winter"))</f>
        <v>Summer</v>
      </c>
      <c r="Q458" s="1" t="n">
        <f aca="false">WEEKDAY(C458,2)</f>
        <v>1</v>
      </c>
      <c r="R458" s="0" t="n">
        <f aca="false">ROUNDDOWN(((INT(C458)+MOD(D458,1))-(INT(I458)+MOD(J458,1))),0)</f>
        <v>0</v>
      </c>
      <c r="S458" s="10"/>
    </row>
    <row r="459" customFormat="false" ht="85.2" hidden="false" customHeight="false" outlineLevel="0" collapsed="false">
      <c r="A459" s="8" t="s">
        <v>820</v>
      </c>
      <c r="B459" s="22" t="s">
        <v>821</v>
      </c>
      <c r="C459" s="18" t="n">
        <v>45843.4166666667</v>
      </c>
      <c r="D459" s="19" t="n">
        <v>45843.4166666667</v>
      </c>
      <c r="E459" s="18" t="n">
        <v>45843.7083333333</v>
      </c>
      <c r="F459" s="19" t="n">
        <v>0</v>
      </c>
      <c r="G459" s="20" t="n">
        <v>2000</v>
      </c>
      <c r="H459" s="8" t="n">
        <v>2</v>
      </c>
      <c r="I459" s="10" t="n">
        <v>45842</v>
      </c>
      <c r="J459" s="11" t="n">
        <v>0.961909722223935</v>
      </c>
      <c r="K459" s="1" t="str">
        <f aca="false">IF(L459&gt;24,     IF(H459=2,"Couple Extended Day","Extended Day"), IF(L459&lt;=12,     IF(AND(MOD(D459,1)&gt;=TIME(6,0,0),MOD(D459,1)&lt;TIME(18,0,0)),         IF(H459=2,"Couple Half Day","12H Day"),         IF(H459=2,"Couple Half Night","12H Night")), IF(L459&lt;=24,     IF(AND(MOD(D459,1)&gt;=TIME(6,0,0),MOD(D459,1)&lt;TIME(18,0,0)),         IF(H459=2,"Couple Full Day","24H Day"),         IF(H459=2,"Couple Full Night","24H Night")), "Check Data")))</f>
        <v>Couple Half Day</v>
      </c>
      <c r="L459" s="12" t="n">
        <f aca="false">((INT(E459)+MOD(F459,1))-(INT(C459)+MOD(D459,1)))*24</f>
        <v>-10.0000000009895</v>
      </c>
      <c r="M459" s="1" t="n">
        <f aca="false">IFERROR(INDEX(Sheet3!$B$2:$B$500,MATCH(1,(INT(C459)+MOD(D459,1)&lt;INT(Sheet3!$A$2:$A$500)+TIME(18,0,0))*(INT(E459)+MOD(F459,1)&gt;=INT(Sheet3!$A$2:$A$500)),0)),0)</f>
        <v>0</v>
      </c>
      <c r="N459" s="1" t="n">
        <f aca="false">IF(OR( AND(Q459=6,D459&gt;=TIME(17,0,0),OR(K459="12H Night",K459="Couple Half Night",K459="24H Night",K459="Couple Full Night")), AND(Q459=7,D459&gt;=TIME(6,0,0),D459&lt;TIME(12,0,0),OR(K459="12H Day",K459="Couple Half Day",K459="24H Day",K459="Couple Full Day")) ),1,0)</f>
        <v>0</v>
      </c>
      <c r="O459" s="1" t="n">
        <f aca="false">IF(OR( AND(MONTH(C459)=12,DAY(C459)&gt;=26), AND(MONTH(C459)=4,DAY(C459)&gt;=15), MONTH(C459)=5, AND(MONTH(C459)=6,DAY(C459)&lt;=10) ),1,0)</f>
        <v>0</v>
      </c>
      <c r="P459" s="1" t="str">
        <f aca="false">IF(OR(MONTH(C459)=3,MONTH(C459)=4,MONTH(C459)=5,MONTH(C459)=6), "Summer", IF(OR(MONTH(C459)=7,MONTH(C459)=8,MONTH(C459)=9,MONTH(C459)=10), "Monsoon", "Winter"))</f>
        <v>Monsoon</v>
      </c>
      <c r="Q459" s="1" t="n">
        <f aca="false">WEEKDAY(C459,2)</f>
        <v>6</v>
      </c>
      <c r="R459" s="0" t="n">
        <f aca="false">ROUNDDOWN(((INT(C459)+MOD(D459,1))-(INT(I459)+MOD(J459,1))),0)</f>
        <v>0</v>
      </c>
      <c r="S459" s="10"/>
    </row>
    <row r="460" customFormat="false" ht="85.2" hidden="false" customHeight="false" outlineLevel="0" collapsed="false">
      <c r="A460" s="8" t="s">
        <v>822</v>
      </c>
      <c r="B460" s="22" t="s">
        <v>823</v>
      </c>
      <c r="C460" s="18" t="n">
        <v>45843.7916666667</v>
      </c>
      <c r="D460" s="19" t="n">
        <v>45843.7916666667</v>
      </c>
      <c r="E460" s="18" t="n">
        <v>45844.75</v>
      </c>
      <c r="F460" s="19" t="n">
        <v>45844.75</v>
      </c>
      <c r="G460" s="20" t="n">
        <v>5000</v>
      </c>
      <c r="H460" s="8" t="n">
        <v>15</v>
      </c>
      <c r="I460" s="10" t="n">
        <v>45832</v>
      </c>
      <c r="J460" s="11" t="n">
        <v>0.592893518522037</v>
      </c>
      <c r="K460" s="1" t="str">
        <f aca="false">IF(L460&gt;24,     IF(H460=2,"Couple Extended Day","Extended Day"), IF(L460&lt;=12,     IF(AND(MOD(D460,1)&gt;=TIME(6,0,0),MOD(D460,1)&lt;TIME(18,0,0)),         IF(H460=2,"Couple Half Day","12H Day"),         IF(H460=2,"Couple Half Night","12H Night")), IF(L460&lt;=24,     IF(AND(MOD(D460,1)&gt;=TIME(6,0,0),MOD(D460,1)&lt;TIME(18,0,0)),         IF(H460=2,"Couple Full Day","24H Day"),         IF(H460=2,"Couple Full Night","24H Night")), "Check Data")))</f>
        <v>24H Night</v>
      </c>
      <c r="L460" s="12" t="n">
        <f aca="false">((INT(E460)+MOD(F460,1))-(INT(C460)+MOD(D460,1)))*24</f>
        <v>22.9999999990105</v>
      </c>
      <c r="M460" s="1" t="n">
        <f aca="false">IFERROR(INDEX(Sheet3!$B$2:$B$500,MATCH(1,(INT(C460)+MOD(D460,1)&lt;INT(Sheet3!$A$2:$A$500)+TIME(18,0,0))*(INT(E460)+MOD(F460,1)&gt;=INT(Sheet3!$A$2:$A$500)),0)),0)</f>
        <v>0</v>
      </c>
      <c r="N460" s="1" t="n">
        <f aca="false">IF(OR( AND(Q460=6,D460&gt;=TIME(17,0,0),OR(K460="12H Night",K460="Couple Half Night",K460="24H Night",K460="Couple Full Night")), AND(Q460=7,D460&gt;=TIME(6,0,0),D460&lt;TIME(12,0,0),OR(K460="12H Day",K460="Couple Half Day",K460="24H Day",K460="Couple Full Day")) ),1,0)</f>
        <v>1</v>
      </c>
      <c r="O460" s="1" t="n">
        <f aca="false">IF(OR( AND(MONTH(C460)=12,DAY(C460)&gt;=26), AND(MONTH(C460)=4,DAY(C460)&gt;=15), MONTH(C460)=5, AND(MONTH(C460)=6,DAY(C460)&lt;=10) ),1,0)</f>
        <v>0</v>
      </c>
      <c r="P460" s="1" t="str">
        <f aca="false">IF(OR(MONTH(C460)=3,MONTH(C460)=4,MONTH(C460)=5,MONTH(C460)=6), "Summer", IF(OR(MONTH(C460)=7,MONTH(C460)=8,MONTH(C460)=9,MONTH(C460)=10), "Monsoon", "Winter"))</f>
        <v>Monsoon</v>
      </c>
      <c r="Q460" s="1" t="n">
        <f aca="false">WEEKDAY(C460,2)</f>
        <v>6</v>
      </c>
      <c r="R460" s="0" t="n">
        <f aca="false">ROUNDDOWN(((INT(C460)+MOD(D460,1))-(INT(I460)+MOD(J460,1))),0)</f>
        <v>11</v>
      </c>
      <c r="S460" s="10"/>
    </row>
    <row r="461" customFormat="false" ht="107" hidden="false" customHeight="false" outlineLevel="0" collapsed="false">
      <c r="A461" s="8" t="s">
        <v>824</v>
      </c>
      <c r="B461" s="22" t="s">
        <v>825</v>
      </c>
      <c r="C461" s="18" t="n">
        <v>45847.9583333333</v>
      </c>
      <c r="D461" s="19" t="n">
        <v>0</v>
      </c>
      <c r="E461" s="18" t="n">
        <v>45848.375</v>
      </c>
      <c r="F461" s="19" t="n">
        <v>45848.375</v>
      </c>
      <c r="G461" s="20" t="n">
        <v>2000</v>
      </c>
      <c r="H461" s="8" t="n">
        <v>8</v>
      </c>
      <c r="I461" s="10" t="n">
        <v>45847</v>
      </c>
      <c r="J461" s="11" t="n">
        <v>0.934780092589792</v>
      </c>
      <c r="K461" s="1" t="str">
        <f aca="false">IF(L461&gt;24,     IF(H461=2,"Couple Extended Day","Extended Day"), IF(L461&lt;=12,     IF(AND(MOD(D461,1)&gt;=TIME(6,0,0),MOD(D461,1)&lt;TIME(18,0,0)),         IF(H461=2,"Couple Half Day","12H Day"),         IF(H461=2,"Couple Half Night","12H Night")), IF(L461&lt;=24,     IF(AND(MOD(D461,1)&gt;=TIME(6,0,0),MOD(D461,1)&lt;TIME(18,0,0)),         IF(H461=2,"Couple Full Day","24H Day"),         IF(H461=2,"Couple Full Night","24H Night")), "Check Data")))</f>
        <v>Extended Day</v>
      </c>
      <c r="L461" s="12" t="n">
        <f aca="false">((INT(E461)+MOD(F461,1))-(INT(C461)+MOD(D461,1)))*24</f>
        <v>33</v>
      </c>
      <c r="M461" s="1" t="n">
        <f aca="false">IFERROR(INDEX(Sheet3!$B$2:$B$500,MATCH(1,(INT(C461)+MOD(D461,1)&lt;INT(Sheet3!$A$2:$A$500)+TIME(18,0,0))*(INT(E461)+MOD(F461,1)&gt;=INT(Sheet3!$A$2:$A$500)),0)),0)</f>
        <v>0</v>
      </c>
      <c r="N461" s="1" t="n">
        <f aca="false">IF(OR( AND(Q461=6,D461&gt;=TIME(17,0,0),OR(K461="12H Night",K461="Couple Half Night",K461="24H Night",K461="Couple Full Night")), AND(Q461=7,D461&gt;=TIME(6,0,0),D461&lt;TIME(12,0,0),OR(K461="12H Day",K461="Couple Half Day",K461="24H Day",K461="Couple Full Day")) ),1,0)</f>
        <v>0</v>
      </c>
      <c r="O461" s="1" t="n">
        <f aca="false">IF(OR( AND(MONTH(C461)=12,DAY(C461)&gt;=26), AND(MONTH(C461)=4,DAY(C461)&gt;=15), MONTH(C461)=5, AND(MONTH(C461)=6,DAY(C461)&lt;=10) ),1,0)</f>
        <v>0</v>
      </c>
      <c r="P461" s="1" t="str">
        <f aca="false">IF(OR(MONTH(C461)=3,MONTH(C461)=4,MONTH(C461)=5,MONTH(C461)=6), "Summer", IF(OR(MONTH(C461)=7,MONTH(C461)=8,MONTH(C461)=9,MONTH(C461)=10), "Monsoon", "Winter"))</f>
        <v>Monsoon</v>
      </c>
      <c r="Q461" s="1" t="n">
        <f aca="false">WEEKDAY(C461,2)</f>
        <v>3</v>
      </c>
      <c r="R461" s="0" t="n">
        <f aca="false">ROUNDDOWN(((INT(C461)+MOD(D461,1))-(INT(I461)+MOD(J461,1))),0)</f>
        <v>-0</v>
      </c>
      <c r="S461" s="10"/>
    </row>
    <row r="462" customFormat="false" ht="93.85" hidden="false" customHeight="false" outlineLevel="0" collapsed="false">
      <c r="A462" s="8" t="s">
        <v>826</v>
      </c>
      <c r="B462" s="22" t="s">
        <v>827</v>
      </c>
      <c r="C462" s="18" t="n">
        <v>45848.4166666667</v>
      </c>
      <c r="D462" s="19" t="n">
        <v>45848.4166666667</v>
      </c>
      <c r="E462" s="18" t="n">
        <v>45848.75</v>
      </c>
      <c r="F462" s="19" t="n">
        <v>45848.75</v>
      </c>
      <c r="G462" s="20" t="n">
        <v>2000</v>
      </c>
      <c r="H462" s="8" t="n">
        <v>2</v>
      </c>
      <c r="I462" s="10" t="n">
        <v>45844</v>
      </c>
      <c r="J462" s="11" t="n">
        <v>0.51179398148088</v>
      </c>
      <c r="K462" s="1" t="str">
        <f aca="false">IF(L462&gt;24,     IF(H462=2,"Couple Extended Day","Extended Day"), IF(L462&lt;=12,     IF(AND(MOD(D462,1)&gt;=TIME(6,0,0),MOD(D462,1)&lt;TIME(18,0,0)),         IF(H462=2,"Couple Half Day","12H Day"),         IF(H462=2,"Couple Half Night","12H Night")), IF(L462&lt;=24,     IF(AND(MOD(D462,1)&gt;=TIME(6,0,0),MOD(D462,1)&lt;TIME(18,0,0)),         IF(H462=2,"Couple Full Day","24H Day"),         IF(H462=2,"Couple Full Night","24H Night")), "Check Data")))</f>
        <v>Couple Half Day</v>
      </c>
      <c r="L462" s="12" t="n">
        <f aca="false">((INT(E462)+MOD(F462,1))-(INT(C462)+MOD(D462,1)))*24</f>
        <v>7.99999999901047</v>
      </c>
      <c r="M462" s="1" t="n">
        <f aca="false">IFERROR(INDEX(Sheet3!$B$2:$B$500,MATCH(1,(INT(C462)+MOD(D462,1)&lt;INT(Sheet3!$A$2:$A$500)+TIME(18,0,0))*(INT(E462)+MOD(F462,1)&gt;=INT(Sheet3!$A$2:$A$500)),0)),0)</f>
        <v>0</v>
      </c>
      <c r="N462" s="1" t="n">
        <f aca="false">IF(OR( AND(Q462=6,D462&gt;=TIME(17,0,0),OR(K462="12H Night",K462="Couple Half Night",K462="24H Night",K462="Couple Full Night")), AND(Q462=7,D462&gt;=TIME(6,0,0),D462&lt;TIME(12,0,0),OR(K462="12H Day",K462="Couple Half Day",K462="24H Day",K462="Couple Full Day")) ),1,0)</f>
        <v>0</v>
      </c>
      <c r="O462" s="1" t="n">
        <f aca="false">IF(OR( AND(MONTH(C462)=12,DAY(C462)&gt;=26), AND(MONTH(C462)=4,DAY(C462)&gt;=15), MONTH(C462)=5, AND(MONTH(C462)=6,DAY(C462)&lt;=10) ),1,0)</f>
        <v>0</v>
      </c>
      <c r="P462" s="1" t="str">
        <f aca="false">IF(OR(MONTH(C462)=3,MONTH(C462)=4,MONTH(C462)=5,MONTH(C462)=6), "Summer", IF(OR(MONTH(C462)=7,MONTH(C462)=8,MONTH(C462)=9,MONTH(C462)=10), "Monsoon", "Winter"))</f>
        <v>Monsoon</v>
      </c>
      <c r="Q462" s="1" t="n">
        <f aca="false">WEEKDAY(C462,2)</f>
        <v>4</v>
      </c>
      <c r="R462" s="0" t="n">
        <f aca="false">ROUNDDOWN(((INT(C462)+MOD(D462,1))-(INT(I462)+MOD(J462,1))),0)</f>
        <v>3</v>
      </c>
      <c r="S462" s="10"/>
    </row>
    <row r="463" customFormat="false" ht="107" hidden="false" customHeight="false" outlineLevel="0" collapsed="false">
      <c r="A463" s="8" t="s">
        <v>828</v>
      </c>
      <c r="B463" s="22" t="s">
        <v>829</v>
      </c>
      <c r="C463" s="18" t="n">
        <v>45849.4583333333</v>
      </c>
      <c r="D463" s="19" t="n">
        <v>0</v>
      </c>
      <c r="E463" s="18" t="n">
        <v>45849.75</v>
      </c>
      <c r="F463" s="19" t="n">
        <v>45849.75</v>
      </c>
      <c r="G463" s="20" t="n">
        <v>2000</v>
      </c>
      <c r="H463" s="8" t="n">
        <v>2</v>
      </c>
      <c r="I463" s="10" t="n">
        <v>45849</v>
      </c>
      <c r="J463" s="11" t="n">
        <v>0.45391203703184</v>
      </c>
      <c r="K463" s="1" t="str">
        <f aca="false">IF(L463&gt;24,     IF(H463=2,"Couple Extended Day","Extended Day"), IF(L463&lt;=12,     IF(AND(MOD(D463,1)&gt;=TIME(6,0,0),MOD(D463,1)&lt;TIME(18,0,0)),         IF(H463=2,"Couple Half Day","12H Day"),         IF(H463=2,"Couple Half Night","12H Night")), IF(L463&lt;=24,     IF(AND(MOD(D463,1)&gt;=TIME(6,0,0),MOD(D463,1)&lt;TIME(18,0,0)),         IF(H463=2,"Couple Full Day","24H Day"),         IF(H463=2,"Couple Full Night","24H Night")), "Check Data")))</f>
        <v>Couple Full Night</v>
      </c>
      <c r="L463" s="12" t="n">
        <f aca="false">((INT(E463)+MOD(F463,1))-(INT(C463)+MOD(D463,1)))*24</f>
        <v>18</v>
      </c>
      <c r="M463" s="1" t="n">
        <f aca="false">IFERROR(INDEX(Sheet3!$B$2:$B$500,MATCH(1,(INT(C463)+MOD(D463,1)&lt;INT(Sheet3!$A$2:$A$500)+TIME(18,0,0))*(INT(E463)+MOD(F463,1)&gt;=INT(Sheet3!$A$2:$A$500)),0)),0)</f>
        <v>0</v>
      </c>
      <c r="N463" s="1" t="n">
        <f aca="false">IF(OR( AND(Q463=6,D463&gt;=TIME(17,0,0),OR(K463="12H Night",K463="Couple Half Night",K463="24H Night",K463="Couple Full Night")), AND(Q463=7,D463&gt;=TIME(6,0,0),D463&lt;TIME(12,0,0),OR(K463="12H Day",K463="Couple Half Day",K463="24H Day",K463="Couple Full Day")) ),1,0)</f>
        <v>0</v>
      </c>
      <c r="O463" s="1" t="n">
        <f aca="false">IF(OR( AND(MONTH(C463)=12,DAY(C463)&gt;=26), AND(MONTH(C463)=4,DAY(C463)&gt;=15), MONTH(C463)=5, AND(MONTH(C463)=6,DAY(C463)&lt;=10) ),1,0)</f>
        <v>0</v>
      </c>
      <c r="P463" s="1" t="str">
        <f aca="false">IF(OR(MONTH(C463)=3,MONTH(C463)=4,MONTH(C463)=5,MONTH(C463)=6), "Summer", IF(OR(MONTH(C463)=7,MONTH(C463)=8,MONTH(C463)=9,MONTH(C463)=10), "Monsoon", "Winter"))</f>
        <v>Monsoon</v>
      </c>
      <c r="Q463" s="1" t="n">
        <f aca="false">WEEKDAY(C463,2)</f>
        <v>5</v>
      </c>
      <c r="R463" s="0" t="n">
        <f aca="false">ROUNDDOWN(((INT(C463)+MOD(D463,1))-(INT(I463)+MOD(J463,1))),0)</f>
        <v>-0</v>
      </c>
      <c r="S463" s="10"/>
    </row>
    <row r="464" customFormat="false" ht="120.15" hidden="false" customHeight="false" outlineLevel="0" collapsed="false">
      <c r="A464" s="8" t="s">
        <v>830</v>
      </c>
      <c r="B464" s="22" t="s">
        <v>831</v>
      </c>
      <c r="C464" s="18" t="n">
        <v>45850.375</v>
      </c>
      <c r="D464" s="19" t="n">
        <v>45850.375</v>
      </c>
      <c r="E464" s="18" t="n">
        <v>45850.75</v>
      </c>
      <c r="F464" s="19" t="n">
        <v>45850.75</v>
      </c>
      <c r="G464" s="20" t="n">
        <v>2000</v>
      </c>
      <c r="H464" s="8" t="n">
        <v>2</v>
      </c>
      <c r="I464" s="10" t="n">
        <v>45849</v>
      </c>
      <c r="J464" s="11" t="n">
        <v>0.797152777777234</v>
      </c>
      <c r="K464" s="1" t="str">
        <f aca="false">IF(L464&gt;24,     IF(H464=2,"Couple Extended Day","Extended Day"), IF(L464&lt;=12,     IF(AND(MOD(D464,1)&gt;=TIME(6,0,0),MOD(D464,1)&lt;TIME(18,0,0)),         IF(H464=2,"Couple Half Day","12H Day"),         IF(H464=2,"Couple Half Night","12H Night")), IF(L464&lt;=24,     IF(AND(MOD(D464,1)&gt;=TIME(6,0,0),MOD(D464,1)&lt;TIME(18,0,0)),         IF(H464=2,"Couple Full Day","24H Day"),         IF(H464=2,"Couple Full Night","24H Night")), "Check Data")))</f>
        <v>Couple Half Day</v>
      </c>
      <c r="L464" s="12" t="n">
        <f aca="false">((INT(E464)+MOD(F464,1))-(INT(C464)+MOD(D464,1)))*24</f>
        <v>9</v>
      </c>
      <c r="M464" s="1" t="n">
        <f aca="false">IFERROR(INDEX(Sheet3!$B$2:$B$500,MATCH(1,(INT(C464)+MOD(D464,1)&lt;INT(Sheet3!$A$2:$A$500)+TIME(18,0,0))*(INT(E464)+MOD(F464,1)&gt;=INT(Sheet3!$A$2:$A$500)),0)),0)</f>
        <v>0</v>
      </c>
      <c r="N464" s="1" t="n">
        <f aca="false">IF(OR( AND(Q464=6,D464&gt;=TIME(17,0,0),OR(K464="12H Night",K464="Couple Half Night",K464="24H Night",K464="Couple Full Night")), AND(Q464=7,D464&gt;=TIME(6,0,0),D464&lt;TIME(12,0,0),OR(K464="12H Day",K464="Couple Half Day",K464="24H Day",K464="Couple Full Day")) ),1,0)</f>
        <v>0</v>
      </c>
      <c r="O464" s="1" t="n">
        <f aca="false">IF(OR( AND(MONTH(C464)=12,DAY(C464)&gt;=26), AND(MONTH(C464)=4,DAY(C464)&gt;=15), MONTH(C464)=5, AND(MONTH(C464)=6,DAY(C464)&lt;=10) ),1,0)</f>
        <v>0</v>
      </c>
      <c r="P464" s="1" t="str">
        <f aca="false">IF(OR(MONTH(C464)=3,MONTH(C464)=4,MONTH(C464)=5,MONTH(C464)=6), "Summer", IF(OR(MONTH(C464)=7,MONTH(C464)=8,MONTH(C464)=9,MONTH(C464)=10), "Monsoon", "Winter"))</f>
        <v>Monsoon</v>
      </c>
      <c r="Q464" s="1" t="n">
        <f aca="false">WEEKDAY(C464,2)</f>
        <v>6</v>
      </c>
      <c r="R464" s="0" t="n">
        <f aca="false">ROUNDDOWN(((INT(C464)+MOD(D464,1))-(INT(I464)+MOD(J464,1))),0)</f>
        <v>0</v>
      </c>
      <c r="S464" s="10"/>
    </row>
    <row r="465" customFormat="false" ht="85.2" hidden="false" customHeight="false" outlineLevel="0" collapsed="false">
      <c r="A465" s="8" t="s">
        <v>832</v>
      </c>
      <c r="B465" s="22" t="s">
        <v>833</v>
      </c>
      <c r="C465" s="18" t="n">
        <v>45850.7916666667</v>
      </c>
      <c r="D465" s="19" t="n">
        <v>45850.7916666667</v>
      </c>
      <c r="E465" s="18" t="n">
        <v>45851.2916666667</v>
      </c>
      <c r="F465" s="19" t="n">
        <v>45851.2916666667</v>
      </c>
      <c r="G465" s="20" t="n">
        <v>3000</v>
      </c>
      <c r="H465" s="8" t="n">
        <v>12</v>
      </c>
      <c r="I465" s="10" t="n">
        <v>45841</v>
      </c>
      <c r="J465" s="11" t="n">
        <v>0.847372685180741</v>
      </c>
      <c r="K465" s="1" t="str">
        <f aca="false">IF(L465&gt;24,     IF(H465=2,"Couple Extended Day","Extended Day"), IF(L465&lt;=12,     IF(AND(MOD(D465,1)&gt;=TIME(6,0,0),MOD(D465,1)&lt;TIME(18,0,0)),         IF(H465=2,"Couple Half Day","12H Day"),         IF(H465=2,"Couple Half Night","12H Night")), IF(L465&lt;=24,     IF(AND(MOD(D465,1)&gt;=TIME(6,0,0),MOD(D465,1)&lt;TIME(18,0,0)),         IF(H465=2,"Couple Full Day","24H Day"),         IF(H465=2,"Couple Full Night","24H Night")), "Check Data")))</f>
        <v>12H Night</v>
      </c>
      <c r="L465" s="12" t="n">
        <f aca="false">((INT(E465)+MOD(F465,1))-(INT(C465)+MOD(D465,1)))*24</f>
        <v>12</v>
      </c>
      <c r="M465" s="1" t="n">
        <f aca="false">IFERROR(INDEX(Sheet3!$B$2:$B$500,MATCH(1,(INT(C465)+MOD(D465,1)&lt;INT(Sheet3!$A$2:$A$500)+TIME(18,0,0))*(INT(E465)+MOD(F465,1)&gt;=INT(Sheet3!$A$2:$A$500)),0)),0)</f>
        <v>0</v>
      </c>
      <c r="N465" s="1" t="n">
        <f aca="false">IF(OR( AND(Q465=6,D465&gt;=TIME(17,0,0),OR(K465="12H Night",K465="Couple Half Night",K465="24H Night",K465="Couple Full Night")), AND(Q465=7,D465&gt;=TIME(6,0,0),D465&lt;TIME(12,0,0),OR(K465="12H Day",K465="Couple Half Day",K465="24H Day",K465="Couple Full Day")) ),1,0)</f>
        <v>1</v>
      </c>
      <c r="O465" s="1" t="n">
        <f aca="false">IF(OR( AND(MONTH(C465)=12,DAY(C465)&gt;=26), AND(MONTH(C465)=4,DAY(C465)&gt;=15), MONTH(C465)=5, AND(MONTH(C465)=6,DAY(C465)&lt;=10) ),1,0)</f>
        <v>0</v>
      </c>
      <c r="P465" s="1" t="str">
        <f aca="false">IF(OR(MONTH(C465)=3,MONTH(C465)=4,MONTH(C465)=5,MONTH(C465)=6), "Summer", IF(OR(MONTH(C465)=7,MONTH(C465)=8,MONTH(C465)=9,MONTH(C465)=10), "Monsoon", "Winter"))</f>
        <v>Monsoon</v>
      </c>
      <c r="Q465" s="1" t="n">
        <f aca="false">WEEKDAY(C465,2)</f>
        <v>6</v>
      </c>
      <c r="R465" s="0" t="n">
        <f aca="false">ROUNDDOWN(((INT(C465)+MOD(D465,1))-(INT(I465)+MOD(J465,1))),0)</f>
        <v>8</v>
      </c>
      <c r="S465" s="10"/>
    </row>
    <row r="466" customFormat="false" ht="85.2" hidden="false" customHeight="false" outlineLevel="0" collapsed="false">
      <c r="A466" s="8" t="s">
        <v>834</v>
      </c>
      <c r="B466" s="22" t="s">
        <v>835</v>
      </c>
      <c r="C466" s="18" t="n">
        <v>45851.3333333333</v>
      </c>
      <c r="D466" s="19" t="n">
        <v>0</v>
      </c>
      <c r="E466" s="18" t="n">
        <v>45851.7916666667</v>
      </c>
      <c r="F466" s="19" t="n">
        <v>45851.7916666667</v>
      </c>
      <c r="G466" s="20" t="n">
        <v>4500</v>
      </c>
      <c r="H466" s="8" t="n">
        <v>15</v>
      </c>
      <c r="I466" s="10" t="n">
        <v>45839</v>
      </c>
      <c r="J466" s="11" t="n">
        <v>0.600057870367894</v>
      </c>
      <c r="K466" s="1" t="str">
        <f aca="false">IF(L466&gt;24,     IF(H466=2,"Couple Extended Day","Extended Day"), IF(L466&lt;=12,     IF(AND(MOD(D466,1)&gt;=TIME(6,0,0),MOD(D466,1)&lt;TIME(18,0,0)),         IF(H466=2,"Couple Half Day","12H Day"),         IF(H466=2,"Couple Half Night","12H Night")), IF(L466&lt;=24,     IF(AND(MOD(D466,1)&gt;=TIME(6,0,0),MOD(D466,1)&lt;TIME(18,0,0)),         IF(H466=2,"Couple Full Day","24H Day"),         IF(H466=2,"Couple Full Night","24H Night")), "Check Data")))</f>
        <v>24H Night</v>
      </c>
      <c r="L466" s="12" t="n">
        <f aca="false">((INT(E466)+MOD(F466,1))-(INT(C466)+MOD(D466,1)))*24</f>
        <v>19.0000000009895</v>
      </c>
      <c r="M466" s="1" t="n">
        <f aca="false">IFERROR(INDEX(Sheet3!$B$2:$B$500,MATCH(1,(INT(C466)+MOD(D466,1)&lt;INT(Sheet3!$A$2:$A$500)+TIME(18,0,0))*(INT(E466)+MOD(F466,1)&gt;=INT(Sheet3!$A$2:$A$500)),0)),0)</f>
        <v>0</v>
      </c>
      <c r="N466" s="1" t="n">
        <f aca="false">IF(OR( AND(Q466=6,D466&gt;=TIME(17,0,0),OR(K466="12H Night",K466="Couple Half Night",K466="24H Night",K466="Couple Full Night")), AND(Q466=7,D466&gt;=TIME(6,0,0),D466&lt;TIME(12,0,0),OR(K466="12H Day",K466="Couple Half Day",K466="24H Day",K466="Couple Full Day")) ),1,0)</f>
        <v>0</v>
      </c>
      <c r="O466" s="1" t="n">
        <f aca="false">IF(OR( AND(MONTH(C466)=12,DAY(C466)&gt;=26), AND(MONTH(C466)=4,DAY(C466)&gt;=15), MONTH(C466)=5, AND(MONTH(C466)=6,DAY(C466)&lt;=10) ),1,0)</f>
        <v>0</v>
      </c>
      <c r="P466" s="1" t="str">
        <f aca="false">IF(OR(MONTH(C466)=3,MONTH(C466)=4,MONTH(C466)=5,MONTH(C466)=6), "Summer", IF(OR(MONTH(C466)=7,MONTH(C466)=8,MONTH(C466)=9,MONTH(C466)=10), "Monsoon", "Winter"))</f>
        <v>Monsoon</v>
      </c>
      <c r="Q466" s="1" t="n">
        <f aca="false">WEEKDAY(C466,2)</f>
        <v>7</v>
      </c>
      <c r="R466" s="0" t="n">
        <f aca="false">ROUNDDOWN(((INT(C466)+MOD(D466,1))-(INT(I466)+MOD(J466,1))),0)</f>
        <v>11</v>
      </c>
      <c r="S466" s="10"/>
    </row>
    <row r="467" customFormat="false" ht="107" hidden="false" customHeight="false" outlineLevel="0" collapsed="false">
      <c r="A467" s="8" t="s">
        <v>836</v>
      </c>
      <c r="B467" s="22" t="s">
        <v>837</v>
      </c>
      <c r="C467" s="18" t="n">
        <v>45852.2916666667</v>
      </c>
      <c r="D467" s="19" t="n">
        <v>45852.2916666667</v>
      </c>
      <c r="E467" s="18" t="n">
        <v>45852.75</v>
      </c>
      <c r="F467" s="19" t="n">
        <v>45852.75</v>
      </c>
      <c r="G467" s="20" t="n">
        <v>2500</v>
      </c>
      <c r="H467" s="8" t="n">
        <v>5</v>
      </c>
      <c r="I467" s="10" t="n">
        <v>45847</v>
      </c>
      <c r="J467" s="11" t="n">
        <v>0.672152777777234</v>
      </c>
      <c r="K467" s="1" t="str">
        <f aca="false">IF(L467&gt;24,     IF(H467=2,"Couple Extended Day","Extended Day"), IF(L467&lt;=12,     IF(AND(MOD(D467,1)&gt;=TIME(6,0,0),MOD(D467,1)&lt;TIME(18,0,0)),         IF(H467=2,"Couple Half Day","12H Day"),         IF(H467=2,"Couple Half Night","12H Night")), IF(L467&lt;=24,     IF(AND(MOD(D467,1)&gt;=TIME(6,0,0),MOD(D467,1)&lt;TIME(18,0,0)),         IF(H467=2,"Couple Full Day","24H Day"),         IF(H467=2,"Couple Full Night","24H Night")), "Check Data")))</f>
        <v>12H Day</v>
      </c>
      <c r="L467" s="12" t="n">
        <f aca="false">((INT(E467)+MOD(F467,1))-(INT(C467)+MOD(D467,1)))*24</f>
        <v>10.9999999990105</v>
      </c>
      <c r="M467" s="1" t="n">
        <f aca="false">IFERROR(INDEX(Sheet3!$B$2:$B$500,MATCH(1,(INT(C467)+MOD(D467,1)&lt;INT(Sheet3!$A$2:$A$500)+TIME(18,0,0))*(INT(E467)+MOD(F467,1)&gt;=INT(Sheet3!$A$2:$A$500)),0)),0)</f>
        <v>0</v>
      </c>
      <c r="N467" s="1" t="n">
        <f aca="false">IF(OR( AND(Q467=6,D467&gt;=TIME(17,0,0),OR(K467="12H Night",K467="Couple Half Night",K467="24H Night",K467="Couple Full Night")), AND(Q467=7,D467&gt;=TIME(6,0,0),D467&lt;TIME(12,0,0),OR(K467="12H Day",K467="Couple Half Day",K467="24H Day",K467="Couple Full Day")) ),1,0)</f>
        <v>0</v>
      </c>
      <c r="O467" s="1" t="n">
        <f aca="false">IF(OR( AND(MONTH(C467)=12,DAY(C467)&gt;=26), AND(MONTH(C467)=4,DAY(C467)&gt;=15), MONTH(C467)=5, AND(MONTH(C467)=6,DAY(C467)&lt;=10) ),1,0)</f>
        <v>0</v>
      </c>
      <c r="P467" s="1" t="str">
        <f aca="false">IF(OR(MONTH(C467)=3,MONTH(C467)=4,MONTH(C467)=5,MONTH(C467)=6), "Summer", IF(OR(MONTH(C467)=7,MONTH(C467)=8,MONTH(C467)=9,MONTH(C467)=10), "Monsoon", "Winter"))</f>
        <v>Monsoon</v>
      </c>
      <c r="Q467" s="1" t="n">
        <f aca="false">WEEKDAY(C467,2)</f>
        <v>1</v>
      </c>
      <c r="R467" s="0" t="n">
        <f aca="false">ROUNDDOWN(((INT(C467)+MOD(D467,1))-(INT(I467)+MOD(J467,1))),0)</f>
        <v>4</v>
      </c>
      <c r="S467" s="10"/>
    </row>
    <row r="468" customFormat="false" ht="121.1" hidden="false" customHeight="false" outlineLevel="0" collapsed="false">
      <c r="A468" s="8" t="s">
        <v>838</v>
      </c>
      <c r="B468" s="22" t="s">
        <v>839</v>
      </c>
      <c r="C468" s="18" t="n">
        <v>45853.25</v>
      </c>
      <c r="D468" s="19" t="n">
        <v>45853.25</v>
      </c>
      <c r="E468" s="18" t="n">
        <v>45853.5</v>
      </c>
      <c r="F468" s="19" t="n">
        <v>45853.5</v>
      </c>
      <c r="G468" s="20" t="n">
        <v>2000</v>
      </c>
      <c r="H468" s="8" t="n">
        <v>2</v>
      </c>
      <c r="I468" s="10" t="n">
        <v>45852</v>
      </c>
      <c r="J468" s="11" t="n">
        <v>0.555856481485533</v>
      </c>
      <c r="K468" s="1" t="str">
        <f aca="false">IF(L468&gt;24,     IF(H468=2,"Couple Extended Day","Extended Day"), IF(L468&lt;=12,     IF(AND(MOD(D468,1)&gt;=TIME(6,0,0),MOD(D468,1)&lt;TIME(18,0,0)),         IF(H468=2,"Couple Half Day","12H Day"),         IF(H468=2,"Couple Half Night","12H Night")), IF(L468&lt;=24,     IF(AND(MOD(D468,1)&gt;=TIME(6,0,0),MOD(D468,1)&lt;TIME(18,0,0)),         IF(H468=2,"Couple Full Day","24H Day"),         IF(H468=2,"Couple Full Night","24H Night")), "Check Data")))</f>
        <v>Couple Half Day</v>
      </c>
      <c r="L468" s="12" t="n">
        <f aca="false">((INT(E468)+MOD(F468,1))-(INT(C468)+MOD(D468,1)))*24</f>
        <v>6</v>
      </c>
      <c r="M468" s="1" t="n">
        <f aca="false">IFERROR(INDEX(Sheet3!$B$2:$B$500,MATCH(1,(INT(C468)+MOD(D468,1)&lt;INT(Sheet3!$A$2:$A$500)+TIME(18,0,0))*(INT(E468)+MOD(F468,1)&gt;=INT(Sheet3!$A$2:$A$500)),0)),0)</f>
        <v>0</v>
      </c>
      <c r="N468" s="1" t="n">
        <f aca="false">IF(OR( AND(Q468=6,D468&gt;=TIME(17,0,0),OR(K468="12H Night",K468="Couple Half Night",K468="24H Night",K468="Couple Full Night")), AND(Q468=7,D468&gt;=TIME(6,0,0),D468&lt;TIME(12,0,0),OR(K468="12H Day",K468="Couple Half Day",K468="24H Day",K468="Couple Full Day")) ),1,0)</f>
        <v>0</v>
      </c>
      <c r="O468" s="1" t="n">
        <f aca="false">IF(OR( AND(MONTH(C468)=12,DAY(C468)&gt;=26), AND(MONTH(C468)=4,DAY(C468)&gt;=15), MONTH(C468)=5, AND(MONTH(C468)=6,DAY(C468)&lt;=10) ),1,0)</f>
        <v>0</v>
      </c>
      <c r="P468" s="1" t="str">
        <f aca="false">IF(OR(MONTH(C468)=3,MONTH(C468)=4,MONTH(C468)=5,MONTH(C468)=6), "Summer", IF(OR(MONTH(C468)=7,MONTH(C468)=8,MONTH(C468)=9,MONTH(C468)=10), "Monsoon", "Winter"))</f>
        <v>Monsoon</v>
      </c>
      <c r="Q468" s="1" t="n">
        <f aca="false">WEEKDAY(C468,2)</f>
        <v>2</v>
      </c>
      <c r="R468" s="0" t="n">
        <f aca="false">ROUNDDOWN(((INT(C468)+MOD(D468,1))-(INT(I468)+MOD(J468,1))),0)</f>
        <v>0</v>
      </c>
      <c r="S468" s="10"/>
    </row>
    <row r="469" customFormat="false" ht="121.1" hidden="false" customHeight="false" outlineLevel="0" collapsed="false">
      <c r="A469" s="8" t="s">
        <v>840</v>
      </c>
      <c r="B469" s="22" t="s">
        <v>841</v>
      </c>
      <c r="C469" s="18" t="n">
        <v>45855.4583333333</v>
      </c>
      <c r="D469" s="19" t="n">
        <v>0</v>
      </c>
      <c r="E469" s="18" t="n">
        <v>45855.7083333333</v>
      </c>
      <c r="F469" s="19" t="n">
        <v>0</v>
      </c>
      <c r="G469" s="20" t="n">
        <v>2000</v>
      </c>
      <c r="H469" s="8" t="n">
        <v>6</v>
      </c>
      <c r="I469" s="10" t="n">
        <v>45854</v>
      </c>
      <c r="J469" s="11" t="n">
        <v>0.938009259261887</v>
      </c>
      <c r="K469" s="1" t="str">
        <f aca="false">IF(L469&gt;24,     IF(H469=2,"Couple Extended Day","Extended Day"), IF(L469&lt;=12,     IF(AND(MOD(D469,1)&gt;=TIME(6,0,0),MOD(D469,1)&lt;TIME(18,0,0)),         IF(H469=2,"Couple Half Day","12H Day"),         IF(H469=2,"Couple Half Night","12H Night")), IF(L469&lt;=24,     IF(AND(MOD(D469,1)&gt;=TIME(6,0,0),MOD(D469,1)&lt;TIME(18,0,0)),         IF(H469=2,"Couple Full Day","24H Day"),         IF(H469=2,"Couple Full Night","24H Night")), "Check Data")))</f>
        <v>12H Night</v>
      </c>
      <c r="L469" s="12" t="n">
        <f aca="false">((INT(E469)+MOD(F469,1))-(INT(C469)+MOD(D469,1)))*24</f>
        <v>0</v>
      </c>
      <c r="M469" s="1" t="n">
        <f aca="false">IFERROR(INDEX(Sheet3!$B$2:$B$500,MATCH(1,(INT(C469)+MOD(D469,1)&lt;INT(Sheet3!$A$2:$A$500)+TIME(18,0,0))*(INT(E469)+MOD(F469,1)&gt;=INT(Sheet3!$A$2:$A$500)),0)),0)</f>
        <v>0</v>
      </c>
      <c r="N469" s="1" t="n">
        <f aca="false">IF(OR( AND(Q469=6,D469&gt;=TIME(17,0,0),OR(K469="12H Night",K469="Couple Half Night",K469="24H Night",K469="Couple Full Night")), AND(Q469=7,D469&gt;=TIME(6,0,0),D469&lt;TIME(12,0,0),OR(K469="12H Day",K469="Couple Half Day",K469="24H Day",K469="Couple Full Day")) ),1,0)</f>
        <v>0</v>
      </c>
      <c r="O469" s="1" t="n">
        <f aca="false">IF(OR( AND(MONTH(C469)=12,DAY(C469)&gt;=26), AND(MONTH(C469)=4,DAY(C469)&gt;=15), MONTH(C469)=5, AND(MONTH(C469)=6,DAY(C469)&lt;=10) ),1,0)</f>
        <v>0</v>
      </c>
      <c r="P469" s="1" t="str">
        <f aca="false">IF(OR(MONTH(C469)=3,MONTH(C469)=4,MONTH(C469)=5,MONTH(C469)=6), "Summer", IF(OR(MONTH(C469)=7,MONTH(C469)=8,MONTH(C469)=9,MONTH(C469)=10), "Monsoon", "Winter"))</f>
        <v>Monsoon</v>
      </c>
      <c r="Q469" s="1" t="n">
        <f aca="false">WEEKDAY(C469,2)</f>
        <v>4</v>
      </c>
      <c r="R469" s="0" t="n">
        <f aca="false">ROUNDDOWN(((INT(C469)+MOD(D469,1))-(INT(I469)+MOD(J469,1))),0)</f>
        <v>0</v>
      </c>
      <c r="S469" s="10"/>
    </row>
    <row r="470" customFormat="false" ht="107" hidden="false" customHeight="false" outlineLevel="0" collapsed="false">
      <c r="A470" s="8" t="s">
        <v>842</v>
      </c>
      <c r="B470" s="22" t="s">
        <v>843</v>
      </c>
      <c r="C470" s="18" t="n">
        <v>45856.7916666667</v>
      </c>
      <c r="D470" s="19" t="n">
        <v>45856.7916666667</v>
      </c>
      <c r="E470" s="18" t="n">
        <v>45857.75</v>
      </c>
      <c r="F470" s="19" t="n">
        <v>45857.75</v>
      </c>
      <c r="G470" s="20" t="n">
        <v>4000</v>
      </c>
      <c r="H470" s="8" t="n">
        <v>12</v>
      </c>
      <c r="I470" s="10" t="n">
        <v>45855</v>
      </c>
      <c r="J470" s="11" t="n">
        <v>0.469629629631528</v>
      </c>
      <c r="K470" s="1" t="str">
        <f aca="false">IF(L470&gt;24,     IF(H470=2,"Couple Extended Day","Extended Day"), IF(L470&lt;=12,     IF(AND(MOD(D470,1)&gt;=TIME(6,0,0),MOD(D470,1)&lt;TIME(18,0,0)),         IF(H470=2,"Couple Half Day","12H Day"),         IF(H470=2,"Couple Half Night","12H Night")), IF(L470&lt;=24,     IF(AND(MOD(D470,1)&gt;=TIME(6,0,0),MOD(D470,1)&lt;TIME(18,0,0)),         IF(H470=2,"Couple Full Day","24H Day"),         IF(H470=2,"Couple Full Night","24H Night")), "Check Data")))</f>
        <v>24H Night</v>
      </c>
      <c r="L470" s="12" t="n">
        <f aca="false">((INT(E470)+MOD(F470,1))-(INT(C470)+MOD(D470,1)))*24</f>
        <v>22.9999999990105</v>
      </c>
      <c r="M470" s="1" t="n">
        <f aca="false">IFERROR(INDEX(Sheet3!$B$2:$B$500,MATCH(1,(INT(C470)+MOD(D470,1)&lt;INT(Sheet3!$A$2:$A$500)+TIME(18,0,0))*(INT(E470)+MOD(F470,1)&gt;=INT(Sheet3!$A$2:$A$500)),0)),0)</f>
        <v>0</v>
      </c>
      <c r="N470" s="1" t="n">
        <f aca="false">IF(OR( AND(Q470=6,D470&gt;=TIME(17,0,0),OR(K470="12H Night",K470="Couple Half Night",K470="24H Night",K470="Couple Full Night")), AND(Q470=7,D470&gt;=TIME(6,0,0),D470&lt;TIME(12,0,0),OR(K470="12H Day",K470="Couple Half Day",K470="24H Day",K470="Couple Full Day")) ),1,0)</f>
        <v>0</v>
      </c>
      <c r="O470" s="1" t="n">
        <f aca="false">IF(OR( AND(MONTH(C470)=12,DAY(C470)&gt;=26), AND(MONTH(C470)=4,DAY(C470)&gt;=15), MONTH(C470)=5, AND(MONTH(C470)=6,DAY(C470)&lt;=10) ),1,0)</f>
        <v>0</v>
      </c>
      <c r="P470" s="1" t="str">
        <f aca="false">IF(OR(MONTH(C470)=3,MONTH(C470)=4,MONTH(C470)=5,MONTH(C470)=6), "Summer", IF(OR(MONTH(C470)=7,MONTH(C470)=8,MONTH(C470)=9,MONTH(C470)=10), "Monsoon", "Winter"))</f>
        <v>Monsoon</v>
      </c>
      <c r="Q470" s="1" t="n">
        <f aca="false">WEEKDAY(C470,2)</f>
        <v>5</v>
      </c>
      <c r="R470" s="0" t="n">
        <f aca="false">ROUNDDOWN(((INT(C470)+MOD(D470,1))-(INT(I470)+MOD(J470,1))),0)</f>
        <v>1</v>
      </c>
      <c r="S470" s="10"/>
    </row>
    <row r="471" customFormat="false" ht="133.3" hidden="false" customHeight="false" outlineLevel="0" collapsed="false">
      <c r="A471" s="8" t="s">
        <v>844</v>
      </c>
      <c r="B471" s="22" t="s">
        <v>845</v>
      </c>
      <c r="C471" s="18" t="n">
        <v>45857.375</v>
      </c>
      <c r="D471" s="19" t="n">
        <v>45857.375</v>
      </c>
      <c r="E471" s="18" t="n">
        <v>45857.75</v>
      </c>
      <c r="F471" s="19" t="n">
        <v>45857.75</v>
      </c>
      <c r="G471" s="20" t="n">
        <v>1000</v>
      </c>
      <c r="H471" s="8" t="n">
        <v>2</v>
      </c>
      <c r="I471" s="10" t="n">
        <v>45844</v>
      </c>
      <c r="J471" s="11" t="n">
        <v>0.881689814814306</v>
      </c>
      <c r="K471" s="1" t="str">
        <f aca="false">IF(L471&gt;24,     IF(H471=2,"Couple Extended Day","Extended Day"), IF(L471&lt;=12,     IF(AND(MOD(D471,1)&gt;=TIME(6,0,0),MOD(D471,1)&lt;TIME(18,0,0)),         IF(H471=2,"Couple Half Day","12H Day"),         IF(H471=2,"Couple Half Night","12H Night")), IF(L471&lt;=24,     IF(AND(MOD(D471,1)&gt;=TIME(6,0,0),MOD(D471,1)&lt;TIME(18,0,0)),         IF(H471=2,"Couple Full Day","24H Day"),         IF(H471=2,"Couple Full Night","24H Night")), "Check Data")))</f>
        <v>Couple Half Day</v>
      </c>
      <c r="L471" s="12" t="n">
        <f aca="false">((INT(E471)+MOD(F471,1))-(INT(C471)+MOD(D471,1)))*24</f>
        <v>9</v>
      </c>
      <c r="M471" s="1" t="n">
        <f aca="false">IFERROR(INDEX(Sheet3!$B$2:$B$500,MATCH(1,(INT(C471)+MOD(D471,1)&lt;INT(Sheet3!$A$2:$A$500)+TIME(18,0,0))*(INT(E471)+MOD(F471,1)&gt;=INT(Sheet3!$A$2:$A$500)),0)),0)</f>
        <v>0</v>
      </c>
      <c r="N471" s="1" t="n">
        <f aca="false">IF(OR( AND(Q471=6,D471&gt;=TIME(17,0,0),OR(K471="12H Night",K471="Couple Half Night",K471="24H Night",K471="Couple Full Night")), AND(Q471=7,D471&gt;=TIME(6,0,0),D471&lt;TIME(12,0,0),OR(K471="12H Day",K471="Couple Half Day",K471="24H Day",K471="Couple Full Day")) ),1,0)</f>
        <v>0</v>
      </c>
      <c r="O471" s="1" t="n">
        <f aca="false">IF(OR( AND(MONTH(C471)=12,DAY(C471)&gt;=26), AND(MONTH(C471)=4,DAY(C471)&gt;=15), MONTH(C471)=5, AND(MONTH(C471)=6,DAY(C471)&lt;=10) ),1,0)</f>
        <v>0</v>
      </c>
      <c r="P471" s="1" t="str">
        <f aca="false">IF(OR(MONTH(C471)=3,MONTH(C471)=4,MONTH(C471)=5,MONTH(C471)=6), "Summer", IF(OR(MONTH(C471)=7,MONTH(C471)=8,MONTH(C471)=9,MONTH(C471)=10), "Monsoon", "Winter"))</f>
        <v>Monsoon</v>
      </c>
      <c r="Q471" s="1" t="n">
        <f aca="false">WEEKDAY(C471,2)</f>
        <v>6</v>
      </c>
      <c r="R471" s="0" t="n">
        <f aca="false">ROUNDDOWN(((INT(C471)+MOD(D471,1))-(INT(I471)+MOD(J471,1))),0)</f>
        <v>12</v>
      </c>
      <c r="S471" s="10"/>
    </row>
    <row r="472" customFormat="false" ht="225.35" hidden="false" customHeight="false" outlineLevel="0" collapsed="false">
      <c r="A472" s="8" t="s">
        <v>846</v>
      </c>
      <c r="B472" s="22" t="s">
        <v>847</v>
      </c>
      <c r="C472" s="18" t="n">
        <v>45857.7916666667</v>
      </c>
      <c r="D472" s="19" t="n">
        <v>45857.7916666667</v>
      </c>
      <c r="E472" s="18" t="n">
        <v>45858.75</v>
      </c>
      <c r="F472" s="19" t="n">
        <v>45858.75</v>
      </c>
      <c r="G472" s="20" t="n">
        <v>4500</v>
      </c>
      <c r="H472" s="8" t="n">
        <v>13</v>
      </c>
      <c r="I472" s="10" t="n">
        <v>45856</v>
      </c>
      <c r="J472" s="11" t="n">
        <v>0.540289351847604</v>
      </c>
      <c r="K472" s="1" t="str">
        <f aca="false">IF(L472&gt;24,     IF(H472=2,"Couple Extended Day","Extended Day"), IF(L472&lt;=12,     IF(AND(MOD(D472,1)&gt;=TIME(6,0,0),MOD(D472,1)&lt;TIME(18,0,0)),         IF(H472=2,"Couple Half Day","12H Day"),         IF(H472=2,"Couple Half Night","12H Night")), IF(L472&lt;=24,     IF(AND(MOD(D472,1)&gt;=TIME(6,0,0),MOD(D472,1)&lt;TIME(18,0,0)),         IF(H472=2,"Couple Full Day","24H Day"),         IF(H472=2,"Couple Full Night","24H Night")), "Check Data")))</f>
        <v>24H Night</v>
      </c>
      <c r="L472" s="12" t="n">
        <f aca="false">((INT(E472)+MOD(F472,1))-(INT(C472)+MOD(D472,1)))*24</f>
        <v>22.9999999990105</v>
      </c>
      <c r="M472" s="1" t="n">
        <f aca="false">IFERROR(INDEX(Sheet3!$B$2:$B$500,MATCH(1,(INT(C472)+MOD(D472,1)&lt;INT(Sheet3!$A$2:$A$500)+TIME(18,0,0))*(INT(E472)+MOD(F472,1)&gt;=INT(Sheet3!$A$2:$A$500)),0)),0)</f>
        <v>0</v>
      </c>
      <c r="N472" s="1" t="n">
        <f aca="false">IF(OR( AND(Q472=6,D472&gt;=TIME(17,0,0),OR(K472="12H Night",K472="Couple Half Night",K472="24H Night",K472="Couple Full Night")), AND(Q472=7,D472&gt;=TIME(6,0,0),D472&lt;TIME(12,0,0),OR(K472="12H Day",K472="Couple Half Day",K472="24H Day",K472="Couple Full Day")) ),1,0)</f>
        <v>1</v>
      </c>
      <c r="O472" s="1" t="n">
        <f aca="false">IF(OR( AND(MONTH(C472)=12,DAY(C472)&gt;=26), AND(MONTH(C472)=4,DAY(C472)&gt;=15), MONTH(C472)=5, AND(MONTH(C472)=6,DAY(C472)&lt;=10) ),1,0)</f>
        <v>0</v>
      </c>
      <c r="P472" s="1" t="str">
        <f aca="false">IF(OR(MONTH(C472)=3,MONTH(C472)=4,MONTH(C472)=5,MONTH(C472)=6), "Summer", IF(OR(MONTH(C472)=7,MONTH(C472)=8,MONTH(C472)=9,MONTH(C472)=10), "Monsoon", "Winter"))</f>
        <v>Monsoon</v>
      </c>
      <c r="Q472" s="1" t="n">
        <f aca="false">WEEKDAY(C472,2)</f>
        <v>6</v>
      </c>
      <c r="R472" s="0" t="n">
        <f aca="false">ROUNDDOWN(((INT(C472)+MOD(D472,1))-(INT(I472)+MOD(J472,1))),0)</f>
        <v>1</v>
      </c>
      <c r="S472" s="10"/>
    </row>
    <row r="473" customFormat="false" ht="97.15" hidden="false" customHeight="false" outlineLevel="0" collapsed="false">
      <c r="A473" s="8" t="s">
        <v>848</v>
      </c>
      <c r="B473" s="22" t="s">
        <v>849</v>
      </c>
      <c r="C473" s="18" t="n">
        <v>45859.375</v>
      </c>
      <c r="D473" s="19" t="n">
        <v>45859.375</v>
      </c>
      <c r="E473" s="18" t="n">
        <v>45861.3333333333</v>
      </c>
      <c r="F473" s="19" t="n">
        <v>0</v>
      </c>
      <c r="G473" s="20" t="n">
        <v>5500</v>
      </c>
      <c r="H473" s="8" t="n">
        <v>2</v>
      </c>
      <c r="I473" s="10" t="n">
        <v>45853</v>
      </c>
      <c r="J473" s="11" t="n">
        <v>0.669259259258981</v>
      </c>
      <c r="K473" s="1" t="str">
        <f aca="false">IF(L473&gt;24,     IF(H473=2,"Couple Extended Day","Extended Day"), IF(L473&lt;=12,     IF(AND(MOD(D473,1)&gt;=TIME(6,0,0),MOD(D473,1)&lt;TIME(18,0,0)),         IF(H473=2,"Couple Half Day","12H Day"),         IF(H473=2,"Couple Half Night","12H Night")), IF(L473&lt;=24,     IF(AND(MOD(D473,1)&gt;=TIME(6,0,0),MOD(D473,1)&lt;TIME(18,0,0)),         IF(H473=2,"Couple Full Day","24H Day"),         IF(H473=2,"Couple Full Night","24H Night")), "Check Data")))</f>
        <v>Couple Extended Day</v>
      </c>
      <c r="L473" s="12" t="n">
        <f aca="false">((INT(E473)+MOD(F473,1))-(INT(C473)+MOD(D473,1)))*24</f>
        <v>39</v>
      </c>
      <c r="M473" s="1" t="n">
        <f aca="false">IFERROR(INDEX(Sheet3!$B$2:$B$500,MATCH(1,(INT(C473)+MOD(D473,1)&lt;INT(Sheet3!$A$2:$A$500)+TIME(18,0,0))*(INT(E473)+MOD(F473,1)&gt;=INT(Sheet3!$A$2:$A$500)),0)),0)</f>
        <v>0</v>
      </c>
      <c r="N473" s="1" t="n">
        <f aca="false">IF(OR( AND(Q473=6,D473&gt;=TIME(17,0,0),OR(K473="12H Night",K473="Couple Half Night",K473="24H Night",K473="Couple Full Night")), AND(Q473=7,D473&gt;=TIME(6,0,0),D473&lt;TIME(12,0,0),OR(K473="12H Day",K473="Couple Half Day",K473="24H Day",K473="Couple Full Day")) ),1,0)</f>
        <v>0</v>
      </c>
      <c r="O473" s="1" t="n">
        <f aca="false">IF(OR( AND(MONTH(C473)=12,DAY(C473)&gt;=26), AND(MONTH(C473)=4,DAY(C473)&gt;=15), MONTH(C473)=5, AND(MONTH(C473)=6,DAY(C473)&lt;=10) ),1,0)</f>
        <v>0</v>
      </c>
      <c r="P473" s="1" t="str">
        <f aca="false">IF(OR(MONTH(C473)=3,MONTH(C473)=4,MONTH(C473)=5,MONTH(C473)=6), "Summer", IF(OR(MONTH(C473)=7,MONTH(C473)=8,MONTH(C473)=9,MONTH(C473)=10), "Monsoon", "Winter"))</f>
        <v>Monsoon</v>
      </c>
      <c r="Q473" s="1" t="n">
        <f aca="false">WEEKDAY(C473,2)</f>
        <v>1</v>
      </c>
      <c r="R473" s="0" t="n">
        <f aca="false">ROUNDDOWN(((INT(C473)+MOD(D473,1))-(INT(I473)+MOD(J473,1))),0)</f>
        <v>5</v>
      </c>
      <c r="S473" s="10"/>
    </row>
    <row r="474" customFormat="false" ht="97.15" hidden="false" customHeight="false" outlineLevel="0" collapsed="false">
      <c r="A474" s="8" t="s">
        <v>850</v>
      </c>
      <c r="B474" s="22" t="s">
        <v>851</v>
      </c>
      <c r="C474" s="18" t="n">
        <v>45860.8333333333</v>
      </c>
      <c r="D474" s="19" t="n">
        <v>0</v>
      </c>
      <c r="E474" s="18" t="n">
        <v>45861.75</v>
      </c>
      <c r="F474" s="19" t="n">
        <v>45861.75</v>
      </c>
      <c r="G474" s="20" t="n">
        <v>3000</v>
      </c>
      <c r="H474" s="8" t="n">
        <v>10</v>
      </c>
      <c r="I474" s="10" t="n">
        <v>45860</v>
      </c>
      <c r="J474" s="11" t="n">
        <v>0.672164351854005</v>
      </c>
      <c r="K474" s="1" t="str">
        <f aca="false">IF(L474&gt;24,     IF(H474=2,"Couple Extended Day","Extended Day"), IF(L474&lt;=12,     IF(AND(MOD(D474,1)&gt;=TIME(6,0,0),MOD(D474,1)&lt;TIME(18,0,0)),         IF(H474=2,"Couple Half Day","12H Day"),         IF(H474=2,"Couple Half Night","12H Night")), IF(L474&lt;=24,     IF(AND(MOD(D474,1)&gt;=TIME(6,0,0),MOD(D474,1)&lt;TIME(18,0,0)),         IF(H474=2,"Couple Full Day","24H Day"),         IF(H474=2,"Couple Full Night","24H Night")), "Check Data")))</f>
        <v>Extended Day</v>
      </c>
      <c r="L474" s="12" t="n">
        <f aca="false">((INT(E474)+MOD(F474,1))-(INT(C474)+MOD(D474,1)))*24</f>
        <v>42</v>
      </c>
      <c r="M474" s="1" t="n">
        <f aca="false">IFERROR(INDEX(Sheet3!$B$2:$B$500,MATCH(1,(INT(C474)+MOD(D474,1)&lt;INT(Sheet3!$A$2:$A$500)+TIME(18,0,0))*(INT(E474)+MOD(F474,1)&gt;=INT(Sheet3!$A$2:$A$500)),0)),0)</f>
        <v>0</v>
      </c>
      <c r="N474" s="1" t="n">
        <f aca="false">IF(OR( AND(Q474=6,D474&gt;=TIME(17,0,0),OR(K474="12H Night",K474="Couple Half Night",K474="24H Night",K474="Couple Full Night")), AND(Q474=7,D474&gt;=TIME(6,0,0),D474&lt;TIME(12,0,0),OR(K474="12H Day",K474="Couple Half Day",K474="24H Day",K474="Couple Full Day")) ),1,0)</f>
        <v>0</v>
      </c>
      <c r="O474" s="1" t="n">
        <f aca="false">IF(OR( AND(MONTH(C474)=12,DAY(C474)&gt;=26), AND(MONTH(C474)=4,DAY(C474)&gt;=15), MONTH(C474)=5, AND(MONTH(C474)=6,DAY(C474)&lt;=10) ),1,0)</f>
        <v>0</v>
      </c>
      <c r="P474" s="1" t="str">
        <f aca="false">IF(OR(MONTH(C474)=3,MONTH(C474)=4,MONTH(C474)=5,MONTH(C474)=6), "Summer", IF(OR(MONTH(C474)=7,MONTH(C474)=8,MONTH(C474)=9,MONTH(C474)=10), "Monsoon", "Winter"))</f>
        <v>Monsoon</v>
      </c>
      <c r="Q474" s="1" t="n">
        <f aca="false">WEEKDAY(C474,2)</f>
        <v>2</v>
      </c>
      <c r="R474" s="0" t="n">
        <f aca="false">ROUNDDOWN(((INT(C474)+MOD(D474,1))-(INT(I474)+MOD(J474,1))),0)</f>
        <v>-0</v>
      </c>
      <c r="S474" s="10"/>
    </row>
    <row r="475" customFormat="false" ht="146.45" hidden="false" customHeight="false" outlineLevel="0" collapsed="false">
      <c r="A475" s="8" t="s">
        <v>852</v>
      </c>
      <c r="B475" s="22" t="s">
        <v>853</v>
      </c>
      <c r="C475" s="18" t="n">
        <v>45860.8333333333</v>
      </c>
      <c r="D475" s="19" t="n">
        <v>0</v>
      </c>
      <c r="E475" s="18" t="n">
        <v>45861.3333333333</v>
      </c>
      <c r="F475" s="19" t="n">
        <v>0</v>
      </c>
      <c r="G475" s="20" t="n">
        <v>700</v>
      </c>
      <c r="H475" s="8" t="n">
        <v>12</v>
      </c>
      <c r="I475" s="10" t="n">
        <v>45855</v>
      </c>
      <c r="J475" s="11" t="n">
        <v>0.372939814813438</v>
      </c>
      <c r="K475" s="1" t="str">
        <f aca="false">IF(L475&gt;24,     IF(H475=2,"Couple Extended Day","Extended Day"), IF(L475&lt;=12,     IF(AND(MOD(D475,1)&gt;=TIME(6,0,0),MOD(D475,1)&lt;TIME(18,0,0)),         IF(H475=2,"Couple Half Day","12H Day"),         IF(H475=2,"Couple Half Night","12H Night")), IF(L475&lt;=24,     IF(AND(MOD(D475,1)&gt;=TIME(6,0,0),MOD(D475,1)&lt;TIME(18,0,0)),         IF(H475=2,"Couple Full Day","24H Day"),         IF(H475=2,"Couple Full Night","24H Night")), "Check Data")))</f>
        <v>24H Night</v>
      </c>
      <c r="L475" s="12" t="n">
        <f aca="false">((INT(E475)+MOD(F475,1))-(INT(C475)+MOD(D475,1)))*24</f>
        <v>24</v>
      </c>
      <c r="M475" s="1" t="n">
        <f aca="false">IFERROR(INDEX(Sheet3!$B$2:$B$500,MATCH(1,(INT(C475)+MOD(D475,1)&lt;INT(Sheet3!$A$2:$A$500)+TIME(18,0,0))*(INT(E475)+MOD(F475,1)&gt;=INT(Sheet3!$A$2:$A$500)),0)),0)</f>
        <v>0</v>
      </c>
      <c r="N475" s="1" t="n">
        <f aca="false">IF(OR( AND(Q475=6,D475&gt;=TIME(17,0,0),OR(K475="12H Night",K475="Couple Half Night",K475="24H Night",K475="Couple Full Night")), AND(Q475=7,D475&gt;=TIME(6,0,0),D475&lt;TIME(12,0,0),OR(K475="12H Day",K475="Couple Half Day",K475="24H Day",K475="Couple Full Day")) ),1,0)</f>
        <v>0</v>
      </c>
      <c r="O475" s="1" t="n">
        <f aca="false">IF(OR( AND(MONTH(C475)=12,DAY(C475)&gt;=26), AND(MONTH(C475)=4,DAY(C475)&gt;=15), MONTH(C475)=5, AND(MONTH(C475)=6,DAY(C475)&lt;=10) ),1,0)</f>
        <v>0</v>
      </c>
      <c r="P475" s="1" t="str">
        <f aca="false">IF(OR(MONTH(C475)=3,MONTH(C475)=4,MONTH(C475)=5,MONTH(C475)=6), "Summer", IF(OR(MONTH(C475)=7,MONTH(C475)=8,MONTH(C475)=9,MONTH(C475)=10), "Monsoon", "Winter"))</f>
        <v>Monsoon</v>
      </c>
      <c r="Q475" s="1" t="n">
        <f aca="false">WEEKDAY(C475,2)</f>
        <v>2</v>
      </c>
      <c r="R475" s="0" t="n">
        <f aca="false">ROUNDDOWN(((INT(C475)+MOD(D475,1))-(INT(I475)+MOD(J475,1))),0)</f>
        <v>4</v>
      </c>
      <c r="S475" s="10"/>
    </row>
    <row r="476" customFormat="false" ht="120.15" hidden="false" customHeight="false" outlineLevel="0" collapsed="false">
      <c r="A476" s="8" t="s">
        <v>854</v>
      </c>
      <c r="B476" s="22" t="s">
        <v>855</v>
      </c>
      <c r="C476" s="18" t="n">
        <v>45862.3333333333</v>
      </c>
      <c r="D476" s="19" t="n">
        <v>0</v>
      </c>
      <c r="E476" s="18" t="n">
        <v>45862.7916666667</v>
      </c>
      <c r="F476" s="19" t="n">
        <v>45862.7916666667</v>
      </c>
      <c r="G476" s="20" t="n">
        <v>2500</v>
      </c>
      <c r="H476" s="8" t="n">
        <v>2</v>
      </c>
      <c r="I476" s="10" t="n">
        <v>45860</v>
      </c>
      <c r="J476" s="11" t="n">
        <v>0.513344907405556</v>
      </c>
      <c r="K476" s="1" t="str">
        <f aca="false">IF(L476&gt;24,     IF(H476=2,"Couple Extended Day","Extended Day"), IF(L476&lt;=12,     IF(AND(MOD(D476,1)&gt;=TIME(6,0,0),MOD(D476,1)&lt;TIME(18,0,0)),         IF(H476=2,"Couple Half Day","12H Day"),         IF(H476=2,"Couple Half Night","12H Night")), IF(L476&lt;=24,     IF(AND(MOD(D476,1)&gt;=TIME(6,0,0),MOD(D476,1)&lt;TIME(18,0,0)),         IF(H476=2,"Couple Full Day","24H Day"),         IF(H476=2,"Couple Full Night","24H Night")), "Check Data")))</f>
        <v>Couple Full Night</v>
      </c>
      <c r="L476" s="12" t="n">
        <f aca="false">((INT(E476)+MOD(F476,1))-(INT(C476)+MOD(D476,1)))*24</f>
        <v>19.0000000009895</v>
      </c>
      <c r="M476" s="1" t="n">
        <f aca="false">IFERROR(INDEX(Sheet3!$B$2:$B$500,MATCH(1,(INT(C476)+MOD(D476,1)&lt;INT(Sheet3!$A$2:$A$500)+TIME(18,0,0))*(INT(E476)+MOD(F476,1)&gt;=INT(Sheet3!$A$2:$A$500)),0)),0)</f>
        <v>0</v>
      </c>
      <c r="N476" s="1" t="n">
        <f aca="false">IF(OR( AND(Q476=6,D476&gt;=TIME(17,0,0),OR(K476="12H Night",K476="Couple Half Night",K476="24H Night",K476="Couple Full Night")), AND(Q476=7,D476&gt;=TIME(6,0,0),D476&lt;TIME(12,0,0),OR(K476="12H Day",K476="Couple Half Day",K476="24H Day",K476="Couple Full Day")) ),1,0)</f>
        <v>0</v>
      </c>
      <c r="O476" s="1" t="n">
        <f aca="false">IF(OR( AND(MONTH(C476)=12,DAY(C476)&gt;=26), AND(MONTH(C476)=4,DAY(C476)&gt;=15), MONTH(C476)=5, AND(MONTH(C476)=6,DAY(C476)&lt;=10) ),1,0)</f>
        <v>0</v>
      </c>
      <c r="P476" s="1" t="str">
        <f aca="false">IF(OR(MONTH(C476)=3,MONTH(C476)=4,MONTH(C476)=5,MONTH(C476)=6), "Summer", IF(OR(MONTH(C476)=7,MONTH(C476)=8,MONTH(C476)=9,MONTH(C476)=10), "Monsoon", "Winter"))</f>
        <v>Monsoon</v>
      </c>
      <c r="Q476" s="1" t="n">
        <f aca="false">WEEKDAY(C476,2)</f>
        <v>4</v>
      </c>
      <c r="R476" s="0" t="n">
        <f aca="false">ROUNDDOWN(((INT(C476)+MOD(D476,1))-(INT(I476)+MOD(J476,1))),0)</f>
        <v>1</v>
      </c>
      <c r="S476" s="10"/>
    </row>
    <row r="477" customFormat="false" ht="199.05" hidden="false" customHeight="false" outlineLevel="0" collapsed="false">
      <c r="A477" s="8" t="s">
        <v>856</v>
      </c>
      <c r="B477" s="22" t="s">
        <v>857</v>
      </c>
      <c r="C477" s="18" t="n">
        <v>45863.4166666667</v>
      </c>
      <c r="D477" s="19" t="n">
        <v>45863.4166666667</v>
      </c>
      <c r="E477" s="18" t="n">
        <v>45863.7916666667</v>
      </c>
      <c r="F477" s="19" t="n">
        <v>45863.7916666667</v>
      </c>
      <c r="G477" s="20" t="n">
        <v>2500</v>
      </c>
      <c r="H477" s="8" t="n">
        <v>8</v>
      </c>
      <c r="I477" s="10" t="n">
        <v>45863</v>
      </c>
      <c r="J477" s="11" t="n">
        <v>0.439513888893993</v>
      </c>
      <c r="K477" s="1" t="str">
        <f aca="false">IF(L477&gt;24,     IF(H477=2,"Couple Extended Day","Extended Day"), IF(L477&lt;=12,     IF(AND(MOD(D477,1)&gt;=TIME(6,0,0),MOD(D477,1)&lt;TIME(18,0,0)),         IF(H477=2,"Couple Half Day","12H Day"),         IF(H477=2,"Couple Half Night","12H Night")), IF(L477&lt;=24,     IF(AND(MOD(D477,1)&gt;=TIME(6,0,0),MOD(D477,1)&lt;TIME(18,0,0)),         IF(H477=2,"Couple Full Day","24H Day"),         IF(H477=2,"Couple Full Night","24H Night")), "Check Data")))</f>
        <v>12H Day</v>
      </c>
      <c r="L477" s="12" t="n">
        <f aca="false">((INT(E477)+MOD(F477,1))-(INT(C477)+MOD(D477,1)))*24</f>
        <v>9</v>
      </c>
      <c r="M477" s="1" t="n">
        <f aca="false">IFERROR(INDEX(Sheet3!$B$2:$B$500,MATCH(1,(INT(C477)+MOD(D477,1)&lt;INT(Sheet3!$A$2:$A$500)+TIME(18,0,0))*(INT(E477)+MOD(F477,1)&gt;=INT(Sheet3!$A$2:$A$500)),0)),0)</f>
        <v>0</v>
      </c>
      <c r="N477" s="1" t="n">
        <f aca="false">IF(OR( AND(Q477=6,D477&gt;=TIME(17,0,0),OR(K477="12H Night",K477="Couple Half Night",K477="24H Night",K477="Couple Full Night")), AND(Q477=7,D477&gt;=TIME(6,0,0),D477&lt;TIME(12,0,0),OR(K477="12H Day",K477="Couple Half Day",K477="24H Day",K477="Couple Full Day")) ),1,0)</f>
        <v>0</v>
      </c>
      <c r="O477" s="1" t="n">
        <f aca="false">IF(OR( AND(MONTH(C477)=12,DAY(C477)&gt;=26), AND(MONTH(C477)=4,DAY(C477)&gt;=15), MONTH(C477)=5, AND(MONTH(C477)=6,DAY(C477)&lt;=10) ),1,0)</f>
        <v>0</v>
      </c>
      <c r="P477" s="1" t="str">
        <f aca="false">IF(OR(MONTH(C477)=3,MONTH(C477)=4,MONTH(C477)=5,MONTH(C477)=6), "Summer", IF(OR(MONTH(C477)=7,MONTH(C477)=8,MONTH(C477)=9,MONTH(C477)=10), "Monsoon", "Winter"))</f>
        <v>Monsoon</v>
      </c>
      <c r="Q477" s="1" t="n">
        <f aca="false">WEEKDAY(C477,2)</f>
        <v>5</v>
      </c>
      <c r="R477" s="0" t="n">
        <f aca="false">ROUNDDOWN(((INT(C477)+MOD(D477,1))-(INT(I477)+MOD(J477,1))),0)</f>
        <v>-0</v>
      </c>
      <c r="S477" s="10"/>
    </row>
    <row r="478" customFormat="false" ht="93.85" hidden="false" customHeight="false" outlineLevel="0" collapsed="false">
      <c r="A478" s="8" t="s">
        <v>858</v>
      </c>
      <c r="B478" s="22" t="s">
        <v>859</v>
      </c>
      <c r="C478" s="18" t="n">
        <v>45864.7916666667</v>
      </c>
      <c r="D478" s="19" t="n">
        <v>45864.7916666667</v>
      </c>
      <c r="E478" s="18" t="n">
        <v>45865.3333333333</v>
      </c>
      <c r="F478" s="19" t="n">
        <v>0</v>
      </c>
      <c r="G478" s="20" t="n">
        <v>3000</v>
      </c>
      <c r="H478" s="8" t="n">
        <v>8</v>
      </c>
      <c r="I478" s="10" t="n">
        <v>45863</v>
      </c>
      <c r="J478" s="11" t="n">
        <v>0.521481481482627</v>
      </c>
      <c r="K478" s="1" t="str">
        <f aca="false">IF(L478&gt;24,     IF(H478=2,"Couple Extended Day","Extended Day"), IF(L478&lt;=12,     IF(AND(MOD(D478,1)&gt;=TIME(6,0,0),MOD(D478,1)&lt;TIME(18,0,0)),         IF(H478=2,"Couple Half Day","12H Day"),         IF(H478=2,"Couple Half Night","12H Night")), IF(L478&lt;=24,     IF(AND(MOD(D478,1)&gt;=TIME(6,0,0),MOD(D478,1)&lt;TIME(18,0,0)),         IF(H478=2,"Couple Full Day","24H Day"),         IF(H478=2,"Couple Full Night","24H Night")), "Check Data")))</f>
        <v>12H Night</v>
      </c>
      <c r="L478" s="12" t="n">
        <f aca="false">((INT(E478)+MOD(F478,1))-(INT(C478)+MOD(D478,1)))*24</f>
        <v>4.99999999901047</v>
      </c>
      <c r="M478" s="1" t="n">
        <f aca="false">IFERROR(INDEX(Sheet3!$B$2:$B$500,MATCH(1,(INT(C478)+MOD(D478,1)&lt;INT(Sheet3!$A$2:$A$500)+TIME(18,0,0))*(INT(E478)+MOD(F478,1)&gt;=INT(Sheet3!$A$2:$A$500)),0)),0)</f>
        <v>0</v>
      </c>
      <c r="N478" s="1" t="n">
        <f aca="false">IF(OR( AND(Q478=6,D478&gt;=TIME(17,0,0),OR(K478="12H Night",K478="Couple Half Night",K478="24H Night",K478="Couple Full Night")), AND(Q478=7,D478&gt;=TIME(6,0,0),D478&lt;TIME(12,0,0),OR(K478="12H Day",K478="Couple Half Day",K478="24H Day",K478="Couple Full Day")) ),1,0)</f>
        <v>1</v>
      </c>
      <c r="O478" s="1" t="n">
        <f aca="false">IF(OR( AND(MONTH(C478)=12,DAY(C478)&gt;=26), AND(MONTH(C478)=4,DAY(C478)&gt;=15), MONTH(C478)=5, AND(MONTH(C478)=6,DAY(C478)&lt;=10) ),1,0)</f>
        <v>0</v>
      </c>
      <c r="P478" s="1" t="str">
        <f aca="false">IF(OR(MONTH(C478)=3,MONTH(C478)=4,MONTH(C478)=5,MONTH(C478)=6), "Summer", IF(OR(MONTH(C478)=7,MONTH(C478)=8,MONTH(C478)=9,MONTH(C478)=10), "Monsoon", "Winter"))</f>
        <v>Monsoon</v>
      </c>
      <c r="Q478" s="1" t="n">
        <f aca="false">WEEKDAY(C478,2)</f>
        <v>6</v>
      </c>
      <c r="R478" s="0" t="n">
        <f aca="false">ROUNDDOWN(((INT(C478)+MOD(D478,1))-(INT(I478)+MOD(J478,1))),0)</f>
        <v>1</v>
      </c>
      <c r="S478" s="10"/>
    </row>
    <row r="479" customFormat="false" ht="199.05" hidden="false" customHeight="false" outlineLevel="0" collapsed="false">
      <c r="A479" s="8" t="s">
        <v>302</v>
      </c>
      <c r="B479" s="22" t="s">
        <v>860</v>
      </c>
      <c r="C479" s="18" t="n">
        <v>45866.375</v>
      </c>
      <c r="D479" s="19" t="n">
        <v>45866.375</v>
      </c>
      <c r="E479" s="18" t="n">
        <v>45866.75</v>
      </c>
      <c r="F479" s="19" t="n">
        <v>45866.75</v>
      </c>
      <c r="G479" s="20" t="n">
        <v>2000</v>
      </c>
      <c r="H479" s="8" t="n">
        <v>2</v>
      </c>
      <c r="I479" s="10" t="n">
        <v>45856</v>
      </c>
      <c r="J479" s="11" t="n">
        <v>0.433784722219572</v>
      </c>
      <c r="K479" s="1" t="str">
        <f aca="false">IF(L479&gt;24,     IF(H479=2,"Couple Extended Day","Extended Day"), IF(L479&lt;=12,     IF(AND(MOD(D479,1)&gt;=TIME(6,0,0),MOD(D479,1)&lt;TIME(18,0,0)),         IF(H479=2,"Couple Half Day","12H Day"),         IF(H479=2,"Couple Half Night","12H Night")), IF(L479&lt;=24,     IF(AND(MOD(D479,1)&gt;=TIME(6,0,0),MOD(D479,1)&lt;TIME(18,0,0)),         IF(H479=2,"Couple Full Day","24H Day"),         IF(H479=2,"Couple Full Night","24H Night")), "Check Data")))</f>
        <v>Couple Half Day</v>
      </c>
      <c r="L479" s="12" t="n">
        <f aca="false">((INT(E479)+MOD(F479,1))-(INT(C479)+MOD(D479,1)))*24</f>
        <v>9</v>
      </c>
      <c r="M479" s="1" t="n">
        <f aca="false">IFERROR(INDEX(Sheet3!$B$2:$B$500,MATCH(1,(INT(C479)+MOD(D479,1)&lt;INT(Sheet3!$A$2:$A$500)+TIME(18,0,0))*(INT(E479)+MOD(F479,1)&gt;=INT(Sheet3!$A$2:$A$500)),0)),0)</f>
        <v>0</v>
      </c>
      <c r="N479" s="1" t="n">
        <f aca="false">IF(OR( AND(Q479=6,D479&gt;=TIME(17,0,0),OR(K479="12H Night",K479="Couple Half Night",K479="24H Night",K479="Couple Full Night")), AND(Q479=7,D479&gt;=TIME(6,0,0),D479&lt;TIME(12,0,0),OR(K479="12H Day",K479="Couple Half Day",K479="24H Day",K479="Couple Full Day")) ),1,0)</f>
        <v>0</v>
      </c>
      <c r="O479" s="1" t="n">
        <f aca="false">IF(OR( AND(MONTH(C479)=12,DAY(C479)&gt;=26), AND(MONTH(C479)=4,DAY(C479)&gt;=15), MONTH(C479)=5, AND(MONTH(C479)=6,DAY(C479)&lt;=10) ),1,0)</f>
        <v>0</v>
      </c>
      <c r="P479" s="1" t="str">
        <f aca="false">IF(OR(MONTH(C479)=3,MONTH(C479)=4,MONTH(C479)=5,MONTH(C479)=6), "Summer", IF(OR(MONTH(C479)=7,MONTH(C479)=8,MONTH(C479)=9,MONTH(C479)=10), "Monsoon", "Winter"))</f>
        <v>Monsoon</v>
      </c>
      <c r="Q479" s="1" t="n">
        <f aca="false">WEEKDAY(C479,2)</f>
        <v>1</v>
      </c>
      <c r="R479" s="0" t="n">
        <f aca="false">ROUNDDOWN(((INT(C479)+MOD(D479,1))-(INT(I479)+MOD(J479,1))),0)</f>
        <v>9</v>
      </c>
      <c r="S479" s="10"/>
    </row>
    <row r="480" customFormat="false" ht="93.85" hidden="false" customHeight="false" outlineLevel="0" collapsed="false">
      <c r="A480" s="8" t="s">
        <v>861</v>
      </c>
      <c r="B480" s="22" t="s">
        <v>862</v>
      </c>
      <c r="C480" s="18" t="n">
        <v>45868.3333333333</v>
      </c>
      <c r="D480" s="19" t="n">
        <v>0</v>
      </c>
      <c r="E480" s="18" t="n">
        <v>45868.75</v>
      </c>
      <c r="F480" s="19" t="n">
        <v>45868.75</v>
      </c>
      <c r="G480" s="20" t="n">
        <v>1800</v>
      </c>
      <c r="H480" s="8" t="n">
        <v>2</v>
      </c>
      <c r="I480" s="10" t="n">
        <v>45867</v>
      </c>
      <c r="J480" s="11" t="n">
        <v>0.614467592589792</v>
      </c>
      <c r="K480" s="1" t="str">
        <f aca="false">IF(L480&gt;24,     IF(H480=2,"Couple Extended Day","Extended Day"), IF(L480&lt;=12,     IF(AND(MOD(D480,1)&gt;=TIME(6,0,0),MOD(D480,1)&lt;TIME(18,0,0)),         IF(H480=2,"Couple Half Day","12H Day"),         IF(H480=2,"Couple Half Night","12H Night")), IF(L480&lt;=24,     IF(AND(MOD(D480,1)&gt;=TIME(6,0,0),MOD(D480,1)&lt;TIME(18,0,0)),         IF(H480=2,"Couple Full Day","24H Day"),         IF(H480=2,"Couple Full Night","24H Night")), "Check Data")))</f>
        <v>Couple Full Night</v>
      </c>
      <c r="L480" s="12" t="n">
        <f aca="false">((INT(E480)+MOD(F480,1))-(INT(C480)+MOD(D480,1)))*24</f>
        <v>18</v>
      </c>
      <c r="M480" s="1" t="n">
        <f aca="false">IFERROR(INDEX(Sheet3!$B$2:$B$500,MATCH(1,(INT(C480)+MOD(D480,1)&lt;INT(Sheet3!$A$2:$A$500)+TIME(18,0,0))*(INT(E480)+MOD(F480,1)&gt;=INT(Sheet3!$A$2:$A$500)),0)),0)</f>
        <v>0</v>
      </c>
      <c r="N480" s="1" t="n">
        <f aca="false">IF(OR( AND(Q480=6,D480&gt;=TIME(17,0,0),OR(K480="12H Night",K480="Couple Half Night",K480="24H Night",K480="Couple Full Night")), AND(Q480=7,D480&gt;=TIME(6,0,0),D480&lt;TIME(12,0,0),OR(K480="12H Day",K480="Couple Half Day",K480="24H Day",K480="Couple Full Day")) ),1,0)</f>
        <v>0</v>
      </c>
      <c r="O480" s="1" t="n">
        <f aca="false">IF(OR( AND(MONTH(C480)=12,DAY(C480)&gt;=26), AND(MONTH(C480)=4,DAY(C480)&gt;=15), MONTH(C480)=5, AND(MONTH(C480)=6,DAY(C480)&lt;=10) ),1,0)</f>
        <v>0</v>
      </c>
      <c r="P480" s="1" t="str">
        <f aca="false">IF(OR(MONTH(C480)=3,MONTH(C480)=4,MONTH(C480)=5,MONTH(C480)=6), "Summer", IF(OR(MONTH(C480)=7,MONTH(C480)=8,MONTH(C480)=9,MONTH(C480)=10), "Monsoon", "Winter"))</f>
        <v>Monsoon</v>
      </c>
      <c r="Q480" s="1" t="n">
        <f aca="false">WEEKDAY(C480,2)</f>
        <v>3</v>
      </c>
      <c r="R480" s="0" t="n">
        <f aca="false">ROUNDDOWN(((INT(C480)+MOD(D480,1))-(INT(I480)+MOD(J480,1))),0)</f>
        <v>0</v>
      </c>
      <c r="S480" s="10"/>
    </row>
    <row r="481" customFormat="false" ht="120.15" hidden="false" customHeight="false" outlineLevel="0" collapsed="false">
      <c r="A481" s="8" t="s">
        <v>863</v>
      </c>
      <c r="B481" s="22" t="s">
        <v>864</v>
      </c>
      <c r="C481" s="18" t="n">
        <v>45870.375</v>
      </c>
      <c r="D481" s="19" t="n">
        <v>45870.375</v>
      </c>
      <c r="E481" s="18" t="n">
        <v>45870.75</v>
      </c>
      <c r="F481" s="19" t="n">
        <v>45870.75</v>
      </c>
      <c r="G481" s="20" t="n">
        <v>1500</v>
      </c>
      <c r="H481" s="8" t="n">
        <v>2</v>
      </c>
      <c r="I481" s="10" t="n">
        <v>45854</v>
      </c>
      <c r="J481" s="11" t="n">
        <v>0.917349537034167</v>
      </c>
      <c r="K481" s="1" t="str">
        <f aca="false">IF(L481&gt;24,     IF(H481=2,"Couple Extended Day","Extended Day"), IF(L481&lt;=12,     IF(AND(MOD(D481,1)&gt;=TIME(6,0,0),MOD(D481,1)&lt;TIME(18,0,0)),         IF(H481=2,"Couple Half Day","12H Day"),         IF(H481=2,"Couple Half Night","12H Night")), IF(L481&lt;=24,     IF(AND(MOD(D481,1)&gt;=TIME(6,0,0),MOD(D481,1)&lt;TIME(18,0,0)),         IF(H481=2,"Couple Full Day","24H Day"),         IF(H481=2,"Couple Full Night","24H Night")), "Check Data")))</f>
        <v>Couple Half Day</v>
      </c>
      <c r="L481" s="12" t="n">
        <f aca="false">((INT(E481)+MOD(F481,1))-(INT(C481)+MOD(D481,1)))*24</f>
        <v>9</v>
      </c>
      <c r="M481" s="1" t="n">
        <f aca="false">IFERROR(INDEX(Sheet3!$B$2:$B$500,MATCH(1,(INT(C481)+MOD(D481,1)&lt;INT(Sheet3!$A$2:$A$500)+TIME(18,0,0))*(INT(E481)+MOD(F481,1)&gt;=INT(Sheet3!$A$2:$A$500)),0)),0)</f>
        <v>0</v>
      </c>
      <c r="N481" s="1" t="n">
        <f aca="false">IF(OR( AND(Q481=6,D481&gt;=TIME(17,0,0),OR(K481="12H Night",K481="Couple Half Night",K481="24H Night",K481="Couple Full Night")), AND(Q481=7,D481&gt;=TIME(6,0,0),D481&lt;TIME(12,0,0),OR(K481="12H Day",K481="Couple Half Day",K481="24H Day",K481="Couple Full Day")) ),1,0)</f>
        <v>0</v>
      </c>
      <c r="O481" s="1" t="n">
        <f aca="false">IF(OR( AND(MONTH(C481)=12,DAY(C481)&gt;=26), AND(MONTH(C481)=4,DAY(C481)&gt;=15), MONTH(C481)=5, AND(MONTH(C481)=6,DAY(C481)&lt;=10) ),1,0)</f>
        <v>0</v>
      </c>
      <c r="P481" s="1" t="str">
        <f aca="false">IF(OR(MONTH(C481)=3,MONTH(C481)=4,MONTH(C481)=5,MONTH(C481)=6), "Summer", IF(OR(MONTH(C481)=7,MONTH(C481)=8,MONTH(C481)=9,MONTH(C481)=10), "Monsoon", "Winter"))</f>
        <v>Monsoon</v>
      </c>
      <c r="Q481" s="1" t="n">
        <f aca="false">WEEKDAY(C481,2)</f>
        <v>5</v>
      </c>
      <c r="R481" s="0" t="n">
        <f aca="false">ROUNDDOWN(((INT(C481)+MOD(D481,1))-(INT(I481)+MOD(J481,1))),0)</f>
        <v>15</v>
      </c>
      <c r="S481" s="10"/>
    </row>
    <row r="482" customFormat="false" ht="133.3" hidden="false" customHeight="false" outlineLevel="0" collapsed="false">
      <c r="A482" s="8" t="s">
        <v>865</v>
      </c>
      <c r="B482" s="22" t="s">
        <v>866</v>
      </c>
      <c r="C482" s="18" t="n">
        <v>45871.375</v>
      </c>
      <c r="D482" s="19" t="n">
        <v>45871.375</v>
      </c>
      <c r="E482" s="18" t="n">
        <v>45871.75</v>
      </c>
      <c r="F482" s="19" t="n">
        <v>45871.75</v>
      </c>
      <c r="G482" s="20" t="n">
        <v>2200</v>
      </c>
      <c r="H482" s="8" t="n">
        <v>7</v>
      </c>
      <c r="I482" s="10" t="n">
        <v>45870</v>
      </c>
      <c r="J482" s="11" t="n">
        <v>0.905590277776354</v>
      </c>
      <c r="K482" s="1" t="str">
        <f aca="false">IF(L482&gt;24,     IF(H482=2,"Couple Extended Day","Extended Day"), IF(L482&lt;=12,     IF(AND(MOD(D482,1)&gt;=TIME(6,0,0),MOD(D482,1)&lt;TIME(18,0,0)),         IF(H482=2,"Couple Half Day","12H Day"),         IF(H482=2,"Couple Half Night","12H Night")), IF(L482&lt;=24,     IF(AND(MOD(D482,1)&gt;=TIME(6,0,0),MOD(D482,1)&lt;TIME(18,0,0)),         IF(H482=2,"Couple Full Day","24H Day"),         IF(H482=2,"Couple Full Night","24H Night")), "Check Data")))</f>
        <v>12H Day</v>
      </c>
      <c r="L482" s="12" t="n">
        <f aca="false">((INT(E482)+MOD(F482,1))-(INT(C482)+MOD(D482,1)))*24</f>
        <v>9</v>
      </c>
      <c r="M482" s="1" t="n">
        <f aca="false">IFERROR(INDEX(Sheet3!$B$2:$B$500,MATCH(1,(INT(C482)+MOD(D482,1)&lt;INT(Sheet3!$A$2:$A$500)+TIME(18,0,0))*(INT(E482)+MOD(F482,1)&gt;=INT(Sheet3!$A$2:$A$500)),0)),0)</f>
        <v>0</v>
      </c>
      <c r="N482" s="1" t="n">
        <f aca="false">IF(OR( AND(Q482=6,D482&gt;=TIME(17,0,0),OR(K482="12H Night",K482="Couple Half Night",K482="24H Night",K482="Couple Full Night")), AND(Q482=7,D482&gt;=TIME(6,0,0),D482&lt;TIME(12,0,0),OR(K482="12H Day",K482="Couple Half Day",K482="24H Day",K482="Couple Full Day")) ),1,0)</f>
        <v>0</v>
      </c>
      <c r="O482" s="1" t="n">
        <f aca="false">IF(OR( AND(MONTH(C482)=12,DAY(C482)&gt;=26), AND(MONTH(C482)=4,DAY(C482)&gt;=15), MONTH(C482)=5, AND(MONTH(C482)=6,DAY(C482)&lt;=10) ),1,0)</f>
        <v>0</v>
      </c>
      <c r="P482" s="1" t="str">
        <f aca="false">IF(OR(MONTH(C482)=3,MONTH(C482)=4,MONTH(C482)=5,MONTH(C482)=6), "Summer", IF(OR(MONTH(C482)=7,MONTH(C482)=8,MONTH(C482)=9,MONTH(C482)=10), "Monsoon", "Winter"))</f>
        <v>Monsoon</v>
      </c>
      <c r="Q482" s="1" t="n">
        <f aca="false">WEEKDAY(C482,2)</f>
        <v>6</v>
      </c>
      <c r="R482" s="0" t="n">
        <f aca="false">ROUNDDOWN(((INT(C482)+MOD(D482,1))-(INT(I482)+MOD(J482,1))),0)</f>
        <v>0</v>
      </c>
      <c r="S482" s="10"/>
    </row>
    <row r="483" customFormat="false" ht="199.05" hidden="false" customHeight="false" outlineLevel="0" collapsed="false">
      <c r="A483" s="8" t="s">
        <v>867</v>
      </c>
      <c r="B483" s="22" t="s">
        <v>868</v>
      </c>
      <c r="C483" s="18" t="n">
        <v>45871.7916666667</v>
      </c>
      <c r="D483" s="19" t="n">
        <v>45871.7916666667</v>
      </c>
      <c r="E483" s="18" t="n">
        <v>45872.75</v>
      </c>
      <c r="F483" s="19" t="n">
        <v>45872.75</v>
      </c>
      <c r="G483" s="20" t="n">
        <v>4500</v>
      </c>
      <c r="H483" s="8" t="n">
        <v>12</v>
      </c>
      <c r="I483" s="10" t="n">
        <v>45870</v>
      </c>
      <c r="J483" s="11" t="n">
        <v>0.441192129626875</v>
      </c>
      <c r="K483" s="1" t="str">
        <f aca="false">IF(L483&gt;24,     IF(H483=2,"Couple Extended Day","Extended Day"), IF(L483&lt;=12,     IF(AND(MOD(D483,1)&gt;=TIME(6,0,0),MOD(D483,1)&lt;TIME(18,0,0)),         IF(H483=2,"Couple Half Day","12H Day"),         IF(H483=2,"Couple Half Night","12H Night")), IF(L483&lt;=24,     IF(AND(MOD(D483,1)&gt;=TIME(6,0,0),MOD(D483,1)&lt;TIME(18,0,0)),         IF(H483=2,"Couple Full Day","24H Day"),         IF(H483=2,"Couple Full Night","24H Night")), "Check Data")))</f>
        <v>24H Night</v>
      </c>
      <c r="L483" s="12" t="n">
        <f aca="false">((INT(E483)+MOD(F483,1))-(INT(C483)+MOD(D483,1)))*24</f>
        <v>22.9999999990105</v>
      </c>
      <c r="M483" s="1" t="n">
        <f aca="false">IFERROR(INDEX(Sheet3!$B$2:$B$500,MATCH(1,(INT(C483)+MOD(D483,1)&lt;INT(Sheet3!$A$2:$A$500)+TIME(18,0,0))*(INT(E483)+MOD(F483,1)&gt;=INT(Sheet3!$A$2:$A$500)),0)),0)</f>
        <v>0</v>
      </c>
      <c r="N483" s="1" t="n">
        <f aca="false">IF(OR( AND(Q483=6,D483&gt;=TIME(17,0,0),OR(K483="12H Night",K483="Couple Half Night",K483="24H Night",K483="Couple Full Night")), AND(Q483=7,D483&gt;=TIME(6,0,0),D483&lt;TIME(12,0,0),OR(K483="12H Day",K483="Couple Half Day",K483="24H Day",K483="Couple Full Day")) ),1,0)</f>
        <v>1</v>
      </c>
      <c r="O483" s="1" t="n">
        <f aca="false">IF(OR( AND(MONTH(C483)=12,DAY(C483)&gt;=26), AND(MONTH(C483)=4,DAY(C483)&gt;=15), MONTH(C483)=5, AND(MONTH(C483)=6,DAY(C483)&lt;=10) ),1,0)</f>
        <v>0</v>
      </c>
      <c r="P483" s="1" t="str">
        <f aca="false">IF(OR(MONTH(C483)=3,MONTH(C483)=4,MONTH(C483)=5,MONTH(C483)=6), "Summer", IF(OR(MONTH(C483)=7,MONTH(C483)=8,MONTH(C483)=9,MONTH(C483)=10), "Monsoon", "Winter"))</f>
        <v>Monsoon</v>
      </c>
      <c r="Q483" s="1" t="n">
        <f aca="false">WEEKDAY(C483,2)</f>
        <v>6</v>
      </c>
      <c r="R483" s="0" t="n">
        <f aca="false">ROUNDDOWN(((INT(C483)+MOD(D483,1))-(INT(I483)+MOD(J483,1))),0)</f>
        <v>1</v>
      </c>
      <c r="S483" s="10"/>
    </row>
    <row r="484" customFormat="false" ht="85.2" hidden="false" customHeight="false" outlineLevel="0" collapsed="false">
      <c r="A484" s="8" t="s">
        <v>869</v>
      </c>
      <c r="B484" s="22" t="s">
        <v>870</v>
      </c>
      <c r="C484" s="18" t="n">
        <v>45873.2916666667</v>
      </c>
      <c r="D484" s="19" t="n">
        <v>45873.2916666667</v>
      </c>
      <c r="E484" s="18" t="n">
        <v>45873.7916666667</v>
      </c>
      <c r="F484" s="19" t="n">
        <v>45873.7916666667</v>
      </c>
      <c r="G484" s="20" t="n">
        <v>3000</v>
      </c>
      <c r="H484" s="8" t="n">
        <v>5</v>
      </c>
      <c r="I484" s="10" t="n">
        <v>45867</v>
      </c>
      <c r="J484" s="11" t="n">
        <v>0.49821759259794</v>
      </c>
      <c r="K484" s="1" t="str">
        <f aca="false">IF(L484&gt;24,     IF(H484=2,"Couple Extended Day","Extended Day"), IF(L484&lt;=12,     IF(AND(MOD(D484,1)&gt;=TIME(6,0,0),MOD(D484,1)&lt;TIME(18,0,0)),         IF(H484=2,"Couple Half Day","12H Day"),         IF(H484=2,"Couple Half Night","12H Night")), IF(L484&lt;=24,     IF(AND(MOD(D484,1)&gt;=TIME(6,0,0),MOD(D484,1)&lt;TIME(18,0,0)),         IF(H484=2,"Couple Full Day","24H Day"),         IF(H484=2,"Couple Full Night","24H Night")), "Check Data")))</f>
        <v>12H Day</v>
      </c>
      <c r="L484" s="12" t="n">
        <f aca="false">((INT(E484)+MOD(F484,1))-(INT(C484)+MOD(D484,1)))*24</f>
        <v>12</v>
      </c>
      <c r="M484" s="1" t="n">
        <f aca="false">IFERROR(INDEX(Sheet3!$B$2:$B$500,MATCH(1,(INT(C484)+MOD(D484,1)&lt;INT(Sheet3!$A$2:$A$500)+TIME(18,0,0))*(INT(E484)+MOD(F484,1)&gt;=INT(Sheet3!$A$2:$A$500)),0)),0)</f>
        <v>0</v>
      </c>
      <c r="N484" s="1" t="n">
        <f aca="false">IF(OR( AND(Q484=6,D484&gt;=TIME(17,0,0),OR(K484="12H Night",K484="Couple Half Night",K484="24H Night",K484="Couple Full Night")), AND(Q484=7,D484&gt;=TIME(6,0,0),D484&lt;TIME(12,0,0),OR(K484="12H Day",K484="Couple Half Day",K484="24H Day",K484="Couple Full Day")) ),1,0)</f>
        <v>0</v>
      </c>
      <c r="O484" s="1" t="n">
        <f aca="false">IF(OR( AND(MONTH(C484)=12,DAY(C484)&gt;=26), AND(MONTH(C484)=4,DAY(C484)&gt;=15), MONTH(C484)=5, AND(MONTH(C484)=6,DAY(C484)&lt;=10) ),1,0)</f>
        <v>0</v>
      </c>
      <c r="P484" s="1" t="str">
        <f aca="false">IF(OR(MONTH(C484)=3,MONTH(C484)=4,MONTH(C484)=5,MONTH(C484)=6), "Summer", IF(OR(MONTH(C484)=7,MONTH(C484)=8,MONTH(C484)=9,MONTH(C484)=10), "Monsoon", "Winter"))</f>
        <v>Monsoon</v>
      </c>
      <c r="Q484" s="1" t="n">
        <f aca="false">WEEKDAY(C484,2)</f>
        <v>1</v>
      </c>
      <c r="R484" s="0" t="n">
        <f aca="false">ROUNDDOWN(((INT(C484)+MOD(D484,1))-(INT(I484)+MOD(J484,1))),0)</f>
        <v>5</v>
      </c>
      <c r="S484" s="10"/>
    </row>
    <row r="485" customFormat="false" ht="85.2" hidden="false" customHeight="false" outlineLevel="0" collapsed="false">
      <c r="A485" s="8" t="s">
        <v>871</v>
      </c>
      <c r="B485" s="22" t="s">
        <v>872</v>
      </c>
      <c r="C485" s="18" t="n">
        <v>45874.3333333333</v>
      </c>
      <c r="D485" s="19" t="n">
        <v>0</v>
      </c>
      <c r="E485" s="18" t="n">
        <v>45874.75</v>
      </c>
      <c r="F485" s="19" t="n">
        <v>45874.75</v>
      </c>
      <c r="G485" s="20" t="n">
        <v>2500</v>
      </c>
      <c r="H485" s="8" t="n">
        <v>4</v>
      </c>
      <c r="I485" s="10" t="n">
        <v>45869</v>
      </c>
      <c r="J485" s="11" t="n">
        <v>0.61629629629897</v>
      </c>
      <c r="K485" s="1" t="str">
        <f aca="false">IF(L485&gt;24,     IF(H485=2,"Couple Extended Day","Extended Day"), IF(L485&lt;=12,     IF(AND(MOD(D485,1)&gt;=TIME(6,0,0),MOD(D485,1)&lt;TIME(18,0,0)),         IF(H485=2,"Couple Half Day","12H Day"),         IF(H485=2,"Couple Half Night","12H Night")), IF(L485&lt;=24,     IF(AND(MOD(D485,1)&gt;=TIME(6,0,0),MOD(D485,1)&lt;TIME(18,0,0)),         IF(H485=2,"Couple Full Day","24H Day"),         IF(H485=2,"Couple Full Night","24H Night")), "Check Data")))</f>
        <v>24H Night</v>
      </c>
      <c r="L485" s="12" t="n">
        <f aca="false">((INT(E485)+MOD(F485,1))-(INT(C485)+MOD(D485,1)))*24</f>
        <v>18</v>
      </c>
      <c r="M485" s="1" t="n">
        <f aca="false">IFERROR(INDEX(Sheet3!$B$2:$B$500,MATCH(1,(INT(C485)+MOD(D485,1)&lt;INT(Sheet3!$A$2:$A$500)+TIME(18,0,0))*(INT(E485)+MOD(F485,1)&gt;=INT(Sheet3!$A$2:$A$500)),0)),0)</f>
        <v>0</v>
      </c>
      <c r="N485" s="1" t="n">
        <f aca="false">IF(OR( AND(Q485=6,D485&gt;=TIME(17,0,0),OR(K485="12H Night",K485="Couple Half Night",K485="24H Night",K485="Couple Full Night")), AND(Q485=7,D485&gt;=TIME(6,0,0),D485&lt;TIME(12,0,0),OR(K485="12H Day",K485="Couple Half Day",K485="24H Day",K485="Couple Full Day")) ),1,0)</f>
        <v>0</v>
      </c>
      <c r="O485" s="1" t="n">
        <f aca="false">IF(OR( AND(MONTH(C485)=12,DAY(C485)&gt;=26), AND(MONTH(C485)=4,DAY(C485)&gt;=15), MONTH(C485)=5, AND(MONTH(C485)=6,DAY(C485)&lt;=10) ),1,0)</f>
        <v>0</v>
      </c>
      <c r="P485" s="1" t="str">
        <f aca="false">IF(OR(MONTH(C485)=3,MONTH(C485)=4,MONTH(C485)=5,MONTH(C485)=6), "Summer", IF(OR(MONTH(C485)=7,MONTH(C485)=8,MONTH(C485)=9,MONTH(C485)=10), "Monsoon", "Winter"))</f>
        <v>Monsoon</v>
      </c>
      <c r="Q485" s="1" t="n">
        <f aca="false">WEEKDAY(C485,2)</f>
        <v>2</v>
      </c>
      <c r="R485" s="0" t="n">
        <f aca="false">ROUNDDOWN(((INT(C485)+MOD(D485,1))-(INT(I485)+MOD(J485,1))),0)</f>
        <v>4</v>
      </c>
      <c r="S485" s="10"/>
    </row>
    <row r="486" customFormat="false" ht="212.2" hidden="false" customHeight="false" outlineLevel="0" collapsed="false">
      <c r="A486" s="8" t="s">
        <v>514</v>
      </c>
      <c r="B486" s="22" t="s">
        <v>873</v>
      </c>
      <c r="C486" s="18" t="n">
        <v>45877.375</v>
      </c>
      <c r="D486" s="19" t="n">
        <v>45877.375</v>
      </c>
      <c r="E486" s="18" t="n">
        <v>45877.75</v>
      </c>
      <c r="F486" s="19" t="n">
        <v>45877.75</v>
      </c>
      <c r="G486" s="20" t="n">
        <v>2700</v>
      </c>
      <c r="H486" s="8" t="n">
        <v>5</v>
      </c>
      <c r="I486" s="10" t="n">
        <v>45872</v>
      </c>
      <c r="J486" s="11" t="n">
        <v>0.482743055559699</v>
      </c>
      <c r="K486" s="1" t="str">
        <f aca="false">IF(L486&gt;24,     IF(H486=2,"Couple Extended Day","Extended Day"), IF(L486&lt;=12,     IF(AND(MOD(D486,1)&gt;=TIME(6,0,0),MOD(D486,1)&lt;TIME(18,0,0)),         IF(H486=2,"Couple Half Day","12H Day"),         IF(H486=2,"Couple Half Night","12H Night")), IF(L486&lt;=24,     IF(AND(MOD(D486,1)&gt;=TIME(6,0,0),MOD(D486,1)&lt;TIME(18,0,0)),         IF(H486=2,"Couple Full Day","24H Day"),         IF(H486=2,"Couple Full Night","24H Night")), "Check Data")))</f>
        <v>12H Day</v>
      </c>
      <c r="L486" s="12" t="n">
        <f aca="false">((INT(E486)+MOD(F486,1))-(INT(C486)+MOD(D486,1)))*24</f>
        <v>9</v>
      </c>
      <c r="M486" s="1" t="n">
        <f aca="false">IFERROR(INDEX(Sheet3!$B$2:$B$500,MATCH(1,(INT(C486)+MOD(D486,1)&lt;INT(Sheet3!$A$2:$A$500)+TIME(18,0,0))*(INT(E486)+MOD(F486,1)&gt;=INT(Sheet3!$A$2:$A$500)),0)),0)</f>
        <v>0</v>
      </c>
      <c r="N486" s="1" t="n">
        <f aca="false">IF(OR( AND(Q486=6,D486&gt;=TIME(17,0,0),OR(K486="12H Night",K486="Couple Half Night",K486="24H Night",K486="Couple Full Night")), AND(Q486=7,D486&gt;=TIME(6,0,0),D486&lt;TIME(12,0,0),OR(K486="12H Day",K486="Couple Half Day",K486="24H Day",K486="Couple Full Day")) ),1,0)</f>
        <v>0</v>
      </c>
      <c r="O486" s="1" t="n">
        <f aca="false">IF(OR( AND(MONTH(C486)=12,DAY(C486)&gt;=26), AND(MONTH(C486)=4,DAY(C486)&gt;=15), MONTH(C486)=5, AND(MONTH(C486)=6,DAY(C486)&lt;=10) ),1,0)</f>
        <v>0</v>
      </c>
      <c r="P486" s="1" t="str">
        <f aca="false">IF(OR(MONTH(C486)=3,MONTH(C486)=4,MONTH(C486)=5,MONTH(C486)=6), "Summer", IF(OR(MONTH(C486)=7,MONTH(C486)=8,MONTH(C486)=9,MONTH(C486)=10), "Monsoon", "Winter"))</f>
        <v>Monsoon</v>
      </c>
      <c r="Q486" s="1" t="n">
        <f aca="false">WEEKDAY(C486,2)</f>
        <v>5</v>
      </c>
      <c r="R486" s="0" t="n">
        <f aca="false">ROUNDDOWN(((INT(C486)+MOD(D486,1))-(INT(I486)+MOD(J486,1))),0)</f>
        <v>4</v>
      </c>
      <c r="S486" s="10"/>
    </row>
    <row r="487" customFormat="false" ht="107" hidden="false" customHeight="false" outlineLevel="0" collapsed="false">
      <c r="A487" s="8" t="s">
        <v>874</v>
      </c>
      <c r="B487" s="22" t="s">
        <v>875</v>
      </c>
      <c r="C487" s="18" t="n">
        <v>45877.7916666667</v>
      </c>
      <c r="D487" s="19" t="n">
        <v>45877.7916666667</v>
      </c>
      <c r="E487" s="18" t="n">
        <v>45878.75</v>
      </c>
      <c r="F487" s="19" t="n">
        <v>45878.75</v>
      </c>
      <c r="G487" s="20" t="n">
        <v>4500</v>
      </c>
      <c r="H487" s="8" t="n">
        <v>10</v>
      </c>
      <c r="I487" s="10" t="n">
        <v>45876</v>
      </c>
      <c r="J487" s="11" t="n">
        <v>0.745798611111239</v>
      </c>
      <c r="K487" s="1" t="str">
        <f aca="false">IF(L487&gt;24,     IF(H487=2,"Couple Extended Day","Extended Day"), IF(L487&lt;=12,     IF(AND(MOD(D487,1)&gt;=TIME(6,0,0),MOD(D487,1)&lt;TIME(18,0,0)),         IF(H487=2,"Couple Half Day","12H Day"),         IF(H487=2,"Couple Half Night","12H Night")), IF(L487&lt;=24,     IF(AND(MOD(D487,1)&gt;=TIME(6,0,0),MOD(D487,1)&lt;TIME(18,0,0)),         IF(H487=2,"Couple Full Day","24H Day"),         IF(H487=2,"Couple Full Night","24H Night")), "Check Data")))</f>
        <v>24H Night</v>
      </c>
      <c r="L487" s="12" t="n">
        <f aca="false">((INT(E487)+MOD(F487,1))-(INT(C487)+MOD(D487,1)))*24</f>
        <v>22.9999999990105</v>
      </c>
      <c r="M487" s="1" t="n">
        <f aca="false">IFERROR(INDEX(Sheet3!$B$2:$B$500,MATCH(1,(INT(C487)+MOD(D487,1)&lt;INT(Sheet3!$A$2:$A$500)+TIME(18,0,0))*(INT(E487)+MOD(F487,1)&gt;=INT(Sheet3!$A$2:$A$500)),0)),0)</f>
        <v>0</v>
      </c>
      <c r="N487" s="1" t="n">
        <f aca="false">IF(OR( AND(Q487=6,D487&gt;=TIME(17,0,0),OR(K487="12H Night",K487="Couple Half Night",K487="24H Night",K487="Couple Full Night")), AND(Q487=7,D487&gt;=TIME(6,0,0),D487&lt;TIME(12,0,0),OR(K487="12H Day",K487="Couple Half Day",K487="24H Day",K487="Couple Full Day")) ),1,0)</f>
        <v>0</v>
      </c>
      <c r="O487" s="1" t="n">
        <f aca="false">IF(OR( AND(MONTH(C487)=12,DAY(C487)&gt;=26), AND(MONTH(C487)=4,DAY(C487)&gt;=15), MONTH(C487)=5, AND(MONTH(C487)=6,DAY(C487)&lt;=10) ),1,0)</f>
        <v>0</v>
      </c>
      <c r="P487" s="1" t="str">
        <f aca="false">IF(OR(MONTH(C487)=3,MONTH(C487)=4,MONTH(C487)=5,MONTH(C487)=6), "Summer", IF(OR(MONTH(C487)=7,MONTH(C487)=8,MONTH(C487)=9,MONTH(C487)=10), "Monsoon", "Winter"))</f>
        <v>Monsoon</v>
      </c>
      <c r="Q487" s="1" t="n">
        <f aca="false">WEEKDAY(C487,2)</f>
        <v>5</v>
      </c>
      <c r="R487" s="0" t="n">
        <f aca="false">ROUNDDOWN(((INT(C487)+MOD(D487,1))-(INT(I487)+MOD(J487,1))),0)</f>
        <v>1</v>
      </c>
      <c r="S487" s="10"/>
    </row>
    <row r="488" customFormat="false" ht="93.85" hidden="false" customHeight="false" outlineLevel="0" collapsed="false">
      <c r="A488" s="8" t="s">
        <v>876</v>
      </c>
      <c r="B488" s="22" t="s">
        <v>877</v>
      </c>
      <c r="C488" s="18" t="n">
        <v>45878.7916666667</v>
      </c>
      <c r="D488" s="19" t="n">
        <v>45878.7916666667</v>
      </c>
      <c r="E488" s="18" t="n">
        <v>45879.75</v>
      </c>
      <c r="F488" s="19" t="n">
        <v>45879.75</v>
      </c>
      <c r="G488" s="20" t="n">
        <v>4500</v>
      </c>
      <c r="H488" s="8" t="n">
        <v>7</v>
      </c>
      <c r="I488" s="10" t="n">
        <v>45876</v>
      </c>
      <c r="J488" s="11" t="n">
        <v>0.610787037032419</v>
      </c>
      <c r="K488" s="1" t="str">
        <f aca="false">IF(L488&gt;24,     IF(H488=2,"Couple Extended Day","Extended Day"), IF(L488&lt;=12,     IF(AND(MOD(D488,1)&gt;=TIME(6,0,0),MOD(D488,1)&lt;TIME(18,0,0)),         IF(H488=2,"Couple Half Day","12H Day"),         IF(H488=2,"Couple Half Night","12H Night")), IF(L488&lt;=24,     IF(AND(MOD(D488,1)&gt;=TIME(6,0,0),MOD(D488,1)&lt;TIME(18,0,0)),         IF(H488=2,"Couple Full Day","24H Day"),         IF(H488=2,"Couple Full Night","24H Night")), "Check Data")))</f>
        <v>24H Night</v>
      </c>
      <c r="L488" s="12" t="n">
        <f aca="false">((INT(E488)+MOD(F488,1))-(INT(C488)+MOD(D488,1)))*24</f>
        <v>22.9999999990105</v>
      </c>
      <c r="M488" s="1" t="n">
        <f aca="false">IFERROR(INDEX(Sheet3!$B$2:$B$500,MATCH(1,(INT(C488)+MOD(D488,1)&lt;INT(Sheet3!$A$2:$A$500)+TIME(18,0,0))*(INT(E488)+MOD(F488,1)&gt;=INT(Sheet3!$A$2:$A$500)),0)),0)</f>
        <v>0</v>
      </c>
      <c r="N488" s="1" t="n">
        <f aca="false">IF(OR( AND(Q488=6,D488&gt;=TIME(17,0,0),OR(K488="12H Night",K488="Couple Half Night",K488="24H Night",K488="Couple Full Night")), AND(Q488=7,D488&gt;=TIME(6,0,0),D488&lt;TIME(12,0,0),OR(K488="12H Day",K488="Couple Half Day",K488="24H Day",K488="Couple Full Day")) ),1,0)</f>
        <v>1</v>
      </c>
      <c r="O488" s="1" t="n">
        <f aca="false">IF(OR( AND(MONTH(C488)=12,DAY(C488)&gt;=26), AND(MONTH(C488)=4,DAY(C488)&gt;=15), MONTH(C488)=5, AND(MONTH(C488)=6,DAY(C488)&lt;=10) ),1,0)</f>
        <v>0</v>
      </c>
      <c r="P488" s="1" t="str">
        <f aca="false">IF(OR(MONTH(C488)=3,MONTH(C488)=4,MONTH(C488)=5,MONTH(C488)=6), "Summer", IF(OR(MONTH(C488)=7,MONTH(C488)=8,MONTH(C488)=9,MONTH(C488)=10), "Monsoon", "Winter"))</f>
        <v>Monsoon</v>
      </c>
      <c r="Q488" s="1" t="n">
        <f aca="false">WEEKDAY(C488,2)</f>
        <v>6</v>
      </c>
      <c r="R488" s="0" t="n">
        <f aca="false">ROUNDDOWN(((INT(C488)+MOD(D488,1))-(INT(I488)+MOD(J488,1))),0)</f>
        <v>2</v>
      </c>
      <c r="S488" s="10"/>
    </row>
    <row r="489" customFormat="false" ht="212.2" hidden="false" customHeight="false" outlineLevel="0" collapsed="false">
      <c r="A489" s="8" t="s">
        <v>629</v>
      </c>
      <c r="B489" s="22" t="s">
        <v>878</v>
      </c>
      <c r="C489" s="18" t="n">
        <v>45880.7916666667</v>
      </c>
      <c r="D489" s="19" t="n">
        <v>45880.7916666667</v>
      </c>
      <c r="E489" s="18" t="n">
        <v>45881.75</v>
      </c>
      <c r="F489" s="19" t="n">
        <v>45881.75</v>
      </c>
      <c r="G489" s="20" t="n">
        <v>3500</v>
      </c>
      <c r="H489" s="8" t="n">
        <v>10</v>
      </c>
      <c r="I489" s="10" t="n">
        <v>45878</v>
      </c>
      <c r="J489" s="11" t="n">
        <v>0.59076388888934</v>
      </c>
      <c r="K489" s="1" t="str">
        <f aca="false">IF(L489&gt;24,     IF(H489=2,"Couple Extended Day","Extended Day"), IF(L489&lt;=12,     IF(AND(MOD(D489,1)&gt;=TIME(6,0,0),MOD(D489,1)&lt;TIME(18,0,0)),         IF(H489=2,"Couple Half Day","12H Day"),         IF(H489=2,"Couple Half Night","12H Night")), IF(L489&lt;=24,     IF(AND(MOD(D489,1)&gt;=TIME(6,0,0),MOD(D489,1)&lt;TIME(18,0,0)),         IF(H489=2,"Couple Full Day","24H Day"),         IF(H489=2,"Couple Full Night","24H Night")), "Check Data")))</f>
        <v>24H Night</v>
      </c>
      <c r="L489" s="12" t="n">
        <f aca="false">((INT(E489)+MOD(F489,1))-(INT(C489)+MOD(D489,1)))*24</f>
        <v>22.9999999990105</v>
      </c>
      <c r="M489" s="1" t="n">
        <f aca="false">IFERROR(INDEX(Sheet3!$B$2:$B$500,MATCH(1,(INT(C489)+MOD(D489,1)&lt;INT(Sheet3!$A$2:$A$500)+TIME(18,0,0))*(INT(E489)+MOD(F489,1)&gt;=INT(Sheet3!$A$2:$A$500)),0)),0)</f>
        <v>0</v>
      </c>
      <c r="N489" s="1" t="n">
        <f aca="false">IF(OR( AND(Q489=6,D489&gt;=TIME(17,0,0),OR(K489="12H Night",K489="Couple Half Night",K489="24H Night",K489="Couple Full Night")), AND(Q489=7,D489&gt;=TIME(6,0,0),D489&lt;TIME(12,0,0),OR(K489="12H Day",K489="Couple Half Day",K489="24H Day",K489="Couple Full Day")) ),1,0)</f>
        <v>0</v>
      </c>
      <c r="O489" s="1" t="n">
        <f aca="false">IF(OR( AND(MONTH(C489)=12,DAY(C489)&gt;=26), AND(MONTH(C489)=4,DAY(C489)&gt;=15), MONTH(C489)=5, AND(MONTH(C489)=6,DAY(C489)&lt;=10) ),1,0)</f>
        <v>0</v>
      </c>
      <c r="P489" s="1" t="str">
        <f aca="false">IF(OR(MONTH(C489)=3,MONTH(C489)=4,MONTH(C489)=5,MONTH(C489)=6), "Summer", IF(OR(MONTH(C489)=7,MONTH(C489)=8,MONTH(C489)=9,MONTH(C489)=10), "Monsoon", "Winter"))</f>
        <v>Monsoon</v>
      </c>
      <c r="Q489" s="1" t="n">
        <f aca="false">WEEKDAY(C489,2)</f>
        <v>1</v>
      </c>
      <c r="R489" s="0" t="n">
        <f aca="false">ROUNDDOWN(((INT(C489)+MOD(D489,1))-(INT(I489)+MOD(J489,1))),0)</f>
        <v>2</v>
      </c>
      <c r="S489" s="10"/>
    </row>
    <row r="490" customFormat="false" ht="120.15" hidden="false" customHeight="false" outlineLevel="0" collapsed="false">
      <c r="A490" s="8" t="s">
        <v>879</v>
      </c>
      <c r="B490" s="22" t="s">
        <v>880</v>
      </c>
      <c r="C490" s="18" t="n">
        <v>45882.375</v>
      </c>
      <c r="D490" s="19" t="n">
        <v>45882.375</v>
      </c>
      <c r="E490" s="18" t="n">
        <v>45882.75</v>
      </c>
      <c r="F490" s="19" t="n">
        <v>45882.75</v>
      </c>
      <c r="G490" s="20" t="n">
        <v>3000</v>
      </c>
      <c r="H490" s="8" t="n">
        <v>4</v>
      </c>
      <c r="I490" s="10" t="n">
        <v>45874</v>
      </c>
      <c r="J490" s="11" t="n">
        <v>0.66789351851912</v>
      </c>
      <c r="K490" s="1" t="str">
        <f aca="false">IF(L490&gt;24,     IF(H490=2,"Couple Extended Day","Extended Day"), IF(L490&lt;=12,     IF(AND(MOD(D490,1)&gt;=TIME(6,0,0),MOD(D490,1)&lt;TIME(18,0,0)),         IF(H490=2,"Couple Half Day","12H Day"),         IF(H490=2,"Couple Half Night","12H Night")), IF(L490&lt;=24,     IF(AND(MOD(D490,1)&gt;=TIME(6,0,0),MOD(D490,1)&lt;TIME(18,0,0)),         IF(H490=2,"Couple Full Day","24H Day"),         IF(H490=2,"Couple Full Night","24H Night")), "Check Data")))</f>
        <v>12H Day</v>
      </c>
      <c r="L490" s="12" t="n">
        <f aca="false">((INT(E490)+MOD(F490,1))-(INT(C490)+MOD(D490,1)))*24</f>
        <v>9</v>
      </c>
      <c r="M490" s="1" t="n">
        <f aca="false">IFERROR(INDEX(Sheet3!$B$2:$B$500,MATCH(1,(INT(C490)+MOD(D490,1)&lt;INT(Sheet3!$A$2:$A$500)+TIME(18,0,0))*(INT(E490)+MOD(F490,1)&gt;=INT(Sheet3!$A$2:$A$500)),0)),0)</f>
        <v>0</v>
      </c>
      <c r="N490" s="1" t="n">
        <f aca="false">IF(OR( AND(Q490=6,D490&gt;=TIME(17,0,0),OR(K490="12H Night",K490="Couple Half Night",K490="24H Night",K490="Couple Full Night")), AND(Q490=7,D490&gt;=TIME(6,0,0),D490&lt;TIME(12,0,0),OR(K490="12H Day",K490="Couple Half Day",K490="24H Day",K490="Couple Full Day")) ),1,0)</f>
        <v>0</v>
      </c>
      <c r="O490" s="1" t="n">
        <f aca="false">IF(OR( AND(MONTH(C490)=12,DAY(C490)&gt;=26), AND(MONTH(C490)=4,DAY(C490)&gt;=15), MONTH(C490)=5, AND(MONTH(C490)=6,DAY(C490)&lt;=10) ),1,0)</f>
        <v>0</v>
      </c>
      <c r="P490" s="1" t="str">
        <f aca="false">IF(OR(MONTH(C490)=3,MONTH(C490)=4,MONTH(C490)=5,MONTH(C490)=6), "Summer", IF(OR(MONTH(C490)=7,MONTH(C490)=8,MONTH(C490)=9,MONTH(C490)=10), "Monsoon", "Winter"))</f>
        <v>Monsoon</v>
      </c>
      <c r="Q490" s="1" t="n">
        <f aca="false">WEEKDAY(C490,2)</f>
        <v>3</v>
      </c>
      <c r="R490" s="0" t="n">
        <f aca="false">ROUNDDOWN(((INT(C490)+MOD(D490,1))-(INT(I490)+MOD(J490,1))),0)</f>
        <v>7</v>
      </c>
      <c r="S490" s="10"/>
    </row>
    <row r="491" customFormat="false" ht="85.2" hidden="false" customHeight="false" outlineLevel="0" collapsed="false">
      <c r="A491" s="8" t="s">
        <v>881</v>
      </c>
      <c r="B491" s="22" t="s">
        <v>882</v>
      </c>
      <c r="C491" s="18" t="n">
        <v>45883.7916666667</v>
      </c>
      <c r="D491" s="19" t="n">
        <v>45883.7916666667</v>
      </c>
      <c r="E491" s="18" t="n">
        <v>45884.75</v>
      </c>
      <c r="F491" s="19" t="n">
        <v>45884.75</v>
      </c>
      <c r="G491" s="20" t="n">
        <v>4500</v>
      </c>
      <c r="H491" s="8" t="n">
        <v>8</v>
      </c>
      <c r="I491" s="10" t="n">
        <v>45880</v>
      </c>
      <c r="J491" s="11" t="n">
        <v>0.668425925927292</v>
      </c>
      <c r="K491" s="1" t="str">
        <f aca="false">IF(L491&gt;24,     IF(H491=2,"Couple Extended Day","Extended Day"), IF(L491&lt;=12,     IF(AND(MOD(D491,1)&gt;=TIME(6,0,0),MOD(D491,1)&lt;TIME(18,0,0)),         IF(H491=2,"Couple Half Day","12H Day"),         IF(H491=2,"Couple Half Night","12H Night")), IF(L491&lt;=24,     IF(AND(MOD(D491,1)&gt;=TIME(6,0,0),MOD(D491,1)&lt;TIME(18,0,0)),         IF(H491=2,"Couple Full Day","24H Day"),         IF(H491=2,"Couple Full Night","24H Night")), "Check Data")))</f>
        <v>24H Night</v>
      </c>
      <c r="L491" s="12" t="n">
        <f aca="false">((INT(E491)+MOD(F491,1))-(INT(C491)+MOD(D491,1)))*24</f>
        <v>22.9999999990105</v>
      </c>
      <c r="M491" s="1" t="str">
        <f aca="false">IFERROR(INDEX(Sheet3!$B$2:$B$500,MATCH(1,(INT(C491)+MOD(D491,1)&lt;INT(Sheet3!$A$2:$A$500)+TIME(18,0,0))*(INT(E491)+MOD(F491,1)&gt;=INT(Sheet3!$A$2:$A$500)),0)),0)</f>
        <v>Independence Day</v>
      </c>
      <c r="N491" s="1" t="n">
        <f aca="false">IF(OR( AND(Q491=6,D491&gt;=TIME(17,0,0),OR(K491="12H Night",K491="Couple Half Night",K491="24H Night",K491="Couple Full Night")), AND(Q491=7,D491&gt;=TIME(6,0,0),D491&lt;TIME(12,0,0),OR(K491="12H Day",K491="Couple Half Day",K491="24H Day",K491="Couple Full Day")) ),1,0)</f>
        <v>0</v>
      </c>
      <c r="O491" s="1" t="n">
        <f aca="false">IF(OR( AND(MONTH(C491)=12,DAY(C491)&gt;=26), AND(MONTH(C491)=4,DAY(C491)&gt;=15), MONTH(C491)=5, AND(MONTH(C491)=6,DAY(C491)&lt;=10) ),1,0)</f>
        <v>0</v>
      </c>
      <c r="P491" s="1" t="str">
        <f aca="false">IF(OR(MONTH(C491)=3,MONTH(C491)=4,MONTH(C491)=5,MONTH(C491)=6), "Summer", IF(OR(MONTH(C491)=7,MONTH(C491)=8,MONTH(C491)=9,MONTH(C491)=10), "Monsoon", "Winter"))</f>
        <v>Monsoon</v>
      </c>
      <c r="Q491" s="1" t="n">
        <f aca="false">WEEKDAY(C491,2)</f>
        <v>4</v>
      </c>
      <c r="R491" s="0" t="n">
        <f aca="false">ROUNDDOWN(((INT(C491)+MOD(D491,1))-(INT(I491)+MOD(J491,1))),0)</f>
        <v>3</v>
      </c>
      <c r="S491" s="10"/>
    </row>
    <row r="492" customFormat="false" ht="85.2" hidden="false" customHeight="false" outlineLevel="0" collapsed="false">
      <c r="A492" s="8" t="s">
        <v>883</v>
      </c>
      <c r="B492" s="22" t="s">
        <v>884</v>
      </c>
      <c r="C492" s="18" t="n">
        <v>45884.7916666667</v>
      </c>
      <c r="D492" s="19" t="n">
        <v>45884.7916666667</v>
      </c>
      <c r="E492" s="18" t="n">
        <v>45885.75</v>
      </c>
      <c r="F492" s="19" t="n">
        <v>45885.75</v>
      </c>
      <c r="G492" s="20" t="n">
        <v>6500</v>
      </c>
      <c r="H492" s="8" t="n">
        <v>10</v>
      </c>
      <c r="I492" s="10" t="n">
        <v>45880</v>
      </c>
      <c r="J492" s="11" t="n">
        <v>0.498634259260139</v>
      </c>
      <c r="K492" s="1" t="str">
        <f aca="false">IF(L492&gt;24,     IF(H492=2,"Couple Extended Day","Extended Day"), IF(L492&lt;=12,     IF(AND(MOD(D492,1)&gt;=TIME(6,0,0),MOD(D492,1)&lt;TIME(18,0,0)),         IF(H492=2,"Couple Half Day","12H Day"),         IF(H492=2,"Couple Half Night","12H Night")), IF(L492&lt;=24,     IF(AND(MOD(D492,1)&gt;=TIME(6,0,0),MOD(D492,1)&lt;TIME(18,0,0)),         IF(H492=2,"Couple Full Day","24H Day"),         IF(H492=2,"Couple Full Night","24H Night")), "Check Data")))</f>
        <v>24H Night</v>
      </c>
      <c r="L492" s="12" t="n">
        <f aca="false">((INT(E492)+MOD(F492,1))-(INT(C492)+MOD(D492,1)))*24</f>
        <v>22.9999999990105</v>
      </c>
      <c r="M492" s="1" t="n">
        <f aca="false">IFERROR(INDEX(Sheet3!$B$2:$B$500,MATCH(1,(INT(C492)+MOD(D492,1)&lt;INT(Sheet3!$A$2:$A$500)+TIME(18,0,0))*(INT(E492)+MOD(F492,1)&gt;=INT(Sheet3!$A$2:$A$500)),0)),0)</f>
        <v>0</v>
      </c>
      <c r="N492" s="1" t="n">
        <f aca="false">IF(OR( AND(Q492=6,D492&gt;=TIME(17,0,0),OR(K492="12H Night",K492="Couple Half Night",K492="24H Night",K492="Couple Full Night")), AND(Q492=7,D492&gt;=TIME(6,0,0),D492&lt;TIME(12,0,0),OR(K492="12H Day",K492="Couple Half Day",K492="24H Day",K492="Couple Full Day")) ),1,0)</f>
        <v>0</v>
      </c>
      <c r="O492" s="1" t="n">
        <f aca="false">IF(OR( AND(MONTH(C492)=12,DAY(C492)&gt;=26), AND(MONTH(C492)=4,DAY(C492)&gt;=15), MONTH(C492)=5, AND(MONTH(C492)=6,DAY(C492)&lt;=10) ),1,0)</f>
        <v>0</v>
      </c>
      <c r="P492" s="1" t="str">
        <f aca="false">IF(OR(MONTH(C492)=3,MONTH(C492)=4,MONTH(C492)=5,MONTH(C492)=6), "Summer", IF(OR(MONTH(C492)=7,MONTH(C492)=8,MONTH(C492)=9,MONTH(C492)=10), "Monsoon", "Winter"))</f>
        <v>Monsoon</v>
      </c>
      <c r="Q492" s="1" t="n">
        <f aca="false">WEEKDAY(C492,2)</f>
        <v>5</v>
      </c>
      <c r="R492" s="0" t="n">
        <f aca="false">ROUNDDOWN(((INT(C492)+MOD(D492,1))-(INT(I492)+MOD(J492,1))),0)</f>
        <v>4</v>
      </c>
      <c r="S492" s="10"/>
    </row>
    <row r="493" customFormat="false" ht="120.15" hidden="false" customHeight="false" outlineLevel="0" collapsed="false">
      <c r="A493" s="8" t="s">
        <v>885</v>
      </c>
      <c r="B493" s="22" t="s">
        <v>886</v>
      </c>
      <c r="C493" s="18" t="n">
        <v>45885.7916666667</v>
      </c>
      <c r="D493" s="19" t="n">
        <v>45885.7916666667</v>
      </c>
      <c r="E493" s="18" t="n">
        <v>45886.75</v>
      </c>
      <c r="F493" s="19" t="n">
        <v>45886.75</v>
      </c>
      <c r="G493" s="20" t="n">
        <v>1000</v>
      </c>
      <c r="H493" s="8" t="n">
        <v>10</v>
      </c>
      <c r="I493" s="10" t="n">
        <v>45883</v>
      </c>
      <c r="J493" s="11" t="n">
        <v>0.607627314813727</v>
      </c>
      <c r="K493" s="1" t="str">
        <f aca="false">IF(L493&gt;24,     IF(H493=2,"Couple Extended Day","Extended Day"), IF(L493&lt;=12,     IF(AND(MOD(D493,1)&gt;=TIME(6,0,0),MOD(D493,1)&lt;TIME(18,0,0)),         IF(H493=2,"Couple Half Day","12H Day"),         IF(H493=2,"Couple Half Night","12H Night")), IF(L493&lt;=24,     IF(AND(MOD(D493,1)&gt;=TIME(6,0,0),MOD(D493,1)&lt;TIME(18,0,0)),         IF(H493=2,"Couple Full Day","24H Day"),         IF(H493=2,"Couple Full Night","24H Night")), "Check Data")))</f>
        <v>24H Night</v>
      </c>
      <c r="L493" s="12" t="n">
        <f aca="false">((INT(E493)+MOD(F493,1))-(INT(C493)+MOD(D493,1)))*24</f>
        <v>22.9999999990105</v>
      </c>
      <c r="M493" s="1" t="n">
        <f aca="false">IFERROR(INDEX(Sheet3!$B$2:$B$500,MATCH(1,(INT(C493)+MOD(D493,1)&lt;INT(Sheet3!$A$2:$A$500)+TIME(18,0,0))*(INT(E493)+MOD(F493,1)&gt;=INT(Sheet3!$A$2:$A$500)),0)),0)</f>
        <v>0</v>
      </c>
      <c r="N493" s="1" t="n">
        <f aca="false">IF(OR( AND(Q493=6,D493&gt;=TIME(17,0,0),OR(K493="12H Night",K493="Couple Half Night",K493="24H Night",K493="Couple Full Night")), AND(Q493=7,D493&gt;=TIME(6,0,0),D493&lt;TIME(12,0,0),OR(K493="12H Day",K493="Couple Half Day",K493="24H Day",K493="Couple Full Day")) ),1,0)</f>
        <v>1</v>
      </c>
      <c r="O493" s="1" t="n">
        <f aca="false">IF(OR( AND(MONTH(C493)=12,DAY(C493)&gt;=26), AND(MONTH(C493)=4,DAY(C493)&gt;=15), MONTH(C493)=5, AND(MONTH(C493)=6,DAY(C493)&lt;=10) ),1,0)</f>
        <v>0</v>
      </c>
      <c r="P493" s="1" t="str">
        <f aca="false">IF(OR(MONTH(C493)=3,MONTH(C493)=4,MONTH(C493)=5,MONTH(C493)=6), "Summer", IF(OR(MONTH(C493)=7,MONTH(C493)=8,MONTH(C493)=9,MONTH(C493)=10), "Monsoon", "Winter"))</f>
        <v>Monsoon</v>
      </c>
      <c r="Q493" s="1" t="n">
        <f aca="false">WEEKDAY(C493,2)</f>
        <v>6</v>
      </c>
      <c r="R493" s="0" t="n">
        <f aca="false">ROUNDDOWN(((INT(C493)+MOD(D493,1))-(INT(I493)+MOD(J493,1))),0)</f>
        <v>2</v>
      </c>
      <c r="S493" s="10"/>
    </row>
    <row r="494" customFormat="false" ht="146.45" hidden="false" customHeight="false" outlineLevel="0" collapsed="false">
      <c r="A494" s="8" t="s">
        <v>887</v>
      </c>
      <c r="B494" s="22" t="s">
        <v>888</v>
      </c>
      <c r="C494" s="18" t="n">
        <v>45885.7916666667</v>
      </c>
      <c r="D494" s="19" t="n">
        <v>45885.7916666667</v>
      </c>
      <c r="E494" s="18" t="n">
        <v>45886.75</v>
      </c>
      <c r="F494" s="19" t="n">
        <v>45886.75</v>
      </c>
      <c r="G494" s="20" t="n">
        <v>5000</v>
      </c>
      <c r="H494" s="8" t="n">
        <v>10</v>
      </c>
      <c r="I494" s="10" t="n">
        <v>45885</v>
      </c>
      <c r="J494" s="11" t="n">
        <v>0.534583333334016</v>
      </c>
      <c r="K494" s="1" t="str">
        <f aca="false">IF(L494&gt;24,     IF(H494=2,"Couple Extended Day","Extended Day"), IF(L494&lt;=12,     IF(AND(MOD(D494,1)&gt;=TIME(6,0,0),MOD(D494,1)&lt;TIME(18,0,0)),         IF(H494=2,"Couple Half Day","12H Day"),         IF(H494=2,"Couple Half Night","12H Night")), IF(L494&lt;=24,     IF(AND(MOD(D494,1)&gt;=TIME(6,0,0),MOD(D494,1)&lt;TIME(18,0,0)),         IF(H494=2,"Couple Full Day","24H Day"),         IF(H494=2,"Couple Full Night","24H Night")), "Check Data")))</f>
        <v>24H Night</v>
      </c>
      <c r="L494" s="12" t="n">
        <f aca="false">((INT(E494)+MOD(F494,1))-(INT(C494)+MOD(D494,1)))*24</f>
        <v>22.9999999990105</v>
      </c>
      <c r="M494" s="1" t="n">
        <f aca="false">IFERROR(INDEX(Sheet3!$B$2:$B$500,MATCH(1,(INT(C494)+MOD(D494,1)&lt;INT(Sheet3!$A$2:$A$500)+TIME(18,0,0))*(INT(E494)+MOD(F494,1)&gt;=INT(Sheet3!$A$2:$A$500)),0)),0)</f>
        <v>0</v>
      </c>
      <c r="N494" s="1" t="n">
        <f aca="false">IF(OR( AND(Q494=6,D494&gt;=TIME(17,0,0),OR(K494="12H Night",K494="Couple Half Night",K494="24H Night",K494="Couple Full Night")), AND(Q494=7,D494&gt;=TIME(6,0,0),D494&lt;TIME(12,0,0),OR(K494="12H Day",K494="Couple Half Day",K494="24H Day",K494="Couple Full Day")) ),1,0)</f>
        <v>1</v>
      </c>
      <c r="O494" s="1" t="n">
        <f aca="false">IF(OR( AND(MONTH(C494)=12,DAY(C494)&gt;=26), AND(MONTH(C494)=4,DAY(C494)&gt;=15), MONTH(C494)=5, AND(MONTH(C494)=6,DAY(C494)&lt;=10) ),1,0)</f>
        <v>0</v>
      </c>
      <c r="P494" s="1" t="str">
        <f aca="false">IF(OR(MONTH(C494)=3,MONTH(C494)=4,MONTH(C494)=5,MONTH(C494)=6), "Summer", IF(OR(MONTH(C494)=7,MONTH(C494)=8,MONTH(C494)=9,MONTH(C494)=10), "Monsoon", "Winter"))</f>
        <v>Monsoon</v>
      </c>
      <c r="Q494" s="1" t="n">
        <f aca="false">WEEKDAY(C494,2)</f>
        <v>6</v>
      </c>
      <c r="R494" s="0" t="n">
        <f aca="false">ROUNDDOWN(((INT(C494)+MOD(D494,1))-(INT(I494)+MOD(J494,1))),0)</f>
        <v>0</v>
      </c>
      <c r="S494" s="10"/>
    </row>
    <row r="495" customFormat="false" ht="159.6" hidden="false" customHeight="false" outlineLevel="0" collapsed="false">
      <c r="A495" s="8" t="s">
        <v>889</v>
      </c>
      <c r="B495" s="22" t="s">
        <v>890</v>
      </c>
      <c r="C495" s="18" t="n">
        <v>45887.3333333333</v>
      </c>
      <c r="D495" s="19" t="n">
        <v>0</v>
      </c>
      <c r="E495" s="18" t="n">
        <v>45888.3333333333</v>
      </c>
      <c r="F495" s="19" t="n">
        <v>0</v>
      </c>
      <c r="G495" s="20" t="n">
        <v>4000</v>
      </c>
      <c r="H495" s="8" t="n">
        <v>3</v>
      </c>
      <c r="I495" s="10" t="n">
        <v>45883</v>
      </c>
      <c r="J495" s="11" t="n">
        <v>0.5300462962914</v>
      </c>
      <c r="K495" s="1" t="str">
        <f aca="false">IF(L495&gt;24,     IF(H495=2,"Couple Extended Day","Extended Day"), IF(L495&lt;=12,     IF(AND(MOD(D495,1)&gt;=TIME(6,0,0),MOD(D495,1)&lt;TIME(18,0,0)),         IF(H495=2,"Couple Half Day","12H Day"),         IF(H495=2,"Couple Half Night","12H Night")), IF(L495&lt;=24,     IF(AND(MOD(D495,1)&gt;=TIME(6,0,0),MOD(D495,1)&lt;TIME(18,0,0)),         IF(H495=2,"Couple Full Day","24H Day"),         IF(H495=2,"Couple Full Night","24H Night")), "Check Data")))</f>
        <v>24H Night</v>
      </c>
      <c r="L495" s="12" t="n">
        <f aca="false">((INT(E495)+MOD(F495,1))-(INT(C495)+MOD(D495,1)))*24</f>
        <v>24</v>
      </c>
      <c r="M495" s="1" t="n">
        <f aca="false">IFERROR(INDEX(Sheet3!$B$2:$B$500,MATCH(1,(INT(C495)+MOD(D495,1)&lt;INT(Sheet3!$A$2:$A$500)+TIME(18,0,0))*(INT(E495)+MOD(F495,1)&gt;=INT(Sheet3!$A$2:$A$500)),0)),0)</f>
        <v>0</v>
      </c>
      <c r="N495" s="1" t="n">
        <f aca="false">IF(OR( AND(Q495=6,D495&gt;=TIME(17,0,0),OR(K495="12H Night",K495="Couple Half Night",K495="24H Night",K495="Couple Full Night")), AND(Q495=7,D495&gt;=TIME(6,0,0),D495&lt;TIME(12,0,0),OR(K495="12H Day",K495="Couple Half Day",K495="24H Day",K495="Couple Full Day")) ),1,0)</f>
        <v>0</v>
      </c>
      <c r="O495" s="1" t="n">
        <f aca="false">IF(OR( AND(MONTH(C495)=12,DAY(C495)&gt;=26), AND(MONTH(C495)=4,DAY(C495)&gt;=15), MONTH(C495)=5, AND(MONTH(C495)=6,DAY(C495)&lt;=10) ),1,0)</f>
        <v>0</v>
      </c>
      <c r="P495" s="1" t="str">
        <f aca="false">IF(OR(MONTH(C495)=3,MONTH(C495)=4,MONTH(C495)=5,MONTH(C495)=6), "Summer", IF(OR(MONTH(C495)=7,MONTH(C495)=8,MONTH(C495)=9,MONTH(C495)=10), "Monsoon", "Winter"))</f>
        <v>Monsoon</v>
      </c>
      <c r="Q495" s="1" t="n">
        <f aca="false">WEEKDAY(C495,2)</f>
        <v>1</v>
      </c>
      <c r="R495" s="0" t="n">
        <f aca="false">ROUNDDOWN(((INT(C495)+MOD(D495,1))-(INT(I495)+MOD(J495,1))),0)</f>
        <v>3</v>
      </c>
      <c r="S495" s="10"/>
    </row>
    <row r="496" customFormat="false" ht="120.15" hidden="false" customHeight="false" outlineLevel="0" collapsed="false">
      <c r="A496" s="8" t="s">
        <v>891</v>
      </c>
      <c r="B496" s="22" t="s">
        <v>880</v>
      </c>
      <c r="C496" s="18" t="n">
        <v>45890.4583333333</v>
      </c>
      <c r="D496" s="19" t="n">
        <v>0</v>
      </c>
      <c r="E496" s="18" t="n">
        <v>45890.7916666667</v>
      </c>
      <c r="F496" s="19" t="n">
        <v>45890.7916666667</v>
      </c>
      <c r="G496" s="20" t="n">
        <v>3000</v>
      </c>
      <c r="H496" s="8" t="n">
        <v>4</v>
      </c>
      <c r="I496" s="10" t="n">
        <v>45889</v>
      </c>
      <c r="J496" s="11" t="n">
        <v>0.587060185185695</v>
      </c>
      <c r="K496" s="1" t="str">
        <f aca="false">IF(L496&gt;24,     IF(H496=2,"Couple Extended Day","Extended Day"), IF(L496&lt;=12,     IF(AND(MOD(D496,1)&gt;=TIME(6,0,0),MOD(D496,1)&lt;TIME(18,0,0)),         IF(H496=2,"Couple Half Day","12H Day"),         IF(H496=2,"Couple Half Night","12H Night")), IF(L496&lt;=24,     IF(AND(MOD(D496,1)&gt;=TIME(6,0,0),MOD(D496,1)&lt;TIME(18,0,0)),         IF(H496=2,"Couple Full Day","24H Day"),         IF(H496=2,"Couple Full Night","24H Night")), "Check Data")))</f>
        <v>24H Night</v>
      </c>
      <c r="L496" s="12" t="n">
        <f aca="false">((INT(E496)+MOD(F496,1))-(INT(C496)+MOD(D496,1)))*24</f>
        <v>19.0000000009895</v>
      </c>
      <c r="M496" s="1" t="n">
        <f aca="false">IFERROR(INDEX(Sheet3!$B$2:$B$500,MATCH(1,(INT(C496)+MOD(D496,1)&lt;INT(Sheet3!$A$2:$A$500)+TIME(18,0,0))*(INT(E496)+MOD(F496,1)&gt;=INT(Sheet3!$A$2:$A$500)),0)),0)</f>
        <v>0</v>
      </c>
      <c r="N496" s="1" t="n">
        <f aca="false">IF(OR( AND(Q496=6,D496&gt;=TIME(17,0,0),OR(K496="12H Night",K496="Couple Half Night",K496="24H Night",K496="Couple Full Night")), AND(Q496=7,D496&gt;=TIME(6,0,0),D496&lt;TIME(12,0,0),OR(K496="12H Day",K496="Couple Half Day",K496="24H Day",K496="Couple Full Day")) ),1,0)</f>
        <v>0</v>
      </c>
      <c r="O496" s="1" t="n">
        <f aca="false">IF(OR( AND(MONTH(C496)=12,DAY(C496)&gt;=26), AND(MONTH(C496)=4,DAY(C496)&gt;=15), MONTH(C496)=5, AND(MONTH(C496)=6,DAY(C496)&lt;=10) ),1,0)</f>
        <v>0</v>
      </c>
      <c r="P496" s="1" t="str">
        <f aca="false">IF(OR(MONTH(C496)=3,MONTH(C496)=4,MONTH(C496)=5,MONTH(C496)=6), "Summer", IF(OR(MONTH(C496)=7,MONTH(C496)=8,MONTH(C496)=9,MONTH(C496)=10), "Monsoon", "Winter"))</f>
        <v>Monsoon</v>
      </c>
      <c r="Q496" s="1" t="n">
        <f aca="false">WEEKDAY(C496,2)</f>
        <v>4</v>
      </c>
      <c r="R496" s="0" t="n">
        <f aca="false">ROUNDDOWN(((INT(C496)+MOD(D496,1))-(INT(I496)+MOD(J496,1))),0)</f>
        <v>0</v>
      </c>
      <c r="S496" s="10"/>
    </row>
    <row r="497" customFormat="false" ht="133.3" hidden="false" customHeight="false" outlineLevel="0" collapsed="false">
      <c r="A497" s="8" t="s">
        <v>892</v>
      </c>
      <c r="B497" s="22" t="s">
        <v>893</v>
      </c>
      <c r="C497" s="18" t="n">
        <v>45891.7916666667</v>
      </c>
      <c r="D497" s="19" t="n">
        <v>45891.7916666667</v>
      </c>
      <c r="E497" s="18" t="n">
        <v>45892.75</v>
      </c>
      <c r="F497" s="19" t="n">
        <v>45892.75</v>
      </c>
      <c r="G497" s="20" t="n">
        <v>3500</v>
      </c>
      <c r="H497" s="8" t="n">
        <v>7</v>
      </c>
      <c r="I497" s="10" t="n">
        <v>45888</v>
      </c>
      <c r="J497" s="11" t="n">
        <v>0.941863425927292</v>
      </c>
      <c r="K497" s="1" t="str">
        <f aca="false">IF(L497&gt;24,     IF(H497=2,"Couple Extended Day","Extended Day"), IF(L497&lt;=12,     IF(AND(MOD(D497,1)&gt;=TIME(6,0,0),MOD(D497,1)&lt;TIME(18,0,0)),         IF(H497=2,"Couple Half Day","12H Day"),         IF(H497=2,"Couple Half Night","12H Night")), IF(L497&lt;=24,     IF(AND(MOD(D497,1)&gt;=TIME(6,0,0),MOD(D497,1)&lt;TIME(18,0,0)),         IF(H497=2,"Couple Full Day","24H Day"),         IF(H497=2,"Couple Full Night","24H Night")), "Check Data")))</f>
        <v>24H Night</v>
      </c>
      <c r="L497" s="12" t="n">
        <f aca="false">((INT(E497)+MOD(F497,1))-(INT(C497)+MOD(D497,1)))*24</f>
        <v>22.9999999990105</v>
      </c>
      <c r="M497" s="1" t="n">
        <f aca="false">IFERROR(INDEX(Sheet3!$B$2:$B$500,MATCH(1,(INT(C497)+MOD(D497,1)&lt;INT(Sheet3!$A$2:$A$500)+TIME(18,0,0))*(INT(E497)+MOD(F497,1)&gt;=INT(Sheet3!$A$2:$A$500)),0)),0)</f>
        <v>0</v>
      </c>
      <c r="N497" s="1" t="n">
        <f aca="false">IF(OR( AND(Q497=6,D497&gt;=TIME(17,0,0),OR(K497="12H Night",K497="Couple Half Night",K497="24H Night",K497="Couple Full Night")), AND(Q497=7,D497&gt;=TIME(6,0,0),D497&lt;TIME(12,0,0),OR(K497="12H Day",K497="Couple Half Day",K497="24H Day",K497="Couple Full Day")) ),1,0)</f>
        <v>0</v>
      </c>
      <c r="O497" s="1" t="n">
        <f aca="false">IF(OR( AND(MONTH(C497)=12,DAY(C497)&gt;=26), AND(MONTH(C497)=4,DAY(C497)&gt;=15), MONTH(C497)=5, AND(MONTH(C497)=6,DAY(C497)&lt;=10) ),1,0)</f>
        <v>0</v>
      </c>
      <c r="P497" s="1" t="str">
        <f aca="false">IF(OR(MONTH(C497)=3,MONTH(C497)=4,MONTH(C497)=5,MONTH(C497)=6), "Summer", IF(OR(MONTH(C497)=7,MONTH(C497)=8,MONTH(C497)=9,MONTH(C497)=10), "Monsoon", "Winter"))</f>
        <v>Monsoon</v>
      </c>
      <c r="Q497" s="1" t="n">
        <f aca="false">WEEKDAY(C497,2)</f>
        <v>5</v>
      </c>
      <c r="R497" s="0" t="n">
        <f aca="false">ROUNDDOWN(((INT(C497)+MOD(D497,1))-(INT(I497)+MOD(J497,1))),0)</f>
        <v>2</v>
      </c>
      <c r="S497" s="10"/>
    </row>
    <row r="498" customFormat="false" ht="15.75" hidden="false" customHeight="false" outlineLevel="0" collapsed="false">
      <c r="A498" s="8" t="s">
        <v>894</v>
      </c>
      <c r="B498" s="8" t="s">
        <v>895</v>
      </c>
      <c r="C498" s="18" t="n">
        <v>45892.4583333333</v>
      </c>
      <c r="D498" s="19" t="n">
        <v>0</v>
      </c>
      <c r="E498" s="18" t="n">
        <v>45892.6666666667</v>
      </c>
      <c r="F498" s="19" t="n">
        <v>45892.6666666667</v>
      </c>
      <c r="G498" s="20" t="n">
        <v>500</v>
      </c>
      <c r="I498" s="10" t="n">
        <v>45891</v>
      </c>
      <c r="J498" s="11" t="n">
        <v>0.936851851853137</v>
      </c>
      <c r="K498" s="1" t="str">
        <f aca="false">IF(L498&gt;24,     IF(H498=2,"Couple Extended Day","Extended Day"), IF(L498&lt;=12,     IF(AND(MOD(D498,1)&gt;=TIME(6,0,0),MOD(D498,1)&lt;TIME(18,0,0)),         IF(H498=2,"Couple Half Day","12H Day"),         IF(H498=2,"Couple Half Night","12H Night")), IF(L498&lt;=24,     IF(AND(MOD(D498,1)&gt;=TIME(6,0,0),MOD(D498,1)&lt;TIME(18,0,0)),         IF(H498=2,"Couple Full Day","24H Day"),         IF(H498=2,"Couple Full Night","24H Night")), "Check Data")))</f>
        <v>24H Night</v>
      </c>
      <c r="L498" s="12" t="n">
        <f aca="false">((INT(E498)+MOD(F498,1))-(INT(C498)+MOD(D498,1)))*24</f>
        <v>16.0000000009895</v>
      </c>
      <c r="M498" s="1" t="n">
        <f aca="false">IFERROR(INDEX(Sheet3!$B$2:$B$500,MATCH(1,(INT(C498)+MOD(D498,1)&lt;INT(Sheet3!$A$2:$A$500)+TIME(18,0,0))*(INT(E498)+MOD(F498,1)&gt;=INT(Sheet3!$A$2:$A$500)),0)),0)</f>
        <v>0</v>
      </c>
      <c r="N498" s="1" t="n">
        <f aca="false">IF(OR( AND(Q498=6,D498&gt;=TIME(17,0,0),OR(K498="12H Night",K498="Couple Half Night",K498="24H Night",K498="Couple Full Night")), AND(Q498=7,D498&gt;=TIME(6,0,0),D498&lt;TIME(12,0,0),OR(K498="12H Day",K498="Couple Half Day",K498="24H Day",K498="Couple Full Day")) ),1,0)</f>
        <v>0</v>
      </c>
      <c r="O498" s="1" t="n">
        <f aca="false">IF(OR( AND(MONTH(C498)=12,DAY(C498)&gt;=26), AND(MONTH(C498)=4,DAY(C498)&gt;=15), MONTH(C498)=5, AND(MONTH(C498)=6,DAY(C498)&lt;=10) ),1,0)</f>
        <v>0</v>
      </c>
      <c r="P498" s="1" t="str">
        <f aca="false">IF(OR(MONTH(C498)=3,MONTH(C498)=4,MONTH(C498)=5,MONTH(C498)=6), "Summer", IF(OR(MONTH(C498)=7,MONTH(C498)=8,MONTH(C498)=9,MONTH(C498)=10), "Monsoon", "Winter"))</f>
        <v>Monsoon</v>
      </c>
      <c r="Q498" s="1" t="n">
        <f aca="false">WEEKDAY(C498,2)</f>
        <v>6</v>
      </c>
      <c r="R498" s="0" t="n">
        <f aca="false">ROUNDDOWN(((INT(C498)+MOD(D498,1))-(INT(I498)+MOD(J498,1))),0)</f>
        <v>0</v>
      </c>
      <c r="S498" s="10"/>
    </row>
    <row r="499" customFormat="false" ht="212.2" hidden="false" customHeight="false" outlineLevel="0" collapsed="false">
      <c r="A499" s="8" t="s">
        <v>458</v>
      </c>
      <c r="B499" s="22" t="s">
        <v>896</v>
      </c>
      <c r="C499" s="18" t="n">
        <v>45892.7916666667</v>
      </c>
      <c r="D499" s="19" t="n">
        <v>45892.7916666667</v>
      </c>
      <c r="E499" s="18" t="n">
        <v>45893.75</v>
      </c>
      <c r="F499" s="19" t="n">
        <v>45893.75</v>
      </c>
      <c r="G499" s="20" t="n">
        <v>3500</v>
      </c>
      <c r="H499" s="8" t="n">
        <v>10</v>
      </c>
      <c r="I499" s="10" t="n">
        <v>45892</v>
      </c>
      <c r="J499" s="11" t="n">
        <v>0.558333333334306</v>
      </c>
      <c r="K499" s="1" t="str">
        <f aca="false">IF(L499&gt;24,     IF(H499=2,"Couple Extended Day","Extended Day"), IF(L499&lt;=12,     IF(AND(MOD(D499,1)&gt;=TIME(6,0,0),MOD(D499,1)&lt;TIME(18,0,0)),         IF(H499=2,"Couple Half Day","12H Day"),         IF(H499=2,"Couple Half Night","12H Night")), IF(L499&lt;=24,     IF(AND(MOD(D499,1)&gt;=TIME(6,0,0),MOD(D499,1)&lt;TIME(18,0,0)),         IF(H499=2,"Couple Full Day","24H Day"),         IF(H499=2,"Couple Full Night","24H Night")), "Check Data")))</f>
        <v>24H Night</v>
      </c>
      <c r="L499" s="12" t="n">
        <f aca="false">((INT(E499)+MOD(F499,1))-(INT(C499)+MOD(D499,1)))*24</f>
        <v>22.9999999990105</v>
      </c>
      <c r="M499" s="1" t="n">
        <f aca="false">IFERROR(INDEX(Sheet3!$B$2:$B$500,MATCH(1,(INT(C499)+MOD(D499,1)&lt;INT(Sheet3!$A$2:$A$500)+TIME(18,0,0))*(INT(E499)+MOD(F499,1)&gt;=INT(Sheet3!$A$2:$A$500)),0)),0)</f>
        <v>0</v>
      </c>
      <c r="N499" s="1" t="n">
        <f aca="false">IF(OR( AND(Q499=6,D499&gt;=TIME(17,0,0),OR(K499="12H Night",K499="Couple Half Night",K499="24H Night",K499="Couple Full Night")), AND(Q499=7,D499&gt;=TIME(6,0,0),D499&lt;TIME(12,0,0),OR(K499="12H Day",K499="Couple Half Day",K499="24H Day",K499="Couple Full Day")) ),1,0)</f>
        <v>1</v>
      </c>
      <c r="O499" s="1" t="n">
        <f aca="false">IF(OR( AND(MONTH(C499)=12,DAY(C499)&gt;=26), AND(MONTH(C499)=4,DAY(C499)&gt;=15), MONTH(C499)=5, AND(MONTH(C499)=6,DAY(C499)&lt;=10) ),1,0)</f>
        <v>0</v>
      </c>
      <c r="P499" s="1" t="str">
        <f aca="false">IF(OR(MONTH(C499)=3,MONTH(C499)=4,MONTH(C499)=5,MONTH(C499)=6), "Summer", IF(OR(MONTH(C499)=7,MONTH(C499)=8,MONTH(C499)=9,MONTH(C499)=10), "Monsoon", "Winter"))</f>
        <v>Monsoon</v>
      </c>
      <c r="Q499" s="1" t="n">
        <f aca="false">WEEKDAY(C499,2)</f>
        <v>6</v>
      </c>
      <c r="R499" s="0" t="n">
        <f aca="false">ROUNDDOWN(((INT(C499)+MOD(D499,1))-(INT(I499)+MOD(J499,1))),0)</f>
        <v>0</v>
      </c>
      <c r="S499" s="10"/>
    </row>
    <row r="500" customFormat="false" ht="93.85" hidden="false" customHeight="false" outlineLevel="0" collapsed="false">
      <c r="A500" s="8" t="s">
        <v>897</v>
      </c>
      <c r="B500" s="22" t="s">
        <v>898</v>
      </c>
      <c r="C500" s="18" t="n">
        <v>45894.375</v>
      </c>
      <c r="D500" s="19" t="n">
        <v>45894.375</v>
      </c>
      <c r="E500" s="18" t="n">
        <v>45894.7916666667</v>
      </c>
      <c r="F500" s="19" t="n">
        <v>45894.7916666667</v>
      </c>
      <c r="G500" s="20" t="n">
        <v>2500</v>
      </c>
      <c r="H500" s="8" t="n">
        <v>5</v>
      </c>
      <c r="I500" s="10" t="n">
        <v>45893</v>
      </c>
      <c r="J500" s="11" t="n">
        <v>0.749178240745093</v>
      </c>
      <c r="K500" s="1" t="str">
        <f aca="false">IF(L500&gt;24,     IF(H500=2,"Couple Extended Day","Extended Day"), IF(L500&lt;=12,     IF(AND(MOD(D500,1)&gt;=TIME(6,0,0),MOD(D500,1)&lt;TIME(18,0,0)),         IF(H500=2,"Couple Half Day","12H Day"),         IF(H500=2,"Couple Half Night","12H Night")), IF(L500&lt;=24,     IF(AND(MOD(D500,1)&gt;=TIME(6,0,0),MOD(D500,1)&lt;TIME(18,0,0)),         IF(H500=2,"Couple Full Day","24H Day"),         IF(H500=2,"Couple Full Night","24H Night")), "Check Data")))</f>
        <v>12H Day</v>
      </c>
      <c r="L500" s="12" t="n">
        <f aca="false">((INT(E500)+MOD(F500,1))-(INT(C500)+MOD(D500,1)))*24</f>
        <v>10.0000000009895</v>
      </c>
      <c r="M500" s="1" t="n">
        <f aca="false">IFERROR(INDEX(Sheet3!$B$2:$B$500,MATCH(1,(INT(C500)+MOD(D500,1)&lt;INT(Sheet3!$A$2:$A$500)+TIME(18,0,0))*(INT(E500)+MOD(F500,1)&gt;=INT(Sheet3!$A$2:$A$500)),0)),0)</f>
        <v>0</v>
      </c>
      <c r="N500" s="1" t="n">
        <f aca="false">IF(OR( AND(Q500=6,D500&gt;=TIME(17,0,0),OR(K500="12H Night",K500="Couple Half Night",K500="24H Night",K500="Couple Full Night")), AND(Q500=7,D500&gt;=TIME(6,0,0),D500&lt;TIME(12,0,0),OR(K500="12H Day",K500="Couple Half Day",K500="24H Day",K500="Couple Full Day")) ),1,0)</f>
        <v>0</v>
      </c>
      <c r="O500" s="1" t="n">
        <f aca="false">IF(OR( AND(MONTH(C500)=12,DAY(C500)&gt;=26), AND(MONTH(C500)=4,DAY(C500)&gt;=15), MONTH(C500)=5, AND(MONTH(C500)=6,DAY(C500)&lt;=10) ),1,0)</f>
        <v>0</v>
      </c>
      <c r="P500" s="1" t="str">
        <f aca="false">IF(OR(MONTH(C500)=3,MONTH(C500)=4,MONTH(C500)=5,MONTH(C500)=6), "Summer", IF(OR(MONTH(C500)=7,MONTH(C500)=8,MONTH(C500)=9,MONTH(C500)=10), "Monsoon", "Winter"))</f>
        <v>Monsoon</v>
      </c>
      <c r="Q500" s="1" t="n">
        <f aca="false">WEEKDAY(C500,2)</f>
        <v>1</v>
      </c>
      <c r="R500" s="0" t="n">
        <f aca="false">ROUNDDOWN(((INT(C500)+MOD(D500,1))-(INT(I500)+MOD(J500,1))),0)</f>
        <v>0</v>
      </c>
      <c r="S500" s="10"/>
    </row>
    <row r="501" customFormat="false" ht="107" hidden="false" customHeight="false" outlineLevel="0" collapsed="false">
      <c r="A501" s="8" t="s">
        <v>899</v>
      </c>
      <c r="B501" s="22" t="s">
        <v>900</v>
      </c>
      <c r="C501" s="18" t="n">
        <v>45896.375</v>
      </c>
      <c r="D501" s="19" t="n">
        <v>45896.375</v>
      </c>
      <c r="E501" s="18" t="n">
        <v>45896.75</v>
      </c>
      <c r="F501" s="19" t="n">
        <v>45896.75</v>
      </c>
      <c r="G501" s="20" t="n">
        <v>1500</v>
      </c>
      <c r="H501" s="8" t="n">
        <v>2</v>
      </c>
      <c r="I501" s="10" t="n">
        <v>45895</v>
      </c>
      <c r="J501" s="11" t="n">
        <v>0.636145833334016</v>
      </c>
      <c r="K501" s="1" t="str">
        <f aca="false">IF(L501&gt;24,     IF(H501=2,"Couple Extended Day","Extended Day"), IF(L501&lt;=12,     IF(AND(MOD(D501,1)&gt;=TIME(6,0,0),MOD(D501,1)&lt;TIME(18,0,0)),         IF(H501=2,"Couple Half Day","12H Day"),         IF(H501=2,"Couple Half Night","12H Night")), IF(L501&lt;=24,     IF(AND(MOD(D501,1)&gt;=TIME(6,0,0),MOD(D501,1)&lt;TIME(18,0,0)),         IF(H501=2,"Couple Full Day","24H Day"),         IF(H501=2,"Couple Full Night","24H Night")), "Check Data")))</f>
        <v>Couple Half Day</v>
      </c>
      <c r="L501" s="12" t="n">
        <f aca="false">((INT(E501)+MOD(F501,1))-(INT(C501)+MOD(D501,1)))*24</f>
        <v>9</v>
      </c>
      <c r="M501" s="1" t="str">
        <f aca="false">IFERROR(INDEX(Sheet3!$B$2:$B$500,MATCH(1,(INT(C501)+MOD(D501,1)&lt;INT(Sheet3!$A$2:$A$500)+TIME(18,0,0))*(INT(E501)+MOD(F501,1)&gt;=INT(Sheet3!$A$2:$A$500)),0)),0)</f>
        <v>Ganesh Chaturthi</v>
      </c>
      <c r="N501" s="1" t="n">
        <f aca="false">IF(OR( AND(Q501=6,D501&gt;=TIME(17,0,0),OR(K501="12H Night",K501="Couple Half Night",K501="24H Night",K501="Couple Full Night")), AND(Q501=7,D501&gt;=TIME(6,0,0),D501&lt;TIME(12,0,0),OR(K501="12H Day",K501="Couple Half Day",K501="24H Day",K501="Couple Full Day")) ),1,0)</f>
        <v>0</v>
      </c>
      <c r="O501" s="1" t="n">
        <f aca="false">IF(OR( AND(MONTH(C501)=12,DAY(C501)&gt;=26), AND(MONTH(C501)=4,DAY(C501)&gt;=15), MONTH(C501)=5, AND(MONTH(C501)=6,DAY(C501)&lt;=10) ),1,0)</f>
        <v>0</v>
      </c>
      <c r="P501" s="1" t="str">
        <f aca="false">IF(OR(MONTH(C501)=3,MONTH(C501)=4,MONTH(C501)=5,MONTH(C501)=6), "Summer", IF(OR(MONTH(C501)=7,MONTH(C501)=8,MONTH(C501)=9,MONTH(C501)=10), "Monsoon", "Winter"))</f>
        <v>Monsoon</v>
      </c>
      <c r="Q501" s="1" t="n">
        <f aca="false">WEEKDAY(C501,2)</f>
        <v>3</v>
      </c>
      <c r="R501" s="0" t="n">
        <f aca="false">ROUNDDOWN(((INT(C501)+MOD(D501,1))-(INT(I501)+MOD(J501,1))),0)</f>
        <v>0</v>
      </c>
      <c r="S501" s="10"/>
    </row>
    <row r="502" customFormat="false" ht="212.2" hidden="false" customHeight="false" outlineLevel="0" collapsed="false">
      <c r="A502" s="8" t="s">
        <v>828</v>
      </c>
      <c r="B502" s="22" t="s">
        <v>901</v>
      </c>
      <c r="C502" s="18" t="n">
        <v>45896.7916666667</v>
      </c>
      <c r="D502" s="19" t="n">
        <v>45896.7916666667</v>
      </c>
      <c r="E502" s="18" t="n">
        <v>45897.75</v>
      </c>
      <c r="F502" s="19" t="n">
        <v>45897.75</v>
      </c>
      <c r="G502" s="20" t="n">
        <v>3500</v>
      </c>
      <c r="H502" s="8" t="n">
        <v>10</v>
      </c>
      <c r="I502" s="10" t="n">
        <v>45892</v>
      </c>
      <c r="J502" s="11" t="n">
        <v>0.561643518522037</v>
      </c>
      <c r="K502" s="1" t="str">
        <f aca="false">IF(L502&gt;24,     IF(H502=2,"Couple Extended Day","Extended Day"), IF(L502&lt;=12,     IF(AND(MOD(D502,1)&gt;=TIME(6,0,0),MOD(D502,1)&lt;TIME(18,0,0)),         IF(H502=2,"Couple Half Day","12H Day"),         IF(H502=2,"Couple Half Night","12H Night")), IF(L502&lt;=24,     IF(AND(MOD(D502,1)&gt;=TIME(6,0,0),MOD(D502,1)&lt;TIME(18,0,0)),         IF(H502=2,"Couple Full Day","24H Day"),         IF(H502=2,"Couple Full Night","24H Night")), "Check Data")))</f>
        <v>24H Night</v>
      </c>
      <c r="L502" s="12" t="n">
        <f aca="false">((INT(E502)+MOD(F502,1))-(INT(C502)+MOD(D502,1)))*24</f>
        <v>22.9999999990105</v>
      </c>
      <c r="M502" s="1" t="n">
        <f aca="false">IFERROR(INDEX(Sheet3!$B$2:$B$500,MATCH(1,(INT(C502)+MOD(D502,1)&lt;INT(Sheet3!$A$2:$A$500)+TIME(18,0,0))*(INT(E502)+MOD(F502,1)&gt;=INT(Sheet3!$A$2:$A$500)),0)),0)</f>
        <v>0</v>
      </c>
      <c r="N502" s="1" t="n">
        <f aca="false">IF(OR( AND(Q502=6,D502&gt;=TIME(17,0,0),OR(K502="12H Night",K502="Couple Half Night",K502="24H Night",K502="Couple Full Night")), AND(Q502=7,D502&gt;=TIME(6,0,0),D502&lt;TIME(12,0,0),OR(K502="12H Day",K502="Couple Half Day",K502="24H Day",K502="Couple Full Day")) ),1,0)</f>
        <v>0</v>
      </c>
      <c r="O502" s="1" t="n">
        <f aca="false">IF(OR( AND(MONTH(C502)=12,DAY(C502)&gt;=26), AND(MONTH(C502)=4,DAY(C502)&gt;=15), MONTH(C502)=5, AND(MONTH(C502)=6,DAY(C502)&lt;=10) ),1,0)</f>
        <v>0</v>
      </c>
      <c r="P502" s="1" t="str">
        <f aca="false">IF(OR(MONTH(C502)=3,MONTH(C502)=4,MONTH(C502)=5,MONTH(C502)=6), "Summer", IF(OR(MONTH(C502)=7,MONTH(C502)=8,MONTH(C502)=9,MONTH(C502)=10), "Monsoon", "Winter"))</f>
        <v>Monsoon</v>
      </c>
      <c r="Q502" s="1" t="n">
        <f aca="false">WEEKDAY(C502,2)</f>
        <v>3</v>
      </c>
      <c r="R502" s="0" t="n">
        <f aca="false">ROUNDDOWN(((INT(C502)+MOD(D502,1))-(INT(I502)+MOD(J502,1))),0)</f>
        <v>4</v>
      </c>
      <c r="S502" s="10"/>
    </row>
    <row r="503" customFormat="false" ht="264.75" hidden="false" customHeight="false" outlineLevel="0" collapsed="false">
      <c r="A503" s="8" t="s">
        <v>260</v>
      </c>
      <c r="B503" s="22" t="s">
        <v>902</v>
      </c>
      <c r="C503" s="18" t="n">
        <v>45898.375</v>
      </c>
      <c r="D503" s="19" t="n">
        <v>45898.375</v>
      </c>
      <c r="E503" s="18" t="n">
        <v>45898.75</v>
      </c>
      <c r="F503" s="19" t="n">
        <v>45898.75</v>
      </c>
      <c r="G503" s="20" t="n">
        <v>3500</v>
      </c>
      <c r="H503" s="8" t="n">
        <v>2</v>
      </c>
      <c r="I503" s="10" t="n">
        <v>45897</v>
      </c>
      <c r="J503" s="11" t="n">
        <v>0.897094907406424</v>
      </c>
      <c r="K503" s="1" t="str">
        <f aca="false">IF(L503&gt;24,     IF(H503=2,"Couple Extended Day","Extended Day"), IF(L503&lt;=12,     IF(AND(MOD(D503,1)&gt;=TIME(6,0,0),MOD(D503,1)&lt;TIME(18,0,0)),         IF(H503=2,"Couple Half Day","12H Day"),         IF(H503=2,"Couple Half Night","12H Night")), IF(L503&lt;=24,     IF(AND(MOD(D503,1)&gt;=TIME(6,0,0),MOD(D503,1)&lt;TIME(18,0,0)),         IF(H503=2,"Couple Full Day","24H Day"),         IF(H503=2,"Couple Full Night","24H Night")), "Check Data")))</f>
        <v>Couple Half Day</v>
      </c>
      <c r="L503" s="12" t="n">
        <f aca="false">((INT(E503)+MOD(F503,1))-(INT(C503)+MOD(D503,1)))*24</f>
        <v>9</v>
      </c>
      <c r="M503" s="1" t="n">
        <f aca="false">IFERROR(INDEX(Sheet3!$B$2:$B$500,MATCH(1,(INT(C503)+MOD(D503,1)&lt;INT(Sheet3!$A$2:$A$500)+TIME(18,0,0))*(INT(E503)+MOD(F503,1)&gt;=INT(Sheet3!$A$2:$A$500)),0)),0)</f>
        <v>0</v>
      </c>
      <c r="N503" s="1" t="n">
        <f aca="false">IF(OR( AND(Q503=6,D503&gt;=TIME(17,0,0),OR(K503="12H Night",K503="Couple Half Night",K503="24H Night",K503="Couple Full Night")), AND(Q503=7,D503&gt;=TIME(6,0,0),D503&lt;TIME(12,0,0),OR(K503="12H Day",K503="Couple Half Day",K503="24H Day",K503="Couple Full Day")) ),1,0)</f>
        <v>0</v>
      </c>
      <c r="O503" s="1" t="n">
        <f aca="false">IF(OR( AND(MONTH(C503)=12,DAY(C503)&gt;=26), AND(MONTH(C503)=4,DAY(C503)&gt;=15), MONTH(C503)=5, AND(MONTH(C503)=6,DAY(C503)&lt;=10) ),1,0)</f>
        <v>0</v>
      </c>
      <c r="P503" s="1" t="str">
        <f aca="false">IF(OR(MONTH(C503)=3,MONTH(C503)=4,MONTH(C503)=5,MONTH(C503)=6), "Summer", IF(OR(MONTH(C503)=7,MONTH(C503)=8,MONTH(C503)=9,MONTH(C503)=10), "Monsoon", "Winter"))</f>
        <v>Monsoon</v>
      </c>
      <c r="Q503" s="1" t="n">
        <f aca="false">WEEKDAY(C503,2)</f>
        <v>5</v>
      </c>
      <c r="R503" s="0" t="n">
        <f aca="false">ROUNDDOWN(((INT(C503)+MOD(D503,1))-(INT(I503)+MOD(J503,1))),0)</f>
        <v>0</v>
      </c>
      <c r="S503" s="10"/>
    </row>
    <row r="504" customFormat="false" ht="107" hidden="false" customHeight="false" outlineLevel="0" collapsed="false">
      <c r="A504" s="8" t="s">
        <v>592</v>
      </c>
      <c r="B504" s="22" t="s">
        <v>903</v>
      </c>
      <c r="C504" s="18" t="n">
        <v>45900</v>
      </c>
      <c r="D504" s="19" t="n">
        <v>45900</v>
      </c>
      <c r="E504" s="18" t="n">
        <v>45900.3333333333</v>
      </c>
      <c r="F504" s="19" t="n">
        <v>0</v>
      </c>
      <c r="G504" s="20" t="n">
        <v>2500</v>
      </c>
      <c r="H504" s="8" t="n">
        <v>5</v>
      </c>
      <c r="I504" s="10" t="n">
        <v>45899</v>
      </c>
      <c r="J504" s="11" t="n">
        <v>0.980636574073287</v>
      </c>
      <c r="K504" s="1" t="str">
        <f aca="false">IF(L504&gt;24,     IF(H504=2,"Couple Extended Day","Extended Day"), IF(L504&lt;=12,     IF(AND(MOD(D504,1)&gt;=TIME(6,0,0),MOD(D504,1)&lt;TIME(18,0,0)),         IF(H504=2,"Couple Half Day","12H Day"),         IF(H504=2,"Couple Half Night","12H Night")), IF(L504&lt;=24,     IF(AND(MOD(D504,1)&gt;=TIME(6,0,0),MOD(D504,1)&lt;TIME(18,0,0)),         IF(H504=2,"Couple Full Day","24H Day"),         IF(H504=2,"Couple Full Night","24H Night")), "Check Data")))</f>
        <v>12H Night</v>
      </c>
      <c r="L504" s="12" t="n">
        <f aca="false">((INT(E504)+MOD(F504,1))-(INT(C504)+MOD(D504,1)))*24</f>
        <v>0</v>
      </c>
      <c r="M504" s="1" t="n">
        <f aca="false">IFERROR(INDEX(Sheet3!$B$2:$B$500,MATCH(1,(INT(C504)+MOD(D504,1)&lt;INT(Sheet3!$A$2:$A$500)+TIME(18,0,0))*(INT(E504)+MOD(F504,1)&gt;=INT(Sheet3!$A$2:$A$500)),0)),0)</f>
        <v>0</v>
      </c>
      <c r="N504" s="1" t="n">
        <f aca="false">IF(OR( AND(Q504=6,D504&gt;=TIME(17,0,0),OR(K504="12H Night",K504="Couple Half Night",K504="24H Night",K504="Couple Full Night")), AND(Q504=7,D504&gt;=TIME(6,0,0),D504&lt;TIME(12,0,0),OR(K504="12H Day",K504="Couple Half Day",K504="24H Day",K504="Couple Full Day")) ),1,0)</f>
        <v>0</v>
      </c>
      <c r="O504" s="1" t="n">
        <f aca="false">IF(OR( AND(MONTH(C504)=12,DAY(C504)&gt;=26), AND(MONTH(C504)=4,DAY(C504)&gt;=15), MONTH(C504)=5, AND(MONTH(C504)=6,DAY(C504)&lt;=10) ),1,0)</f>
        <v>0</v>
      </c>
      <c r="P504" s="1" t="str">
        <f aca="false">IF(OR(MONTH(C504)=3,MONTH(C504)=4,MONTH(C504)=5,MONTH(C504)=6), "Summer", IF(OR(MONTH(C504)=7,MONTH(C504)=8,MONTH(C504)=9,MONTH(C504)=10), "Monsoon", "Winter"))</f>
        <v>Monsoon</v>
      </c>
      <c r="Q504" s="1" t="n">
        <f aca="false">WEEKDAY(C504,2)</f>
        <v>7</v>
      </c>
      <c r="R504" s="0" t="n">
        <f aca="false">ROUNDDOWN(((INT(C504)+MOD(D504,1))-(INT(I504)+MOD(J504,1))),0)</f>
        <v>0</v>
      </c>
      <c r="S504" s="10"/>
    </row>
    <row r="505" customFormat="false" ht="93.85" hidden="false" customHeight="false" outlineLevel="0" collapsed="false">
      <c r="A505" s="8" t="s">
        <v>904</v>
      </c>
      <c r="B505" s="22" t="s">
        <v>905</v>
      </c>
      <c r="C505" s="18" t="n">
        <v>45903.4166666667</v>
      </c>
      <c r="D505" s="19" t="n">
        <v>45903.4166666667</v>
      </c>
      <c r="E505" s="18" t="n">
        <v>45903.75</v>
      </c>
      <c r="F505" s="19" t="n">
        <v>45903.75</v>
      </c>
      <c r="G505" s="20" t="n">
        <v>1500</v>
      </c>
      <c r="H505" s="8" t="n">
        <v>2</v>
      </c>
      <c r="I505" s="10" t="n">
        <v>45903</v>
      </c>
      <c r="J505" s="11" t="n">
        <v>0.486087962963206</v>
      </c>
      <c r="K505" s="1" t="str">
        <f aca="false">IF(L505&gt;24,     IF(H505=2,"Couple Extended Day","Extended Day"), IF(L505&lt;=12,     IF(AND(MOD(D505,1)&gt;=TIME(6,0,0),MOD(D505,1)&lt;TIME(18,0,0)),         IF(H505=2,"Couple Half Day","12H Day"),         IF(H505=2,"Couple Half Night","12H Night")), IF(L505&lt;=24,     IF(AND(MOD(D505,1)&gt;=TIME(6,0,0),MOD(D505,1)&lt;TIME(18,0,0)),         IF(H505=2,"Couple Full Day","24H Day"),         IF(H505=2,"Couple Full Night","24H Night")), "Check Data")))</f>
        <v>Couple Half Day</v>
      </c>
      <c r="L505" s="12" t="n">
        <f aca="false">((INT(E505)+MOD(F505,1))-(INT(C505)+MOD(D505,1)))*24</f>
        <v>7.99999999901047</v>
      </c>
      <c r="M505" s="1" t="n">
        <f aca="false">IFERROR(INDEX(Sheet3!$B$2:$B$500,MATCH(1,(INT(C505)+MOD(D505,1)&lt;INT(Sheet3!$A$2:$A$500)+TIME(18,0,0))*(INT(E505)+MOD(F505,1)&gt;=INT(Sheet3!$A$2:$A$500)),0)),0)</f>
        <v>0</v>
      </c>
      <c r="N505" s="1" t="n">
        <f aca="false">IF(OR( AND(Q505=6,D505&gt;=TIME(17,0,0),OR(K505="12H Night",K505="Couple Half Night",K505="24H Night",K505="Couple Full Night")), AND(Q505=7,D505&gt;=TIME(6,0,0),D505&lt;TIME(12,0,0),OR(K505="12H Day",K505="Couple Half Day",K505="24H Day",K505="Couple Full Day")) ),1,0)</f>
        <v>0</v>
      </c>
      <c r="O505" s="1" t="n">
        <f aca="false">IF(OR( AND(MONTH(C505)=12,DAY(C505)&gt;=26), AND(MONTH(C505)=4,DAY(C505)&gt;=15), MONTH(C505)=5, AND(MONTH(C505)=6,DAY(C505)&lt;=10) ),1,0)</f>
        <v>0</v>
      </c>
      <c r="P505" s="1" t="str">
        <f aca="false">IF(OR(MONTH(C505)=3,MONTH(C505)=4,MONTH(C505)=5,MONTH(C505)=6), "Summer", IF(OR(MONTH(C505)=7,MONTH(C505)=8,MONTH(C505)=9,MONTH(C505)=10), "Monsoon", "Winter"))</f>
        <v>Monsoon</v>
      </c>
      <c r="Q505" s="1" t="n">
        <f aca="false">WEEKDAY(C505,2)</f>
        <v>3</v>
      </c>
      <c r="R505" s="0" t="n">
        <f aca="false">ROUNDDOWN(((INT(C505)+MOD(D505,1))-(INT(I505)+MOD(J505,1))),0)</f>
        <v>-0</v>
      </c>
      <c r="S505" s="10"/>
    </row>
    <row r="506" customFormat="false" ht="120.15" hidden="false" customHeight="false" outlineLevel="0" collapsed="false">
      <c r="A506" s="8" t="s">
        <v>858</v>
      </c>
      <c r="B506" s="22" t="s">
        <v>906</v>
      </c>
      <c r="C506" s="18" t="n">
        <v>45903.8333333333</v>
      </c>
      <c r="D506" s="19" t="n">
        <v>0</v>
      </c>
      <c r="E506" s="18" t="n">
        <v>45904.3333333333</v>
      </c>
      <c r="F506" s="19" t="n">
        <v>0</v>
      </c>
      <c r="G506" s="20" t="n">
        <v>3200</v>
      </c>
      <c r="H506" s="8" t="n">
        <v>17</v>
      </c>
      <c r="I506" s="10" t="n">
        <v>45903</v>
      </c>
      <c r="J506" s="11" t="n">
        <v>0.482615740736944</v>
      </c>
      <c r="K506" s="1" t="str">
        <f aca="false">IF(L506&gt;24,     IF(H506=2,"Couple Extended Day","Extended Day"), IF(L506&lt;=12,     IF(AND(MOD(D506,1)&gt;=TIME(6,0,0),MOD(D506,1)&lt;TIME(18,0,0)),         IF(H506=2,"Couple Half Day","12H Day"),         IF(H506=2,"Couple Half Night","12H Night")), IF(L506&lt;=24,     IF(AND(MOD(D506,1)&gt;=TIME(6,0,0),MOD(D506,1)&lt;TIME(18,0,0)),         IF(H506=2,"Couple Full Day","24H Day"),         IF(H506=2,"Couple Full Night","24H Night")), "Check Data")))</f>
        <v>24H Night</v>
      </c>
      <c r="L506" s="12" t="n">
        <f aca="false">((INT(E506)+MOD(F506,1))-(INT(C506)+MOD(D506,1)))*24</f>
        <v>24</v>
      </c>
      <c r="M506" s="1" t="n">
        <f aca="false">IFERROR(INDEX(Sheet3!$B$2:$B$500,MATCH(1,(INT(C506)+MOD(D506,1)&lt;INT(Sheet3!$A$2:$A$500)+TIME(18,0,0))*(INT(E506)+MOD(F506,1)&gt;=INT(Sheet3!$A$2:$A$500)),0)),0)</f>
        <v>0</v>
      </c>
      <c r="N506" s="1" t="n">
        <f aca="false">IF(OR( AND(Q506=6,D506&gt;=TIME(17,0,0),OR(K506="12H Night",K506="Couple Half Night",K506="24H Night",K506="Couple Full Night")), AND(Q506=7,D506&gt;=TIME(6,0,0),D506&lt;TIME(12,0,0),OR(K506="12H Day",K506="Couple Half Day",K506="24H Day",K506="Couple Full Day")) ),1,0)</f>
        <v>0</v>
      </c>
      <c r="O506" s="1" t="n">
        <f aca="false">IF(OR( AND(MONTH(C506)=12,DAY(C506)&gt;=26), AND(MONTH(C506)=4,DAY(C506)&gt;=15), MONTH(C506)=5, AND(MONTH(C506)=6,DAY(C506)&lt;=10) ),1,0)</f>
        <v>0</v>
      </c>
      <c r="P506" s="1" t="str">
        <f aca="false">IF(OR(MONTH(C506)=3,MONTH(C506)=4,MONTH(C506)=5,MONTH(C506)=6), "Summer", IF(OR(MONTH(C506)=7,MONTH(C506)=8,MONTH(C506)=9,MONTH(C506)=10), "Monsoon", "Winter"))</f>
        <v>Monsoon</v>
      </c>
      <c r="Q506" s="1" t="n">
        <f aca="false">WEEKDAY(C506,2)</f>
        <v>3</v>
      </c>
      <c r="R506" s="0" t="n">
        <f aca="false">ROUNDDOWN(((INT(C506)+MOD(D506,1))-(INT(I506)+MOD(J506,1))),0)</f>
        <v>-0</v>
      </c>
      <c r="S506" s="10"/>
    </row>
    <row r="507" customFormat="false" ht="133.05" hidden="false" customHeight="false" outlineLevel="0" collapsed="false">
      <c r="A507" s="8" t="s">
        <v>907</v>
      </c>
      <c r="B507" s="22" t="s">
        <v>908</v>
      </c>
      <c r="C507" s="18" t="n">
        <v>45905.7916666667</v>
      </c>
      <c r="D507" s="19" t="n">
        <v>45905.7916666667</v>
      </c>
      <c r="E507" s="18" t="n">
        <v>45905.875</v>
      </c>
      <c r="F507" s="19" t="n">
        <v>45905.875</v>
      </c>
      <c r="G507" s="20" t="n">
        <v>1000</v>
      </c>
      <c r="H507" s="8" t="n">
        <v>12</v>
      </c>
      <c r="I507" s="10" t="n">
        <v>45905</v>
      </c>
      <c r="J507" s="11" t="n">
        <v>0.63359953703184</v>
      </c>
      <c r="K507" s="1" t="str">
        <f aca="false">IF(L507&gt;24,     IF(H507=2,"Couple Extended Day","Extended Day"), IF(L507&lt;=12,     IF(AND(MOD(D507,1)&gt;=TIME(6,0,0),MOD(D507,1)&lt;TIME(18,0,0)),         IF(H507=2,"Couple Half Day","12H Day"),         IF(H507=2,"Couple Half Night","12H Night")), IF(L507&lt;=24,     IF(AND(MOD(D507,1)&gt;=TIME(6,0,0),MOD(D507,1)&lt;TIME(18,0,0)),         IF(H507=2,"Couple Full Day","24H Day"),         IF(H507=2,"Couple Full Night","24H Night")), "Check Data")))</f>
        <v>12H Night</v>
      </c>
      <c r="L507" s="12" t="n">
        <f aca="false">((INT(E507)+MOD(F507,1))-(INT(C507)+MOD(D507,1)))*24</f>
        <v>1.99999999901047</v>
      </c>
      <c r="M507" s="1" t="n">
        <f aca="false">IFERROR(INDEX(Sheet3!$B$2:$B$500,MATCH(1,(INT(C507)+MOD(D507,1)&lt;INT(Sheet3!$A$2:$A$500)+TIME(18,0,0))*(INT(E507)+MOD(F507,1)&gt;=INT(Sheet3!$A$2:$A$500)),0)),0)</f>
        <v>0</v>
      </c>
      <c r="N507" s="1" t="n">
        <f aca="false">IF(OR( AND(Q507=6,D507&gt;=TIME(17,0,0),OR(K507="12H Night",K507="Couple Half Night",K507="24H Night",K507="Couple Full Night")), AND(Q507=7,D507&gt;=TIME(6,0,0),D507&lt;TIME(12,0,0),OR(K507="12H Day",K507="Couple Half Day",K507="24H Day",K507="Couple Full Day")) ),1,0)</f>
        <v>0</v>
      </c>
      <c r="O507" s="1" t="n">
        <f aca="false">IF(OR( AND(MONTH(C507)=12,DAY(C507)&gt;=26), AND(MONTH(C507)=4,DAY(C507)&gt;=15), MONTH(C507)=5, AND(MONTH(C507)=6,DAY(C507)&lt;=10) ),1,0)</f>
        <v>0</v>
      </c>
      <c r="P507" s="1" t="str">
        <f aca="false">IF(OR(MONTH(C507)=3,MONTH(C507)=4,MONTH(C507)=5,MONTH(C507)=6), "Summer", IF(OR(MONTH(C507)=7,MONTH(C507)=8,MONTH(C507)=9,MONTH(C507)=10), "Monsoon", "Winter"))</f>
        <v>Monsoon</v>
      </c>
      <c r="Q507" s="1" t="n">
        <f aca="false">WEEKDAY(C507,2)</f>
        <v>5</v>
      </c>
      <c r="R507" s="0" t="n">
        <f aca="false">ROUNDDOWN(((INT(C507)+MOD(D507,1))-(INT(I507)+MOD(J507,1))),0)</f>
        <v>0</v>
      </c>
      <c r="S507" s="10"/>
    </row>
    <row r="508" customFormat="false" ht="133.05" hidden="false" customHeight="false" outlineLevel="0" collapsed="false">
      <c r="A508" s="8" t="s">
        <v>909</v>
      </c>
      <c r="B508" s="22" t="s">
        <v>910</v>
      </c>
      <c r="C508" s="18" t="n">
        <v>45906.3333333333</v>
      </c>
      <c r="D508" s="19" t="n">
        <v>0</v>
      </c>
      <c r="E508" s="18" t="n">
        <v>45906.75</v>
      </c>
      <c r="F508" s="19" t="n">
        <v>45906.75</v>
      </c>
      <c r="G508" s="20" t="n">
        <v>3000</v>
      </c>
      <c r="H508" s="8" t="n">
        <v>10</v>
      </c>
      <c r="I508" s="10" t="n">
        <v>45905</v>
      </c>
      <c r="J508" s="11" t="n">
        <v>0.985092592592986</v>
      </c>
      <c r="K508" s="1" t="str">
        <f aca="false">IF(L508&gt;24,     IF(H508=2,"Couple Extended Day","Extended Day"), IF(L508&lt;=12,     IF(AND(MOD(D508,1)&gt;=TIME(6,0,0),MOD(D508,1)&lt;TIME(18,0,0)),         IF(H508=2,"Couple Half Day","12H Day"),         IF(H508=2,"Couple Half Night","12H Night")), IF(L508&lt;=24,     IF(AND(MOD(D508,1)&gt;=TIME(6,0,0),MOD(D508,1)&lt;TIME(18,0,0)),         IF(H508=2,"Couple Full Day","24H Day"),         IF(H508=2,"Couple Full Night","24H Night")), "Check Data")))</f>
        <v>24H Night</v>
      </c>
      <c r="L508" s="12" t="n">
        <f aca="false">((INT(E508)+MOD(F508,1))-(INT(C508)+MOD(D508,1)))*24</f>
        <v>18</v>
      </c>
      <c r="M508" s="1" t="n">
        <f aca="false">IFERROR(INDEX(Sheet3!$B$2:$B$500,MATCH(1,(INT(C508)+MOD(D508,1)&lt;INT(Sheet3!$A$2:$A$500)+TIME(18,0,0))*(INT(E508)+MOD(F508,1)&gt;=INT(Sheet3!$A$2:$A$500)),0)),0)</f>
        <v>0</v>
      </c>
      <c r="N508" s="1" t="n">
        <f aca="false">IF(OR( AND(Q508=6,D508&gt;=TIME(17,0,0),OR(K508="12H Night",K508="Couple Half Night",K508="24H Night",K508="Couple Full Night")), AND(Q508=7,D508&gt;=TIME(6,0,0),D508&lt;TIME(12,0,0),OR(K508="12H Day",K508="Couple Half Day",K508="24H Day",K508="Couple Full Day")) ),1,0)</f>
        <v>0</v>
      </c>
      <c r="O508" s="1" t="n">
        <f aca="false">IF(OR( AND(MONTH(C508)=12,DAY(C508)&gt;=26), AND(MONTH(C508)=4,DAY(C508)&gt;=15), MONTH(C508)=5, AND(MONTH(C508)=6,DAY(C508)&lt;=10) ),1,0)</f>
        <v>0</v>
      </c>
      <c r="P508" s="1" t="str">
        <f aca="false">IF(OR(MONTH(C508)=3,MONTH(C508)=4,MONTH(C508)=5,MONTH(C508)=6), "Summer", IF(OR(MONTH(C508)=7,MONTH(C508)=8,MONTH(C508)=9,MONTH(C508)=10), "Monsoon", "Winter"))</f>
        <v>Monsoon</v>
      </c>
      <c r="Q508" s="1" t="n">
        <f aca="false">WEEKDAY(C508,2)</f>
        <v>6</v>
      </c>
      <c r="R508" s="0" t="n">
        <f aca="false">ROUNDDOWN(((INT(C508)+MOD(D508,1))-(INT(I508)+MOD(J508,1))),0)</f>
        <v>0</v>
      </c>
      <c r="S508" s="10"/>
    </row>
    <row r="509" customFormat="false" ht="67.6" hidden="false" customHeight="false" outlineLevel="0" collapsed="false">
      <c r="A509" s="8" t="s">
        <v>911</v>
      </c>
      <c r="B509" s="22" t="s">
        <v>912</v>
      </c>
      <c r="C509" s="18" t="n">
        <v>45908.9166666667</v>
      </c>
      <c r="D509" s="19" t="n">
        <v>45908.9166666667</v>
      </c>
      <c r="E509" s="18" t="n">
        <v>45909.3333333333</v>
      </c>
      <c r="F509" s="19" t="n">
        <v>0</v>
      </c>
      <c r="G509" s="20" t="n">
        <v>2200</v>
      </c>
      <c r="H509" s="8" t="n">
        <v>7</v>
      </c>
      <c r="I509" s="10" t="n">
        <v>45908</v>
      </c>
      <c r="J509" s="11" t="n">
        <v>0.903194444443218</v>
      </c>
      <c r="K509" s="1" t="str">
        <f aca="false">IF(L509&gt;24,     IF(H509=2,"Couple Extended Day","Extended Day"), IF(L509&lt;=12,     IF(AND(MOD(D509,1)&gt;=TIME(6,0,0),MOD(D509,1)&lt;TIME(18,0,0)),         IF(H509=2,"Couple Half Day","12H Day"),         IF(H509=2,"Couple Half Night","12H Night")), IF(L509&lt;=24,     IF(AND(MOD(D509,1)&gt;=TIME(6,0,0),MOD(D509,1)&lt;TIME(18,0,0)),         IF(H509=2,"Couple Full Day","24H Day"),         IF(H509=2,"Couple Full Night","24H Night")), "Check Data")))</f>
        <v>12H Night</v>
      </c>
      <c r="L509" s="12" t="n">
        <f aca="false">((INT(E509)+MOD(F509,1))-(INT(C509)+MOD(D509,1)))*24</f>
        <v>1.99999999901047</v>
      </c>
      <c r="M509" s="1" t="n">
        <f aca="false">IFERROR(INDEX(Sheet3!$B$2:$B$500,MATCH(1,(INT(C509)+MOD(D509,1)&lt;INT(Sheet3!$A$2:$A$500)+TIME(18,0,0))*(INT(E509)+MOD(F509,1)&gt;=INT(Sheet3!$A$2:$A$500)),0)),0)</f>
        <v>0</v>
      </c>
      <c r="N509" s="1" t="n">
        <f aca="false">IF(OR( AND(Q509=6,D509&gt;=TIME(17,0,0),OR(K509="12H Night",K509="Couple Half Night",K509="24H Night",K509="Couple Full Night")), AND(Q509=7,D509&gt;=TIME(6,0,0),D509&lt;TIME(12,0,0),OR(K509="12H Day",K509="Couple Half Day",K509="24H Day",K509="Couple Full Day")) ),1,0)</f>
        <v>0</v>
      </c>
      <c r="O509" s="1" t="n">
        <f aca="false">IF(OR( AND(MONTH(C509)=12,DAY(C509)&gt;=26), AND(MONTH(C509)=4,DAY(C509)&gt;=15), MONTH(C509)=5, AND(MONTH(C509)=6,DAY(C509)&lt;=10) ),1,0)</f>
        <v>0</v>
      </c>
      <c r="P509" s="1" t="str">
        <f aca="false">IF(OR(MONTH(C509)=3,MONTH(C509)=4,MONTH(C509)=5,MONTH(C509)=6), "Summer", IF(OR(MONTH(C509)=7,MONTH(C509)=8,MONTH(C509)=9,MONTH(C509)=10), "Monsoon", "Winter"))</f>
        <v>Monsoon</v>
      </c>
      <c r="Q509" s="1" t="n">
        <f aca="false">WEEKDAY(C509,2)</f>
        <v>1</v>
      </c>
      <c r="R509" s="0" t="n">
        <f aca="false">ROUNDDOWN(((INT(C509)+MOD(D509,1))-(INT(I509)+MOD(J509,1))),0)</f>
        <v>0</v>
      </c>
      <c r="S509" s="10"/>
    </row>
    <row r="510" customFormat="false" ht="212.2" hidden="false" customHeight="false" outlineLevel="0" collapsed="false">
      <c r="A510" s="8" t="s">
        <v>913</v>
      </c>
      <c r="B510" s="22" t="s">
        <v>914</v>
      </c>
      <c r="C510" s="18" t="n">
        <v>45910.4166666667</v>
      </c>
      <c r="D510" s="19" t="n">
        <v>45910.4166666667</v>
      </c>
      <c r="E510" s="18" t="n">
        <v>45910.75</v>
      </c>
      <c r="F510" s="19" t="n">
        <v>45910.75</v>
      </c>
      <c r="G510" s="20" t="n">
        <v>1500</v>
      </c>
      <c r="H510" s="8" t="n">
        <v>2</v>
      </c>
      <c r="I510" s="10" t="n">
        <v>45909</v>
      </c>
      <c r="J510" s="11" t="n">
        <v>0.907418981485533</v>
      </c>
      <c r="K510" s="1" t="str">
        <f aca="false">IF(L510&gt;24,     IF(H510=2,"Couple Extended Day","Extended Day"), IF(L510&lt;=12,     IF(AND(MOD(D510,1)&gt;=TIME(6,0,0),MOD(D510,1)&lt;TIME(18,0,0)),         IF(H510=2,"Couple Half Day","12H Day"),         IF(H510=2,"Couple Half Night","12H Night")), IF(L510&lt;=24,     IF(AND(MOD(D510,1)&gt;=TIME(6,0,0),MOD(D510,1)&lt;TIME(18,0,0)),         IF(H510=2,"Couple Full Day","24H Day"),         IF(H510=2,"Couple Full Night","24H Night")), "Check Data")))</f>
        <v>Couple Half Day</v>
      </c>
      <c r="L510" s="12" t="n">
        <f aca="false">((INT(E510)+MOD(F510,1))-(INT(C510)+MOD(D510,1)))*24</f>
        <v>7.99999999901047</v>
      </c>
      <c r="M510" s="1" t="n">
        <f aca="false">IFERROR(INDEX(Sheet3!$B$2:$B$500,MATCH(1,(INT(C510)+MOD(D510,1)&lt;INT(Sheet3!$A$2:$A$500)+TIME(18,0,0))*(INT(E510)+MOD(F510,1)&gt;=INT(Sheet3!$A$2:$A$500)),0)),0)</f>
        <v>0</v>
      </c>
      <c r="N510" s="1" t="n">
        <f aca="false">IF(OR( AND(Q510=6,D510&gt;=TIME(17,0,0),OR(K510="12H Night",K510="Couple Half Night",K510="24H Night",K510="Couple Full Night")), AND(Q510=7,D510&gt;=TIME(6,0,0),D510&lt;TIME(12,0,0),OR(K510="12H Day",K510="Couple Half Day",K510="24H Day",K510="Couple Full Day")) ),1,0)</f>
        <v>0</v>
      </c>
      <c r="O510" s="1" t="n">
        <f aca="false">IF(OR( AND(MONTH(C510)=12,DAY(C510)&gt;=26), AND(MONTH(C510)=4,DAY(C510)&gt;=15), MONTH(C510)=5, AND(MONTH(C510)=6,DAY(C510)&lt;=10) ),1,0)</f>
        <v>0</v>
      </c>
      <c r="P510" s="1" t="str">
        <f aca="false">IF(OR(MONTH(C510)=3,MONTH(C510)=4,MONTH(C510)=5,MONTH(C510)=6), "Summer", IF(OR(MONTH(C510)=7,MONTH(C510)=8,MONTH(C510)=9,MONTH(C510)=10), "Monsoon", "Winter"))</f>
        <v>Monsoon</v>
      </c>
      <c r="Q510" s="1" t="n">
        <f aca="false">WEEKDAY(C510,2)</f>
        <v>3</v>
      </c>
      <c r="R510" s="0" t="n">
        <f aca="false">ROUNDDOWN(((INT(C510)+MOD(D510,1))-(INT(I510)+MOD(J510,1))),0)</f>
        <v>0</v>
      </c>
      <c r="S510" s="10"/>
    </row>
    <row r="511" customFormat="false" ht="133.3" hidden="false" customHeight="false" outlineLevel="0" collapsed="false">
      <c r="A511" s="8" t="s">
        <v>915</v>
      </c>
      <c r="B511" s="22" t="s">
        <v>916</v>
      </c>
      <c r="C511" s="18" t="n">
        <v>45911.375</v>
      </c>
      <c r="D511" s="19" t="n">
        <v>45911.375</v>
      </c>
      <c r="E511" s="18" t="n">
        <v>45911.75</v>
      </c>
      <c r="F511" s="19" t="n">
        <v>45911.75</v>
      </c>
      <c r="G511" s="20" t="n">
        <v>1500</v>
      </c>
      <c r="H511" s="8" t="n">
        <v>2</v>
      </c>
      <c r="I511" s="10" t="n">
        <v>45909</v>
      </c>
      <c r="J511" s="11" t="n">
        <v>0.581342592588044</v>
      </c>
      <c r="K511" s="1" t="str">
        <f aca="false">IF(L511&gt;24,     IF(H511=2,"Couple Extended Day","Extended Day"), IF(L511&lt;=12,     IF(AND(MOD(D511,1)&gt;=TIME(6,0,0),MOD(D511,1)&lt;TIME(18,0,0)),         IF(H511=2,"Couple Half Day","12H Day"),         IF(H511=2,"Couple Half Night","12H Night")), IF(L511&lt;=24,     IF(AND(MOD(D511,1)&gt;=TIME(6,0,0),MOD(D511,1)&lt;TIME(18,0,0)),         IF(H511=2,"Couple Full Day","24H Day"),         IF(H511=2,"Couple Full Night","24H Night")), "Check Data")))</f>
        <v>Couple Half Day</v>
      </c>
      <c r="L511" s="12" t="n">
        <f aca="false">((INT(E511)+MOD(F511,1))-(INT(C511)+MOD(D511,1)))*24</f>
        <v>9</v>
      </c>
      <c r="M511" s="1" t="n">
        <f aca="false">IFERROR(INDEX(Sheet3!$B$2:$B$500,MATCH(1,(INT(C511)+MOD(D511,1)&lt;INT(Sheet3!$A$2:$A$500)+TIME(18,0,0))*(INT(E511)+MOD(F511,1)&gt;=INT(Sheet3!$A$2:$A$500)),0)),0)</f>
        <v>0</v>
      </c>
      <c r="N511" s="1" t="n">
        <f aca="false">IF(OR( AND(Q511=6,D511&gt;=TIME(17,0,0),OR(K511="12H Night",K511="Couple Half Night",K511="24H Night",K511="Couple Full Night")), AND(Q511=7,D511&gt;=TIME(6,0,0),D511&lt;TIME(12,0,0),OR(K511="12H Day",K511="Couple Half Day",K511="24H Day",K511="Couple Full Day")) ),1,0)</f>
        <v>0</v>
      </c>
      <c r="O511" s="1" t="n">
        <f aca="false">IF(OR( AND(MONTH(C511)=12,DAY(C511)&gt;=26), AND(MONTH(C511)=4,DAY(C511)&gt;=15), MONTH(C511)=5, AND(MONTH(C511)=6,DAY(C511)&lt;=10) ),1,0)</f>
        <v>0</v>
      </c>
      <c r="P511" s="1" t="str">
        <f aca="false">IF(OR(MONTH(C511)=3,MONTH(C511)=4,MONTH(C511)=5,MONTH(C511)=6), "Summer", IF(OR(MONTH(C511)=7,MONTH(C511)=8,MONTH(C511)=9,MONTH(C511)=10), "Monsoon", "Winter"))</f>
        <v>Monsoon</v>
      </c>
      <c r="Q511" s="1" t="n">
        <f aca="false">WEEKDAY(C511,2)</f>
        <v>4</v>
      </c>
      <c r="R511" s="0" t="n">
        <f aca="false">ROUNDDOWN(((INT(C511)+MOD(D511,1))-(INT(I511)+MOD(J511,1))),0)</f>
        <v>1</v>
      </c>
      <c r="S511" s="10"/>
    </row>
    <row r="512" customFormat="false" ht="93.85" hidden="false" customHeight="false" outlineLevel="0" collapsed="false">
      <c r="A512" s="8" t="s">
        <v>917</v>
      </c>
      <c r="B512" s="22" t="s">
        <v>918</v>
      </c>
      <c r="C512" s="18" t="n">
        <v>45911.8333333333</v>
      </c>
      <c r="D512" s="19" t="n">
        <v>0</v>
      </c>
      <c r="E512" s="18" t="n">
        <v>45912.3333333333</v>
      </c>
      <c r="F512" s="19" t="n">
        <v>0</v>
      </c>
      <c r="G512" s="20" t="n">
        <v>2500</v>
      </c>
      <c r="H512" s="8" t="n">
        <v>6</v>
      </c>
      <c r="I512" s="10" t="n">
        <v>45911</v>
      </c>
      <c r="J512" s="11" t="n">
        <v>0.747372685189479</v>
      </c>
      <c r="K512" s="1" t="str">
        <f aca="false">IF(L512&gt;24,     IF(H512=2,"Couple Extended Day","Extended Day"), IF(L512&lt;=12,     IF(AND(MOD(D512,1)&gt;=TIME(6,0,0),MOD(D512,1)&lt;TIME(18,0,0)),         IF(H512=2,"Couple Half Day","12H Day"),         IF(H512=2,"Couple Half Night","12H Night")), IF(L512&lt;=24,     IF(AND(MOD(D512,1)&gt;=TIME(6,0,0),MOD(D512,1)&lt;TIME(18,0,0)),         IF(H512=2,"Couple Full Day","24H Day"),         IF(H512=2,"Couple Full Night","24H Night")), "Check Data")))</f>
        <v>24H Night</v>
      </c>
      <c r="L512" s="12" t="n">
        <f aca="false">((INT(E512)+MOD(F512,1))-(INT(C512)+MOD(D512,1)))*24</f>
        <v>24</v>
      </c>
      <c r="M512" s="1" t="n">
        <f aca="false">IFERROR(INDEX(Sheet3!$B$2:$B$500,MATCH(1,(INT(C512)+MOD(D512,1)&lt;INT(Sheet3!$A$2:$A$500)+TIME(18,0,0))*(INT(E512)+MOD(F512,1)&gt;=INT(Sheet3!$A$2:$A$500)),0)),0)</f>
        <v>0</v>
      </c>
      <c r="N512" s="1" t="n">
        <f aca="false">IF(OR( AND(Q512=6,D512&gt;=TIME(17,0,0),OR(K512="12H Night",K512="Couple Half Night",K512="24H Night",K512="Couple Full Night")), AND(Q512=7,D512&gt;=TIME(6,0,0),D512&lt;TIME(12,0,0),OR(K512="12H Day",K512="Couple Half Day",K512="24H Day",K512="Couple Full Day")) ),1,0)</f>
        <v>0</v>
      </c>
      <c r="O512" s="1" t="n">
        <f aca="false">IF(OR( AND(MONTH(C512)=12,DAY(C512)&gt;=26), AND(MONTH(C512)=4,DAY(C512)&gt;=15), MONTH(C512)=5, AND(MONTH(C512)=6,DAY(C512)&lt;=10) ),1,0)</f>
        <v>0</v>
      </c>
      <c r="P512" s="1" t="str">
        <f aca="false">IF(OR(MONTH(C512)=3,MONTH(C512)=4,MONTH(C512)=5,MONTH(C512)=6), "Summer", IF(OR(MONTH(C512)=7,MONTH(C512)=8,MONTH(C512)=9,MONTH(C512)=10), "Monsoon", "Winter"))</f>
        <v>Monsoon</v>
      </c>
      <c r="Q512" s="1" t="n">
        <f aca="false">WEEKDAY(C512,2)</f>
        <v>4</v>
      </c>
      <c r="R512" s="0" t="n">
        <f aca="false">ROUNDDOWN(((INT(C512)+MOD(D512,1))-(INT(I512)+MOD(J512,1))),0)</f>
        <v>-0</v>
      </c>
      <c r="S512" s="10"/>
    </row>
    <row r="513" customFormat="false" ht="225.35" hidden="false" customHeight="false" outlineLevel="0" collapsed="false">
      <c r="A513" s="8" t="s">
        <v>919</v>
      </c>
      <c r="B513" s="22" t="s">
        <v>920</v>
      </c>
      <c r="C513" s="18" t="n">
        <v>45912.375</v>
      </c>
      <c r="D513" s="19" t="n">
        <v>45912.375</v>
      </c>
      <c r="E513" s="18" t="n">
        <v>45912.75</v>
      </c>
      <c r="F513" s="19" t="n">
        <v>45912.75</v>
      </c>
      <c r="G513" s="20" t="n">
        <v>1500</v>
      </c>
      <c r="H513" s="8" t="n">
        <v>2</v>
      </c>
      <c r="I513" s="10" t="n">
        <v>45911</v>
      </c>
      <c r="J513" s="11" t="n">
        <v>0.903622685189479</v>
      </c>
      <c r="K513" s="1" t="str">
        <f aca="false">IF(L513&gt;24,     IF(H513=2,"Couple Extended Day","Extended Day"), IF(L513&lt;=12,     IF(AND(MOD(D513,1)&gt;=TIME(6,0,0),MOD(D513,1)&lt;TIME(18,0,0)),         IF(H513=2,"Couple Half Day","12H Day"),         IF(H513=2,"Couple Half Night","12H Night")), IF(L513&lt;=24,     IF(AND(MOD(D513,1)&gt;=TIME(6,0,0),MOD(D513,1)&lt;TIME(18,0,0)),         IF(H513=2,"Couple Full Day","24H Day"),         IF(H513=2,"Couple Full Night","24H Night")), "Check Data")))</f>
        <v>Couple Half Day</v>
      </c>
      <c r="L513" s="12" t="n">
        <f aca="false">((INT(E513)+MOD(F513,1))-(INT(C513)+MOD(D513,1)))*24</f>
        <v>9</v>
      </c>
      <c r="M513" s="1" t="n">
        <f aca="false">IFERROR(INDEX(Sheet3!$B$2:$B$500,MATCH(1,(INT(C513)+MOD(D513,1)&lt;INT(Sheet3!$A$2:$A$500)+TIME(18,0,0))*(INT(E513)+MOD(F513,1)&gt;=INT(Sheet3!$A$2:$A$500)),0)),0)</f>
        <v>0</v>
      </c>
      <c r="N513" s="1" t="n">
        <f aca="false">IF(OR( AND(Q513=6,D513&gt;=TIME(17,0,0),OR(K513="12H Night",K513="Couple Half Night",K513="24H Night",K513="Couple Full Night")), AND(Q513=7,D513&gt;=TIME(6,0,0),D513&lt;TIME(12,0,0),OR(K513="12H Day",K513="Couple Half Day",K513="24H Day",K513="Couple Full Day")) ),1,0)</f>
        <v>0</v>
      </c>
      <c r="O513" s="1" t="n">
        <f aca="false">IF(OR( AND(MONTH(C513)=12,DAY(C513)&gt;=26), AND(MONTH(C513)=4,DAY(C513)&gt;=15), MONTH(C513)=5, AND(MONTH(C513)=6,DAY(C513)&lt;=10) ),1,0)</f>
        <v>0</v>
      </c>
      <c r="P513" s="1" t="str">
        <f aca="false">IF(OR(MONTH(C513)=3,MONTH(C513)=4,MONTH(C513)=5,MONTH(C513)=6), "Summer", IF(OR(MONTH(C513)=7,MONTH(C513)=8,MONTH(C513)=9,MONTH(C513)=10), "Monsoon", "Winter"))</f>
        <v>Monsoon</v>
      </c>
      <c r="Q513" s="1" t="n">
        <f aca="false">WEEKDAY(C513,2)</f>
        <v>5</v>
      </c>
      <c r="R513" s="0" t="n">
        <f aca="false">ROUNDDOWN(((INT(C513)+MOD(D513,1))-(INT(I513)+MOD(J513,1))),0)</f>
        <v>0</v>
      </c>
      <c r="S513" s="10"/>
    </row>
    <row r="514" customFormat="false" ht="133.05" hidden="false" customHeight="false" outlineLevel="0" collapsed="false">
      <c r="A514" s="8" t="s">
        <v>921</v>
      </c>
      <c r="B514" s="22" t="s">
        <v>922</v>
      </c>
      <c r="C514" s="18" t="n">
        <v>45913.4166666667</v>
      </c>
      <c r="D514" s="19" t="n">
        <v>45913.4166666667</v>
      </c>
      <c r="E514" s="18" t="n">
        <v>45913.7083333333</v>
      </c>
      <c r="F514" s="19" t="n">
        <v>0</v>
      </c>
      <c r="G514" s="20" t="n">
        <v>2000</v>
      </c>
      <c r="H514" s="8" t="n">
        <v>2</v>
      </c>
      <c r="I514" s="10" t="n">
        <v>45913</v>
      </c>
      <c r="J514" s="11" t="n">
        <v>0.388263888889919</v>
      </c>
      <c r="K514" s="1" t="str">
        <f aca="false">IF(L514&gt;24,     IF(H514=2,"Couple Extended Day","Extended Day"), IF(L514&lt;=12,     IF(AND(MOD(D514,1)&gt;=TIME(6,0,0),MOD(D514,1)&lt;TIME(18,0,0)),         IF(H514=2,"Couple Half Day","12H Day"),         IF(H514=2,"Couple Half Night","12H Night")), IF(L514&lt;=24,     IF(AND(MOD(D514,1)&gt;=TIME(6,0,0),MOD(D514,1)&lt;TIME(18,0,0)),         IF(H514=2,"Couple Full Day","24H Day"),         IF(H514=2,"Couple Full Night","24H Night")), "Check Data")))</f>
        <v>Couple Half Day</v>
      </c>
      <c r="L514" s="12" t="n">
        <f aca="false">((INT(E514)+MOD(F514,1))-(INT(C514)+MOD(D514,1)))*24</f>
        <v>-10.0000000009895</v>
      </c>
      <c r="M514" s="1" t="n">
        <f aca="false">IFERROR(INDEX(Sheet3!$B$2:$B$500,MATCH(1,(INT(C514)+MOD(D514,1)&lt;INT(Sheet3!$A$2:$A$500)+TIME(18,0,0))*(INT(E514)+MOD(F514,1)&gt;=INT(Sheet3!$A$2:$A$500)),0)),0)</f>
        <v>0</v>
      </c>
      <c r="N514" s="1" t="n">
        <f aca="false">IF(OR( AND(Q514=6,D514&gt;=TIME(17,0,0),OR(K514="12H Night",K514="Couple Half Night",K514="24H Night",K514="Couple Full Night")), AND(Q514=7,D514&gt;=TIME(6,0,0),D514&lt;TIME(12,0,0),OR(K514="12H Day",K514="Couple Half Day",K514="24H Day",K514="Couple Full Day")) ),1,0)</f>
        <v>0</v>
      </c>
      <c r="O514" s="1" t="n">
        <f aca="false">IF(OR( AND(MONTH(C514)=12,DAY(C514)&gt;=26), AND(MONTH(C514)=4,DAY(C514)&gt;=15), MONTH(C514)=5, AND(MONTH(C514)=6,DAY(C514)&lt;=10) ),1,0)</f>
        <v>0</v>
      </c>
      <c r="P514" s="1" t="str">
        <f aca="false">IF(OR(MONTH(C514)=3,MONTH(C514)=4,MONTH(C514)=5,MONTH(C514)=6), "Summer", IF(OR(MONTH(C514)=7,MONTH(C514)=8,MONTH(C514)=9,MONTH(C514)=10), "Monsoon", "Winter"))</f>
        <v>Monsoon</v>
      </c>
      <c r="Q514" s="1" t="n">
        <f aca="false">WEEKDAY(C514,2)</f>
        <v>6</v>
      </c>
      <c r="R514" s="0" t="n">
        <f aca="false">ROUNDDOWN(((INT(C514)+MOD(D514,1))-(INT(I514)+MOD(J514,1))),0)</f>
        <v>0</v>
      </c>
      <c r="S514" s="10"/>
    </row>
    <row r="515" customFormat="false" ht="133.05" hidden="false" customHeight="false" outlineLevel="0" collapsed="false">
      <c r="A515" s="8" t="s">
        <v>923</v>
      </c>
      <c r="B515" s="22" t="s">
        <v>924</v>
      </c>
      <c r="C515" s="18" t="n">
        <v>45913.75</v>
      </c>
      <c r="D515" s="19" t="n">
        <v>45913.75</v>
      </c>
      <c r="E515" s="18" t="n">
        <v>45914.75</v>
      </c>
      <c r="F515" s="19" t="n">
        <v>45914.75</v>
      </c>
      <c r="G515" s="20" t="n">
        <v>4000</v>
      </c>
      <c r="H515" s="8" t="n">
        <v>10</v>
      </c>
      <c r="I515" s="10" t="n">
        <v>45912</v>
      </c>
      <c r="J515" s="11" t="n">
        <v>0.988888888889051</v>
      </c>
      <c r="K515" s="1" t="str">
        <f aca="false">IF(L515&gt;24,     IF(H515=2,"Couple Extended Day","Extended Day"), IF(L515&lt;=12,     IF(AND(MOD(D515,1)&gt;=TIME(6,0,0),MOD(D515,1)&lt;TIME(18,0,0)),         IF(H515=2,"Couple Half Day","12H Day"),         IF(H515=2,"Couple Half Night","12H Night")), IF(L515&lt;=24,     IF(AND(MOD(D515,1)&gt;=TIME(6,0,0),MOD(D515,1)&lt;TIME(18,0,0)),         IF(H515=2,"Couple Full Day","24H Day"),         IF(H515=2,"Couple Full Night","24H Night")), "Check Data")))</f>
        <v>24H Night</v>
      </c>
      <c r="L515" s="12" t="n">
        <f aca="false">((INT(E515)+MOD(F515,1))-(INT(C515)+MOD(D515,1)))*24</f>
        <v>24</v>
      </c>
      <c r="M515" s="1" t="n">
        <f aca="false">IFERROR(INDEX(Sheet3!$B$2:$B$500,MATCH(1,(INT(C515)+MOD(D515,1)&lt;INT(Sheet3!$A$2:$A$500)+TIME(18,0,0))*(INT(E515)+MOD(F515,1)&gt;=INT(Sheet3!$A$2:$A$500)),0)),0)</f>
        <v>0</v>
      </c>
      <c r="N515" s="1" t="n">
        <f aca="false">IF(OR( AND(Q515=6,D515&gt;=TIME(17,0,0),OR(K515="12H Night",K515="Couple Half Night",K515="24H Night",K515="Couple Full Night")), AND(Q515=7,D515&gt;=TIME(6,0,0),D515&lt;TIME(12,0,0),OR(K515="12H Day",K515="Couple Half Day",K515="24H Day",K515="Couple Full Day")) ),1,0)</f>
        <v>1</v>
      </c>
      <c r="O515" s="1" t="n">
        <f aca="false">IF(OR( AND(MONTH(C515)=12,DAY(C515)&gt;=26), AND(MONTH(C515)=4,DAY(C515)&gt;=15), MONTH(C515)=5, AND(MONTH(C515)=6,DAY(C515)&lt;=10) ),1,0)</f>
        <v>0</v>
      </c>
      <c r="P515" s="1" t="str">
        <f aca="false">IF(OR(MONTH(C515)=3,MONTH(C515)=4,MONTH(C515)=5,MONTH(C515)=6), "Summer", IF(OR(MONTH(C515)=7,MONTH(C515)=8,MONTH(C515)=9,MONTH(C515)=10), "Monsoon", "Winter"))</f>
        <v>Monsoon</v>
      </c>
      <c r="Q515" s="1" t="n">
        <f aca="false">WEEKDAY(C515,2)</f>
        <v>6</v>
      </c>
      <c r="R515" s="0" t="n">
        <f aca="false">ROUNDDOWN(((INT(C515)+MOD(D515,1))-(INT(I515)+MOD(J515,1))),0)</f>
        <v>0</v>
      </c>
      <c r="S515" s="10"/>
    </row>
    <row r="516" customFormat="false" ht="93.85" hidden="false" customHeight="false" outlineLevel="0" collapsed="false">
      <c r="A516" s="8" t="s">
        <v>925</v>
      </c>
      <c r="B516" s="22" t="s">
        <v>821</v>
      </c>
      <c r="C516" s="18" t="n">
        <v>45916.375</v>
      </c>
      <c r="D516" s="19" t="n">
        <v>45916.375</v>
      </c>
      <c r="E516" s="18" t="n">
        <v>45916.75</v>
      </c>
      <c r="F516" s="19" t="n">
        <v>45916.75</v>
      </c>
      <c r="G516" s="20" t="n">
        <v>2000</v>
      </c>
      <c r="H516" s="8" t="n">
        <v>2</v>
      </c>
      <c r="I516" s="10" t="n">
        <v>45915</v>
      </c>
      <c r="J516" s="11" t="n">
        <v>0.645254629635023</v>
      </c>
      <c r="K516" s="1" t="str">
        <f aca="false">IF(L516&gt;24,     IF(H516=2,"Couple Extended Day","Extended Day"), IF(L516&lt;=12,     IF(AND(MOD(D516,1)&gt;=TIME(6,0,0),MOD(D516,1)&lt;TIME(18,0,0)),         IF(H516=2,"Couple Half Day","12H Day"),         IF(H516=2,"Couple Half Night","12H Night")), IF(L516&lt;=24,     IF(AND(MOD(D516,1)&gt;=TIME(6,0,0),MOD(D516,1)&lt;TIME(18,0,0)),         IF(H516=2,"Couple Full Day","24H Day"),         IF(H516=2,"Couple Full Night","24H Night")), "Check Data")))</f>
        <v>Couple Half Day</v>
      </c>
      <c r="L516" s="12" t="n">
        <f aca="false">((INT(E516)+MOD(F516,1))-(INT(C516)+MOD(D516,1)))*24</f>
        <v>9</v>
      </c>
      <c r="M516" s="1" t="n">
        <f aca="false">IFERROR(INDEX(Sheet3!$B$2:$B$500,MATCH(1,(INT(C516)+MOD(D516,1)&lt;INT(Sheet3!$A$2:$A$500)+TIME(18,0,0))*(INT(E516)+MOD(F516,1)&gt;=INT(Sheet3!$A$2:$A$500)),0)),0)</f>
        <v>0</v>
      </c>
      <c r="N516" s="1" t="n">
        <f aca="false">IF(OR( AND(Q516=6,D516&gt;=TIME(17,0,0),OR(K516="12H Night",K516="Couple Half Night",K516="24H Night",K516="Couple Full Night")), AND(Q516=7,D516&gt;=TIME(6,0,0),D516&lt;TIME(12,0,0),OR(K516="12H Day",K516="Couple Half Day",K516="24H Day",K516="Couple Full Day")) ),1,0)</f>
        <v>0</v>
      </c>
      <c r="O516" s="1" t="n">
        <f aca="false">IF(OR( AND(MONTH(C516)=12,DAY(C516)&gt;=26), AND(MONTH(C516)=4,DAY(C516)&gt;=15), MONTH(C516)=5, AND(MONTH(C516)=6,DAY(C516)&lt;=10) ),1,0)</f>
        <v>0</v>
      </c>
      <c r="P516" s="1" t="str">
        <f aca="false">IF(OR(MONTH(C516)=3,MONTH(C516)=4,MONTH(C516)=5,MONTH(C516)=6), "Summer", IF(OR(MONTH(C516)=7,MONTH(C516)=8,MONTH(C516)=9,MONTH(C516)=10), "Monsoon", "Winter"))</f>
        <v>Monsoon</v>
      </c>
      <c r="Q516" s="1" t="n">
        <f aca="false">WEEKDAY(C516,2)</f>
        <v>2</v>
      </c>
      <c r="R516" s="0" t="n">
        <f aca="false">ROUNDDOWN(((INT(C516)+MOD(D516,1))-(INT(I516)+MOD(J516,1))),0)</f>
        <v>0</v>
      </c>
      <c r="S516" s="10"/>
    </row>
    <row r="517" customFormat="false" ht="133.05" hidden="false" customHeight="false" outlineLevel="0" collapsed="false">
      <c r="A517" s="8" t="s">
        <v>926</v>
      </c>
      <c r="B517" s="22" t="s">
        <v>927</v>
      </c>
      <c r="C517" s="18" t="n">
        <v>45916.875</v>
      </c>
      <c r="D517" s="19" t="n">
        <v>45916.875</v>
      </c>
      <c r="E517" s="18" t="n">
        <v>45917.3333333333</v>
      </c>
      <c r="F517" s="19" t="n">
        <v>0</v>
      </c>
      <c r="G517" s="20" t="n">
        <v>2200</v>
      </c>
      <c r="H517" s="8" t="n">
        <v>6</v>
      </c>
      <c r="I517" s="10" t="n">
        <v>45916</v>
      </c>
      <c r="J517" s="11" t="n">
        <v>0.82037037036934</v>
      </c>
      <c r="K517" s="1" t="str">
        <f aca="false">IF(L517&gt;24,     IF(H517=2,"Couple Extended Day","Extended Day"), IF(L517&lt;=12,     IF(AND(MOD(D517,1)&gt;=TIME(6,0,0),MOD(D517,1)&lt;TIME(18,0,0)),         IF(H517=2,"Couple Half Day","12H Day"),         IF(H517=2,"Couple Half Night","12H Night")), IF(L517&lt;=24,     IF(AND(MOD(D517,1)&gt;=TIME(6,0,0),MOD(D517,1)&lt;TIME(18,0,0)),         IF(H517=2,"Couple Full Day","24H Day"),         IF(H517=2,"Couple Full Night","24H Night")), "Check Data")))</f>
        <v>12H Night</v>
      </c>
      <c r="L517" s="12" t="n">
        <f aca="false">((INT(E517)+MOD(F517,1))-(INT(C517)+MOD(D517,1)))*24</f>
        <v>3</v>
      </c>
      <c r="M517" s="1" t="n">
        <f aca="false">IFERROR(INDEX(Sheet3!$B$2:$B$500,MATCH(1,(INT(C517)+MOD(D517,1)&lt;INT(Sheet3!$A$2:$A$500)+TIME(18,0,0))*(INT(E517)+MOD(F517,1)&gt;=INT(Sheet3!$A$2:$A$500)),0)),0)</f>
        <v>0</v>
      </c>
      <c r="N517" s="1" t="n">
        <f aca="false">IF(OR( AND(Q517=6,D517&gt;=TIME(17,0,0),OR(K517="12H Night",K517="Couple Half Night",K517="24H Night",K517="Couple Full Night")), AND(Q517=7,D517&gt;=TIME(6,0,0),D517&lt;TIME(12,0,0),OR(K517="12H Day",K517="Couple Half Day",K517="24H Day",K517="Couple Full Day")) ),1,0)</f>
        <v>0</v>
      </c>
      <c r="O517" s="1" t="n">
        <f aca="false">IF(OR( AND(MONTH(C517)=12,DAY(C517)&gt;=26), AND(MONTH(C517)=4,DAY(C517)&gt;=15), MONTH(C517)=5, AND(MONTH(C517)=6,DAY(C517)&lt;=10) ),1,0)</f>
        <v>0</v>
      </c>
      <c r="P517" s="1" t="str">
        <f aca="false">IF(OR(MONTH(C517)=3,MONTH(C517)=4,MONTH(C517)=5,MONTH(C517)=6), "Summer", IF(OR(MONTH(C517)=7,MONTH(C517)=8,MONTH(C517)=9,MONTH(C517)=10), "Monsoon", "Winter"))</f>
        <v>Monsoon</v>
      </c>
      <c r="Q517" s="1" t="n">
        <f aca="false">WEEKDAY(C517,2)</f>
        <v>2</v>
      </c>
      <c r="R517" s="0" t="n">
        <f aca="false">ROUNDDOWN(((INT(C517)+MOD(D517,1))-(INT(I517)+MOD(J517,1))),0)</f>
        <v>0</v>
      </c>
      <c r="S517" s="10"/>
    </row>
    <row r="518" customFormat="false" ht="133.05" hidden="false" customHeight="false" outlineLevel="0" collapsed="false">
      <c r="A518" s="8" t="s">
        <v>816</v>
      </c>
      <c r="B518" s="22" t="s">
        <v>928</v>
      </c>
      <c r="C518" s="18" t="n">
        <v>45917.375</v>
      </c>
      <c r="D518" s="19" t="n">
        <v>45917.375</v>
      </c>
      <c r="E518" s="18" t="n">
        <v>45917.75</v>
      </c>
      <c r="F518" s="19" t="n">
        <v>45917.75</v>
      </c>
      <c r="G518" s="20" t="n">
        <v>2200</v>
      </c>
      <c r="H518" s="8" t="n">
        <v>4</v>
      </c>
      <c r="I518" s="10" t="n">
        <v>45916</v>
      </c>
      <c r="J518" s="11" t="n">
        <v>0.778888888889919</v>
      </c>
      <c r="K518" s="1" t="str">
        <f aca="false">IF(L518&gt;24,     IF(H518=2,"Couple Extended Day","Extended Day"), IF(L518&lt;=12,     IF(AND(MOD(D518,1)&gt;=TIME(6,0,0),MOD(D518,1)&lt;TIME(18,0,0)),         IF(H518=2,"Couple Half Day","12H Day"),         IF(H518=2,"Couple Half Night","12H Night")), IF(L518&lt;=24,     IF(AND(MOD(D518,1)&gt;=TIME(6,0,0),MOD(D518,1)&lt;TIME(18,0,0)),         IF(H518=2,"Couple Full Day","24H Day"),         IF(H518=2,"Couple Full Night","24H Night")), "Check Data")))</f>
        <v>12H Day</v>
      </c>
      <c r="L518" s="12" t="n">
        <f aca="false">((INT(E518)+MOD(F518,1))-(INT(C518)+MOD(D518,1)))*24</f>
        <v>9</v>
      </c>
      <c r="M518" s="1" t="n">
        <f aca="false">IFERROR(INDEX(Sheet3!$B$2:$B$500,MATCH(1,(INT(C518)+MOD(D518,1)&lt;INT(Sheet3!$A$2:$A$500)+TIME(18,0,0))*(INT(E518)+MOD(F518,1)&gt;=INT(Sheet3!$A$2:$A$500)),0)),0)</f>
        <v>0</v>
      </c>
      <c r="N518" s="1" t="n">
        <f aca="false">IF(OR( AND(Q518=6,D518&gt;=TIME(17,0,0),OR(K518="12H Night",K518="Couple Half Night",K518="24H Night",K518="Couple Full Night")), AND(Q518=7,D518&gt;=TIME(6,0,0),D518&lt;TIME(12,0,0),OR(K518="12H Day",K518="Couple Half Day",K518="24H Day",K518="Couple Full Day")) ),1,0)</f>
        <v>0</v>
      </c>
      <c r="O518" s="1" t="n">
        <f aca="false">IF(OR( AND(MONTH(C518)=12,DAY(C518)&gt;=26), AND(MONTH(C518)=4,DAY(C518)&gt;=15), MONTH(C518)=5, AND(MONTH(C518)=6,DAY(C518)&lt;=10) ),1,0)</f>
        <v>0</v>
      </c>
      <c r="P518" s="1" t="str">
        <f aca="false">IF(OR(MONTH(C518)=3,MONTH(C518)=4,MONTH(C518)=5,MONTH(C518)=6), "Summer", IF(OR(MONTH(C518)=7,MONTH(C518)=8,MONTH(C518)=9,MONTH(C518)=10), "Monsoon", "Winter"))</f>
        <v>Monsoon</v>
      </c>
      <c r="Q518" s="1" t="n">
        <f aca="false">WEEKDAY(C518,2)</f>
        <v>3</v>
      </c>
      <c r="R518" s="0" t="n">
        <f aca="false">ROUNDDOWN(((INT(C518)+MOD(D518,1))-(INT(I518)+MOD(J518,1))),0)</f>
        <v>0</v>
      </c>
      <c r="S518" s="10"/>
    </row>
    <row r="519" customFormat="false" ht="133.3" hidden="false" customHeight="false" outlineLevel="0" collapsed="false">
      <c r="A519" s="8" t="s">
        <v>929</v>
      </c>
      <c r="B519" s="22" t="s">
        <v>930</v>
      </c>
      <c r="C519" s="18" t="n">
        <v>45918.5833333333</v>
      </c>
      <c r="D519" s="19" t="n">
        <v>0</v>
      </c>
      <c r="E519" s="18" t="n">
        <v>45918.875</v>
      </c>
      <c r="F519" s="19" t="n">
        <v>45918.875</v>
      </c>
      <c r="G519" s="20" t="n">
        <v>1500</v>
      </c>
      <c r="H519" s="8" t="n">
        <v>10</v>
      </c>
      <c r="I519" s="10" t="n">
        <v>45915</v>
      </c>
      <c r="J519" s="11" t="n">
        <v>0.87682870370191</v>
      </c>
      <c r="K519" s="1" t="str">
        <f aca="false">IF(L519&gt;24,     IF(H519=2,"Couple Extended Day","Extended Day"), IF(L519&lt;=12,     IF(AND(MOD(D519,1)&gt;=TIME(6,0,0),MOD(D519,1)&lt;TIME(18,0,0)),         IF(H519=2,"Couple Half Day","12H Day"),         IF(H519=2,"Couple Half Night","12H Night")), IF(L519&lt;=24,     IF(AND(MOD(D519,1)&gt;=TIME(6,0,0),MOD(D519,1)&lt;TIME(18,0,0)),         IF(H519=2,"Couple Full Day","24H Day"),         IF(H519=2,"Couple Full Night","24H Night")), "Check Data")))</f>
        <v>24H Night</v>
      </c>
      <c r="L519" s="12" t="n">
        <f aca="false">((INT(E519)+MOD(F519,1))-(INT(C519)+MOD(D519,1)))*24</f>
        <v>21</v>
      </c>
      <c r="M519" s="1" t="n">
        <f aca="false">IFERROR(INDEX(Sheet3!$B$2:$B$500,MATCH(1,(INT(C519)+MOD(D519,1)&lt;INT(Sheet3!$A$2:$A$500)+TIME(18,0,0))*(INT(E519)+MOD(F519,1)&gt;=INT(Sheet3!$A$2:$A$500)),0)),0)</f>
        <v>0</v>
      </c>
      <c r="N519" s="1" t="n">
        <f aca="false">IF(OR( AND(Q519=6,D519&gt;=TIME(17,0,0),OR(K519="12H Night",K519="Couple Half Night",K519="24H Night",K519="Couple Full Night")), AND(Q519=7,D519&gt;=TIME(6,0,0),D519&lt;TIME(12,0,0),OR(K519="12H Day",K519="Couple Half Day",K519="24H Day",K519="Couple Full Day")) ),1,0)</f>
        <v>0</v>
      </c>
      <c r="O519" s="1" t="n">
        <f aca="false">IF(OR( AND(MONTH(C519)=12,DAY(C519)&gt;=26), AND(MONTH(C519)=4,DAY(C519)&gt;=15), MONTH(C519)=5, AND(MONTH(C519)=6,DAY(C519)&lt;=10) ),1,0)</f>
        <v>0</v>
      </c>
      <c r="P519" s="1" t="str">
        <f aca="false">IF(OR(MONTH(C519)=3,MONTH(C519)=4,MONTH(C519)=5,MONTH(C519)=6), "Summer", IF(OR(MONTH(C519)=7,MONTH(C519)=8,MONTH(C519)=9,MONTH(C519)=10), "Monsoon", "Winter"))</f>
        <v>Monsoon</v>
      </c>
      <c r="Q519" s="1" t="n">
        <f aca="false">WEEKDAY(C519,2)</f>
        <v>4</v>
      </c>
      <c r="R519" s="0" t="n">
        <f aca="false">ROUNDDOWN(((INT(C519)+MOD(D519,1))-(INT(I519)+MOD(J519,1))),0)</f>
        <v>2</v>
      </c>
      <c r="S519" s="10"/>
    </row>
    <row r="520" customFormat="false" ht="212.2" hidden="false" customHeight="false" outlineLevel="0" collapsed="false">
      <c r="A520" s="8" t="s">
        <v>931</v>
      </c>
      <c r="B520" s="22" t="s">
        <v>932</v>
      </c>
      <c r="C520" s="18" t="n">
        <v>45920.7916666667</v>
      </c>
      <c r="D520" s="19" t="n">
        <v>45920.7916666667</v>
      </c>
      <c r="E520" s="18" t="n">
        <v>45921.75</v>
      </c>
      <c r="F520" s="19" t="n">
        <v>45921.75</v>
      </c>
      <c r="G520" s="20" t="n">
        <v>1000</v>
      </c>
      <c r="H520" s="8" t="n">
        <v>10</v>
      </c>
      <c r="I520" s="10" t="n">
        <v>45898</v>
      </c>
      <c r="J520" s="11" t="n">
        <v>0.870439814811111</v>
      </c>
      <c r="K520" s="1" t="str">
        <f aca="false">IF(L520&gt;24,     IF(H520=2,"Couple Extended Day","Extended Day"), IF(L520&lt;=12,     IF(AND(MOD(D520,1)&gt;=TIME(6,0,0),MOD(D520,1)&lt;TIME(18,0,0)),         IF(H520=2,"Couple Half Day","12H Day"),         IF(H520=2,"Couple Half Night","12H Night")), IF(L520&lt;=24,     IF(AND(MOD(D520,1)&gt;=TIME(6,0,0),MOD(D520,1)&lt;TIME(18,0,0)),         IF(H520=2,"Couple Full Day","24H Day"),         IF(H520=2,"Couple Full Night","24H Night")), "Check Data")))</f>
        <v>24H Night</v>
      </c>
      <c r="L520" s="12" t="n">
        <f aca="false">((INT(E520)+MOD(F520,1))-(INT(C520)+MOD(D520,1)))*24</f>
        <v>22.9999999990105</v>
      </c>
      <c r="M520" s="1" t="n">
        <f aca="false">IFERROR(INDEX(Sheet3!$B$2:$B$500,MATCH(1,(INT(C520)+MOD(D520,1)&lt;INT(Sheet3!$A$2:$A$500)+TIME(18,0,0))*(INT(E520)+MOD(F520,1)&gt;=INT(Sheet3!$A$2:$A$500)),0)),0)</f>
        <v>0</v>
      </c>
      <c r="N520" s="1" t="n">
        <f aca="false">IF(OR( AND(Q520=6,D520&gt;=TIME(17,0,0),OR(K520="12H Night",K520="Couple Half Night",K520="24H Night",K520="Couple Full Night")), AND(Q520=7,D520&gt;=TIME(6,0,0),D520&lt;TIME(12,0,0),OR(K520="12H Day",K520="Couple Half Day",K520="24H Day",K520="Couple Full Day")) ),1,0)</f>
        <v>1</v>
      </c>
      <c r="O520" s="1" t="n">
        <f aca="false">IF(OR( AND(MONTH(C520)=12,DAY(C520)&gt;=26), AND(MONTH(C520)=4,DAY(C520)&gt;=15), MONTH(C520)=5, AND(MONTH(C520)=6,DAY(C520)&lt;=10) ),1,0)</f>
        <v>0</v>
      </c>
      <c r="P520" s="1" t="str">
        <f aca="false">IF(OR(MONTH(C520)=3,MONTH(C520)=4,MONTH(C520)=5,MONTH(C520)=6), "Summer", IF(OR(MONTH(C520)=7,MONTH(C520)=8,MONTH(C520)=9,MONTH(C520)=10), "Monsoon", "Winter"))</f>
        <v>Monsoon</v>
      </c>
      <c r="Q520" s="1" t="n">
        <f aca="false">WEEKDAY(C520,2)</f>
        <v>6</v>
      </c>
      <c r="R520" s="0" t="n">
        <f aca="false">ROUNDDOWN(((INT(C520)+MOD(D520,1))-(INT(I520)+MOD(J520,1))),0)</f>
        <v>21</v>
      </c>
      <c r="S520" s="10"/>
    </row>
    <row r="521" customFormat="false" ht="146.45" hidden="false" customHeight="false" outlineLevel="0" collapsed="false">
      <c r="A521" s="8" t="s">
        <v>933</v>
      </c>
      <c r="B521" s="22" t="s">
        <v>934</v>
      </c>
      <c r="C521" s="18" t="n">
        <v>45920.8333333333</v>
      </c>
      <c r="D521" s="19" t="n">
        <v>0</v>
      </c>
      <c r="E521" s="18" t="n">
        <v>45921.3333333333</v>
      </c>
      <c r="F521" s="19" t="n">
        <v>0</v>
      </c>
      <c r="G521" s="20" t="n">
        <v>3000</v>
      </c>
      <c r="H521" s="8" t="n">
        <v>7</v>
      </c>
      <c r="I521" s="10" t="n">
        <v>45919</v>
      </c>
      <c r="J521" s="11" t="n">
        <v>0.937997685185116</v>
      </c>
      <c r="K521" s="1" t="str">
        <f aca="false">IF(L521&gt;24,     IF(H521=2,"Couple Extended Day","Extended Day"), IF(L521&lt;=12,     IF(AND(MOD(D521,1)&gt;=TIME(6,0,0),MOD(D521,1)&lt;TIME(18,0,0)),         IF(H521=2,"Couple Half Day","12H Day"),         IF(H521=2,"Couple Half Night","12H Night")), IF(L521&lt;=24,     IF(AND(MOD(D521,1)&gt;=TIME(6,0,0),MOD(D521,1)&lt;TIME(18,0,0)),         IF(H521=2,"Couple Full Day","24H Day"),         IF(H521=2,"Couple Full Night","24H Night")), "Check Data")))</f>
        <v>24H Night</v>
      </c>
      <c r="L521" s="12" t="n">
        <f aca="false">((INT(E521)+MOD(F521,1))-(INT(C521)+MOD(D521,1)))*24</f>
        <v>24</v>
      </c>
      <c r="M521" s="1" t="n">
        <f aca="false">IFERROR(INDEX(Sheet3!$B$2:$B$500,MATCH(1,(INT(C521)+MOD(D521,1)&lt;INT(Sheet3!$A$2:$A$500)+TIME(18,0,0))*(INT(E521)+MOD(F521,1)&gt;=INT(Sheet3!$A$2:$A$500)),0)),0)</f>
        <v>0</v>
      </c>
      <c r="N521" s="1" t="n">
        <f aca="false">IF(OR( AND(Q521=6,D521&gt;=TIME(17,0,0),OR(K521="12H Night",K521="Couple Half Night",K521="24H Night",K521="Couple Full Night")), AND(Q521=7,D521&gt;=TIME(6,0,0),D521&lt;TIME(12,0,0),OR(K521="12H Day",K521="Couple Half Day",K521="24H Day",K521="Couple Full Day")) ),1,0)</f>
        <v>0</v>
      </c>
      <c r="O521" s="1" t="n">
        <f aca="false">IF(OR( AND(MONTH(C521)=12,DAY(C521)&gt;=26), AND(MONTH(C521)=4,DAY(C521)&gt;=15), MONTH(C521)=5, AND(MONTH(C521)=6,DAY(C521)&lt;=10) ),1,0)</f>
        <v>0</v>
      </c>
      <c r="P521" s="1" t="str">
        <f aca="false">IF(OR(MONTH(C521)=3,MONTH(C521)=4,MONTH(C521)=5,MONTH(C521)=6), "Summer", IF(OR(MONTH(C521)=7,MONTH(C521)=8,MONTH(C521)=9,MONTH(C521)=10), "Monsoon", "Winter"))</f>
        <v>Monsoon</v>
      </c>
      <c r="Q521" s="1" t="n">
        <f aca="false">WEEKDAY(C521,2)</f>
        <v>6</v>
      </c>
      <c r="R521" s="0" t="n">
        <f aca="false">ROUNDDOWN(((INT(C521)+MOD(D521,1))-(INT(I521)+MOD(J521,1))),0)</f>
        <v>0</v>
      </c>
      <c r="S521" s="10"/>
    </row>
    <row r="522" customFormat="false" ht="185.9" hidden="false" customHeight="false" outlineLevel="0" collapsed="false">
      <c r="A522" s="8" t="s">
        <v>935</v>
      </c>
      <c r="B522" s="22" t="s">
        <v>936</v>
      </c>
      <c r="C522" s="18" t="n">
        <v>45925.375</v>
      </c>
      <c r="D522" s="19" t="n">
        <v>45925.375</v>
      </c>
      <c r="E522" s="18" t="n">
        <v>45925.75</v>
      </c>
      <c r="F522" s="19" t="n">
        <v>45925.75</v>
      </c>
      <c r="G522" s="20" t="n">
        <v>1500</v>
      </c>
      <c r="H522" s="8" t="n">
        <v>2</v>
      </c>
      <c r="I522" s="10" t="n">
        <v>45911</v>
      </c>
      <c r="J522" s="11" t="n">
        <v>0.639143518521447</v>
      </c>
      <c r="K522" s="1" t="str">
        <f aca="false">IF(L522&gt;24,     IF(H522=2,"Couple Extended Day","Extended Day"), IF(L522&lt;=12,     IF(AND(MOD(D522,1)&gt;=TIME(6,0,0),MOD(D522,1)&lt;TIME(18,0,0)),         IF(H522=2,"Couple Half Day","12H Day"),         IF(H522=2,"Couple Half Night","12H Night")), IF(L522&lt;=24,     IF(AND(MOD(D522,1)&gt;=TIME(6,0,0),MOD(D522,1)&lt;TIME(18,0,0)),         IF(H522=2,"Couple Full Day","24H Day"),         IF(H522=2,"Couple Full Night","24H Night")), "Check Data")))</f>
        <v>Couple Half Day</v>
      </c>
      <c r="L522" s="12" t="n">
        <f aca="false">((INT(E522)+MOD(F522,1))-(INT(C522)+MOD(D522,1)))*24</f>
        <v>9</v>
      </c>
      <c r="M522" s="1" t="n">
        <f aca="false">IFERROR(INDEX(Sheet3!$B$2:$B$500,MATCH(1,(INT(C522)+MOD(D522,1)&lt;INT(Sheet3!$A$2:$A$500)+TIME(18,0,0))*(INT(E522)+MOD(F522,1)&gt;=INT(Sheet3!$A$2:$A$500)),0)),0)</f>
        <v>0</v>
      </c>
      <c r="N522" s="1" t="n">
        <f aca="false">IF(OR( AND(Q522=6,D522&gt;=TIME(17,0,0),OR(K522="12H Night",K522="Couple Half Night",K522="24H Night",K522="Couple Full Night")), AND(Q522=7,D522&gt;=TIME(6,0,0),D522&lt;TIME(12,0,0),OR(K522="12H Day",K522="Couple Half Day",K522="24H Day",K522="Couple Full Day")) ),1,0)</f>
        <v>0</v>
      </c>
      <c r="O522" s="1" t="n">
        <f aca="false">IF(OR( AND(MONTH(C522)=12,DAY(C522)&gt;=26), AND(MONTH(C522)=4,DAY(C522)&gt;=15), MONTH(C522)=5, AND(MONTH(C522)=6,DAY(C522)&lt;=10) ),1,0)</f>
        <v>0</v>
      </c>
      <c r="P522" s="1" t="str">
        <f aca="false">IF(OR(MONTH(C522)=3,MONTH(C522)=4,MONTH(C522)=5,MONTH(C522)=6), "Summer", IF(OR(MONTH(C522)=7,MONTH(C522)=8,MONTH(C522)=9,MONTH(C522)=10), "Monsoon", "Winter"))</f>
        <v>Monsoon</v>
      </c>
      <c r="Q522" s="1" t="n">
        <f aca="false">WEEKDAY(C522,2)</f>
        <v>4</v>
      </c>
      <c r="R522" s="0" t="n">
        <f aca="false">ROUNDDOWN(((INT(C522)+MOD(D522,1))-(INT(I522)+MOD(J522,1))),0)</f>
        <v>13</v>
      </c>
      <c r="S522" s="10"/>
    </row>
    <row r="523" customFormat="false" ht="133.3" hidden="false" customHeight="false" outlineLevel="0" collapsed="false">
      <c r="A523" s="8" t="s">
        <v>937</v>
      </c>
      <c r="B523" s="22" t="s">
        <v>938</v>
      </c>
      <c r="C523" s="18" t="n">
        <v>45926.625</v>
      </c>
      <c r="D523" s="19" t="n">
        <v>45926.625</v>
      </c>
      <c r="E523" s="18" t="n">
        <v>45926.75</v>
      </c>
      <c r="F523" s="19" t="n">
        <v>45926.75</v>
      </c>
      <c r="G523" s="20" t="n">
        <v>1500</v>
      </c>
      <c r="H523" s="8" t="n">
        <v>2</v>
      </c>
      <c r="I523" s="10" t="n">
        <v>45926</v>
      </c>
      <c r="J523" s="11" t="n">
        <v>0.612662037034167</v>
      </c>
      <c r="K523" s="1" t="str">
        <f aca="false">IF(L523&gt;24,     IF(H523=2,"Couple Extended Day","Extended Day"), IF(L523&lt;=12,     IF(AND(MOD(D523,1)&gt;=TIME(6,0,0),MOD(D523,1)&lt;TIME(18,0,0)),         IF(H523=2,"Couple Half Day","12H Day"),         IF(H523=2,"Couple Half Night","12H Night")), IF(L523&lt;=24,     IF(AND(MOD(D523,1)&gt;=TIME(6,0,0),MOD(D523,1)&lt;TIME(18,0,0)),         IF(H523=2,"Couple Full Day","24H Day"),         IF(H523=2,"Couple Full Night","24H Night")), "Check Data")))</f>
        <v>Couple Half Day</v>
      </c>
      <c r="L523" s="12" t="n">
        <f aca="false">((INT(E523)+MOD(F523,1))-(INT(C523)+MOD(D523,1)))*24</f>
        <v>3</v>
      </c>
      <c r="M523" s="1" t="n">
        <f aca="false">IFERROR(INDEX(Sheet3!$B$2:$B$500,MATCH(1,(INT(C523)+MOD(D523,1)&lt;INT(Sheet3!$A$2:$A$500)+TIME(18,0,0))*(INT(E523)+MOD(F523,1)&gt;=INT(Sheet3!$A$2:$A$500)),0)),0)</f>
        <v>0</v>
      </c>
      <c r="N523" s="1" t="n">
        <f aca="false">IF(OR( AND(Q523=6,D523&gt;=TIME(17,0,0),OR(K523="12H Night",K523="Couple Half Night",K523="24H Night",K523="Couple Full Night")), AND(Q523=7,D523&gt;=TIME(6,0,0),D523&lt;TIME(12,0,0),OR(K523="12H Day",K523="Couple Half Day",K523="24H Day",K523="Couple Full Day")) ),1,0)</f>
        <v>0</v>
      </c>
      <c r="O523" s="1" t="n">
        <f aca="false">IF(OR( AND(MONTH(C523)=12,DAY(C523)&gt;=26), AND(MONTH(C523)=4,DAY(C523)&gt;=15), MONTH(C523)=5, AND(MONTH(C523)=6,DAY(C523)&lt;=10) ),1,0)</f>
        <v>0</v>
      </c>
      <c r="P523" s="1" t="str">
        <f aca="false">IF(OR(MONTH(C523)=3,MONTH(C523)=4,MONTH(C523)=5,MONTH(C523)=6), "Summer", IF(OR(MONTH(C523)=7,MONTH(C523)=8,MONTH(C523)=9,MONTH(C523)=10), "Monsoon", "Winter"))</f>
        <v>Monsoon</v>
      </c>
      <c r="Q523" s="1" t="n">
        <f aca="false">WEEKDAY(C523,2)</f>
        <v>5</v>
      </c>
      <c r="R523" s="0" t="n">
        <f aca="false">ROUNDDOWN(((INT(C523)+MOD(D523,1))-(INT(I523)+MOD(J523,1))),0)</f>
        <v>0</v>
      </c>
      <c r="S523" s="10"/>
    </row>
    <row r="524" customFormat="false" ht="107" hidden="false" customHeight="false" outlineLevel="0" collapsed="false">
      <c r="A524" s="8" t="s">
        <v>939</v>
      </c>
      <c r="B524" s="22" t="s">
        <v>940</v>
      </c>
      <c r="C524" s="18" t="n">
        <v>45926.875</v>
      </c>
      <c r="D524" s="19" t="n">
        <v>45926.875</v>
      </c>
      <c r="E524" s="18" t="n">
        <v>45927.375</v>
      </c>
      <c r="F524" s="19" t="n">
        <v>45927.375</v>
      </c>
      <c r="G524" s="20" t="n">
        <v>2800</v>
      </c>
      <c r="H524" s="8" t="n">
        <v>4</v>
      </c>
      <c r="I524" s="10" t="n">
        <v>45926</v>
      </c>
      <c r="J524" s="11" t="n">
        <v>0.00975694444787037</v>
      </c>
      <c r="K524" s="1" t="str">
        <f aca="false">IF(L524&gt;24,     IF(H524=2,"Couple Extended Day","Extended Day"), IF(L524&lt;=12,     IF(AND(MOD(D524,1)&gt;=TIME(6,0,0),MOD(D524,1)&lt;TIME(18,0,0)),         IF(H524=2,"Couple Half Day","12H Day"),         IF(H524=2,"Couple Half Night","12H Night")), IF(L524&lt;=24,     IF(AND(MOD(D524,1)&gt;=TIME(6,0,0),MOD(D524,1)&lt;TIME(18,0,0)),         IF(H524=2,"Couple Full Day","24H Day"),         IF(H524=2,"Couple Full Night","24H Night")), "Check Data")))</f>
        <v>12H Night</v>
      </c>
      <c r="L524" s="12" t="n">
        <f aca="false">((INT(E524)+MOD(F524,1))-(INT(C524)+MOD(D524,1)))*24</f>
        <v>12</v>
      </c>
      <c r="M524" s="1" t="n">
        <f aca="false">IFERROR(INDEX(Sheet3!$B$2:$B$500,MATCH(1,(INT(C524)+MOD(D524,1)&lt;INT(Sheet3!$A$2:$A$500)+TIME(18,0,0))*(INT(E524)+MOD(F524,1)&gt;=INT(Sheet3!$A$2:$A$500)),0)),0)</f>
        <v>0</v>
      </c>
      <c r="N524" s="1" t="n">
        <f aca="false">IF(OR( AND(Q524=6,D524&gt;=TIME(17,0,0),OR(K524="12H Night",K524="Couple Half Night",K524="24H Night",K524="Couple Full Night")), AND(Q524=7,D524&gt;=TIME(6,0,0),D524&lt;TIME(12,0,0),OR(K524="12H Day",K524="Couple Half Day",K524="24H Day",K524="Couple Full Day")) ),1,0)</f>
        <v>0</v>
      </c>
      <c r="O524" s="1" t="n">
        <f aca="false">IF(OR( AND(MONTH(C524)=12,DAY(C524)&gt;=26), AND(MONTH(C524)=4,DAY(C524)&gt;=15), MONTH(C524)=5, AND(MONTH(C524)=6,DAY(C524)&lt;=10) ),1,0)</f>
        <v>0</v>
      </c>
      <c r="P524" s="1" t="str">
        <f aca="false">IF(OR(MONTH(C524)=3,MONTH(C524)=4,MONTH(C524)=5,MONTH(C524)=6), "Summer", IF(OR(MONTH(C524)=7,MONTH(C524)=8,MONTH(C524)=9,MONTH(C524)=10), "Monsoon", "Winter"))</f>
        <v>Monsoon</v>
      </c>
      <c r="Q524" s="1" t="n">
        <f aca="false">WEEKDAY(C524,2)</f>
        <v>5</v>
      </c>
      <c r="R524" s="0" t="n">
        <f aca="false">ROUNDDOWN(((INT(C524)+MOD(D524,1))-(INT(I524)+MOD(J524,1))),0)</f>
        <v>0</v>
      </c>
      <c r="S524" s="10"/>
    </row>
    <row r="525" customFormat="false" ht="146.45" hidden="false" customHeight="false" outlineLevel="0" collapsed="false">
      <c r="A525" s="8" t="s">
        <v>941</v>
      </c>
      <c r="B525" s="22" t="s">
        <v>942</v>
      </c>
      <c r="C525" s="18" t="n">
        <v>45932.375</v>
      </c>
      <c r="D525" s="19" t="n">
        <v>45932.375</v>
      </c>
      <c r="E525" s="18" t="n">
        <v>45932.75</v>
      </c>
      <c r="F525" s="19" t="n">
        <v>45932.75</v>
      </c>
      <c r="G525" s="20" t="n">
        <v>2500</v>
      </c>
      <c r="H525" s="8" t="n">
        <v>12</v>
      </c>
      <c r="I525" s="10" t="n">
        <v>45932</v>
      </c>
      <c r="J525" s="11" t="n">
        <v>0.0242592592549074</v>
      </c>
      <c r="K525" s="1" t="str">
        <f aca="false">IF(L525&gt;24,     IF(H525=2,"Couple Extended Day","Extended Day"), IF(L525&lt;=12,     IF(AND(MOD(D525,1)&gt;=TIME(6,0,0),MOD(D525,1)&lt;TIME(18,0,0)),         IF(H525=2,"Couple Half Day","12H Day"),         IF(H525=2,"Couple Half Night","12H Night")), IF(L525&lt;=24,     IF(AND(MOD(D525,1)&gt;=TIME(6,0,0),MOD(D525,1)&lt;TIME(18,0,0)),         IF(H525=2,"Couple Full Day","24H Day"),         IF(H525=2,"Couple Full Night","24H Night")), "Check Data")))</f>
        <v>12H Day</v>
      </c>
      <c r="L525" s="12" t="n">
        <f aca="false">((INT(E525)+MOD(F525,1))-(INT(C525)+MOD(D525,1)))*24</f>
        <v>9</v>
      </c>
      <c r="M525" s="1" t="n">
        <f aca="false">IFERROR(INDEX(Sheet3!$B$2:$B$500,MATCH(1,(INT(C525)+MOD(D525,1)&lt;INT(Sheet3!$A$2:$A$500)+TIME(18,0,0))*(INT(E525)+MOD(F525,1)&gt;=INT(Sheet3!$A$2:$A$500)),0)),0)</f>
        <v>0</v>
      </c>
      <c r="N525" s="1" t="n">
        <f aca="false">IF(OR( AND(Q525=6,D525&gt;=TIME(17,0,0),OR(K525="12H Night",K525="Couple Half Night",K525="24H Night",K525="Couple Full Night")), AND(Q525=7,D525&gt;=TIME(6,0,0),D525&lt;TIME(12,0,0),OR(K525="12H Day",K525="Couple Half Day",K525="24H Day",K525="Couple Full Day")) ),1,0)</f>
        <v>0</v>
      </c>
      <c r="O525" s="1" t="n">
        <f aca="false">IF(OR( AND(MONTH(C525)=12,DAY(C525)&gt;=26), AND(MONTH(C525)=4,DAY(C525)&gt;=15), MONTH(C525)=5, AND(MONTH(C525)=6,DAY(C525)&lt;=10) ),1,0)</f>
        <v>0</v>
      </c>
      <c r="P525" s="1" t="str">
        <f aca="false">IF(OR(MONTH(C525)=3,MONTH(C525)=4,MONTH(C525)=5,MONTH(C525)=6), "Summer", IF(OR(MONTH(C525)=7,MONTH(C525)=8,MONTH(C525)=9,MONTH(C525)=10), "Monsoon", "Winter"))</f>
        <v>Monsoon</v>
      </c>
      <c r="Q525" s="1" t="n">
        <f aca="false">WEEKDAY(C525,2)</f>
        <v>4</v>
      </c>
      <c r="R525" s="0" t="n">
        <f aca="false">ROUNDDOWN(((INT(C525)+MOD(D525,1))-(INT(I525)+MOD(J525,1))),0)</f>
        <v>0</v>
      </c>
      <c r="S525" s="10"/>
    </row>
    <row r="526" customFormat="false" ht="133.3" hidden="false" customHeight="false" outlineLevel="0" collapsed="false">
      <c r="A526" s="8" t="s">
        <v>943</v>
      </c>
      <c r="B526" s="22" t="s">
        <v>944</v>
      </c>
      <c r="C526" s="18" t="n">
        <v>45933.375</v>
      </c>
      <c r="D526" s="19" t="n">
        <v>45933.375</v>
      </c>
      <c r="E526" s="18" t="n">
        <v>45933.75</v>
      </c>
      <c r="F526" s="19" t="n">
        <v>45933.75</v>
      </c>
      <c r="G526" s="20" t="n">
        <v>2800</v>
      </c>
      <c r="H526" s="8" t="n">
        <v>7</v>
      </c>
      <c r="I526" s="10" t="n">
        <v>45932</v>
      </c>
      <c r="J526" s="11" t="n">
        <v>0.875914351854595</v>
      </c>
      <c r="K526" s="1" t="str">
        <f aca="false">IF(L526&gt;24,     IF(H526=2,"Couple Extended Day","Extended Day"), IF(L526&lt;=12,     IF(AND(MOD(D526,1)&gt;=TIME(6,0,0),MOD(D526,1)&lt;TIME(18,0,0)),         IF(H526=2,"Couple Half Day","12H Day"),         IF(H526=2,"Couple Half Night","12H Night")), IF(L526&lt;=24,     IF(AND(MOD(D526,1)&gt;=TIME(6,0,0),MOD(D526,1)&lt;TIME(18,0,0)),         IF(H526=2,"Couple Full Day","24H Day"),         IF(H526=2,"Couple Full Night","24H Night")), "Check Data")))</f>
        <v>12H Day</v>
      </c>
      <c r="L526" s="12" t="n">
        <f aca="false">((INT(E526)+MOD(F526,1))-(INT(C526)+MOD(D526,1)))*24</f>
        <v>9</v>
      </c>
      <c r="M526" s="1" t="n">
        <f aca="false">IFERROR(INDEX(Sheet3!$B$2:$B$500,MATCH(1,(INT(C526)+MOD(D526,1)&lt;INT(Sheet3!$A$2:$A$500)+TIME(18,0,0))*(INT(E526)+MOD(F526,1)&gt;=INT(Sheet3!$A$2:$A$500)),0)),0)</f>
        <v>0</v>
      </c>
      <c r="N526" s="1" t="n">
        <f aca="false">IF(OR( AND(Q526=6,D526&gt;=TIME(17,0,0),OR(K526="12H Night",K526="Couple Half Night",K526="24H Night",K526="Couple Full Night")), AND(Q526=7,D526&gt;=TIME(6,0,0),D526&lt;TIME(12,0,0),OR(K526="12H Day",K526="Couple Half Day",K526="24H Day",K526="Couple Full Day")) ),1,0)</f>
        <v>0</v>
      </c>
      <c r="O526" s="1" t="n">
        <f aca="false">IF(OR( AND(MONTH(C526)=12,DAY(C526)&gt;=26), AND(MONTH(C526)=4,DAY(C526)&gt;=15), MONTH(C526)=5, AND(MONTH(C526)=6,DAY(C526)&lt;=10) ),1,0)</f>
        <v>0</v>
      </c>
      <c r="P526" s="1" t="str">
        <f aca="false">IF(OR(MONTH(C526)=3,MONTH(C526)=4,MONTH(C526)=5,MONTH(C526)=6), "Summer", IF(OR(MONTH(C526)=7,MONTH(C526)=8,MONTH(C526)=9,MONTH(C526)=10), "Monsoon", "Winter"))</f>
        <v>Monsoon</v>
      </c>
      <c r="Q526" s="1" t="n">
        <f aca="false">WEEKDAY(C526,2)</f>
        <v>5</v>
      </c>
      <c r="R526" s="0" t="n">
        <f aca="false">ROUNDDOWN(((INT(C526)+MOD(D526,1))-(INT(I526)+MOD(J526,1))),0)</f>
        <v>0</v>
      </c>
      <c r="S526" s="10"/>
    </row>
    <row r="527" customFormat="false" ht="93.85" hidden="false" customHeight="false" outlineLevel="0" collapsed="false">
      <c r="A527" s="8" t="s">
        <v>945</v>
      </c>
      <c r="B527" s="22" t="s">
        <v>946</v>
      </c>
      <c r="C527" s="18" t="n">
        <v>45934.4166666667</v>
      </c>
      <c r="D527" s="19" t="n">
        <v>45934.4166666667</v>
      </c>
      <c r="E527" s="18" t="n">
        <v>45934.75</v>
      </c>
      <c r="F527" s="19" t="n">
        <v>45934.75</v>
      </c>
      <c r="G527" s="20" t="n">
        <v>2500</v>
      </c>
      <c r="H527" s="8" t="n">
        <v>4</v>
      </c>
      <c r="I527" s="10" t="n">
        <v>45933</v>
      </c>
      <c r="J527" s="11" t="n">
        <v>0.812233796299549</v>
      </c>
      <c r="K527" s="1" t="str">
        <f aca="false">IF(L527&gt;24,     IF(H527=2,"Couple Extended Day","Extended Day"), IF(L527&lt;=12,     IF(AND(MOD(D527,1)&gt;=TIME(6,0,0),MOD(D527,1)&lt;TIME(18,0,0)),         IF(H527=2,"Couple Half Day","12H Day"),         IF(H527=2,"Couple Half Night","12H Night")), IF(L527&lt;=24,     IF(AND(MOD(D527,1)&gt;=TIME(6,0,0),MOD(D527,1)&lt;TIME(18,0,0)),         IF(H527=2,"Couple Full Day","24H Day"),         IF(H527=2,"Couple Full Night","24H Night")), "Check Data")))</f>
        <v>12H Day</v>
      </c>
      <c r="L527" s="12" t="n">
        <f aca="false">((INT(E527)+MOD(F527,1))-(INT(C527)+MOD(D527,1)))*24</f>
        <v>7.99999999901047</v>
      </c>
      <c r="M527" s="1" t="n">
        <f aca="false">IFERROR(INDEX(Sheet3!$B$2:$B$500,MATCH(1,(INT(C527)+MOD(D527,1)&lt;INT(Sheet3!$A$2:$A$500)+TIME(18,0,0))*(INT(E527)+MOD(F527,1)&gt;=INT(Sheet3!$A$2:$A$500)),0)),0)</f>
        <v>0</v>
      </c>
      <c r="N527" s="1" t="n">
        <f aca="false">IF(OR( AND(Q527=6,D527&gt;=TIME(17,0,0),OR(K527="12H Night",K527="Couple Half Night",K527="24H Night",K527="Couple Full Night")), AND(Q527=7,D527&gt;=TIME(6,0,0),D527&lt;TIME(12,0,0),OR(K527="12H Day",K527="Couple Half Day",K527="24H Day",K527="Couple Full Day")) ),1,0)</f>
        <v>0</v>
      </c>
      <c r="O527" s="1" t="n">
        <f aca="false">IF(OR( AND(MONTH(C527)=12,DAY(C527)&gt;=26), AND(MONTH(C527)=4,DAY(C527)&gt;=15), MONTH(C527)=5, AND(MONTH(C527)=6,DAY(C527)&lt;=10) ),1,0)</f>
        <v>0</v>
      </c>
      <c r="P527" s="1" t="str">
        <f aca="false">IF(OR(MONTH(C527)=3,MONTH(C527)=4,MONTH(C527)=5,MONTH(C527)=6), "Summer", IF(OR(MONTH(C527)=7,MONTH(C527)=8,MONTH(C527)=9,MONTH(C527)=10), "Monsoon", "Winter"))</f>
        <v>Monsoon</v>
      </c>
      <c r="Q527" s="1" t="n">
        <f aca="false">WEEKDAY(C527,2)</f>
        <v>6</v>
      </c>
      <c r="R527" s="0" t="n">
        <f aca="false">ROUNDDOWN(((INT(C527)+MOD(D527,1))-(INT(I527)+MOD(J527,1))),0)</f>
        <v>0</v>
      </c>
      <c r="S527" s="10"/>
    </row>
    <row r="528" customFormat="false" ht="133.3" hidden="false" customHeight="false" outlineLevel="0" collapsed="false">
      <c r="A528" s="8" t="s">
        <v>947</v>
      </c>
      <c r="B528" s="22" t="s">
        <v>948</v>
      </c>
      <c r="C528" s="18" t="n">
        <v>45934.7916666667</v>
      </c>
      <c r="D528" s="19" t="n">
        <v>45934.7916666667</v>
      </c>
      <c r="E528" s="18" t="n">
        <v>45935.3333333333</v>
      </c>
      <c r="F528" s="19" t="n">
        <v>0</v>
      </c>
      <c r="G528" s="20" t="n">
        <v>3000</v>
      </c>
      <c r="H528" s="8" t="n">
        <v>4</v>
      </c>
      <c r="I528" s="10" t="n">
        <v>45934</v>
      </c>
      <c r="J528" s="11" t="n">
        <v>0.628761574072998</v>
      </c>
      <c r="K528" s="1" t="str">
        <f aca="false">IF(L528&gt;24,     IF(H528=2,"Couple Extended Day","Extended Day"), IF(L528&lt;=12,     IF(AND(MOD(D528,1)&gt;=TIME(6,0,0),MOD(D528,1)&lt;TIME(18,0,0)),         IF(H528=2,"Couple Half Day","12H Day"),         IF(H528=2,"Couple Half Night","12H Night")), IF(L528&lt;=24,     IF(AND(MOD(D528,1)&gt;=TIME(6,0,0),MOD(D528,1)&lt;TIME(18,0,0)),         IF(H528=2,"Couple Full Day","24H Day"),         IF(H528=2,"Couple Full Night","24H Night")), "Check Data")))</f>
        <v>12H Night</v>
      </c>
      <c r="L528" s="12" t="n">
        <f aca="false">((INT(E528)+MOD(F528,1))-(INT(C528)+MOD(D528,1)))*24</f>
        <v>4.99999999901047</v>
      </c>
      <c r="M528" s="1" t="n">
        <f aca="false">IFERROR(INDEX(Sheet3!$B$2:$B$500,MATCH(1,(INT(C528)+MOD(D528,1)&lt;INT(Sheet3!$A$2:$A$500)+TIME(18,0,0))*(INT(E528)+MOD(F528,1)&gt;=INT(Sheet3!$A$2:$A$500)),0)),0)</f>
        <v>0</v>
      </c>
      <c r="N528" s="1" t="n">
        <f aca="false">IF(OR( AND(Q528=6,D528&gt;=TIME(17,0,0),OR(K528="12H Night",K528="Couple Half Night",K528="24H Night",K528="Couple Full Night")), AND(Q528=7,D528&gt;=TIME(6,0,0),D528&lt;TIME(12,0,0),OR(K528="12H Day",K528="Couple Half Day",K528="24H Day",K528="Couple Full Day")) ),1,0)</f>
        <v>1</v>
      </c>
      <c r="O528" s="1" t="n">
        <f aca="false">IF(OR( AND(MONTH(C528)=12,DAY(C528)&gt;=26), AND(MONTH(C528)=4,DAY(C528)&gt;=15), MONTH(C528)=5, AND(MONTH(C528)=6,DAY(C528)&lt;=10) ),1,0)</f>
        <v>0</v>
      </c>
      <c r="P528" s="1" t="str">
        <f aca="false">IF(OR(MONTH(C528)=3,MONTH(C528)=4,MONTH(C528)=5,MONTH(C528)=6), "Summer", IF(OR(MONTH(C528)=7,MONTH(C528)=8,MONTH(C528)=9,MONTH(C528)=10), "Monsoon", "Winter"))</f>
        <v>Monsoon</v>
      </c>
      <c r="Q528" s="1" t="n">
        <f aca="false">WEEKDAY(C528,2)</f>
        <v>6</v>
      </c>
      <c r="R528" s="0" t="n">
        <f aca="false">ROUNDDOWN(((INT(C528)+MOD(D528,1))-(INT(I528)+MOD(J528,1))),0)</f>
        <v>0</v>
      </c>
      <c r="S528" s="10"/>
    </row>
    <row r="529" customFormat="false" ht="107" hidden="false" customHeight="false" outlineLevel="0" collapsed="false">
      <c r="A529" s="8" t="s">
        <v>949</v>
      </c>
      <c r="B529" s="22" t="s">
        <v>950</v>
      </c>
      <c r="C529" s="18" t="n">
        <v>45935.8333333333</v>
      </c>
      <c r="D529" s="19" t="n">
        <v>0</v>
      </c>
      <c r="E529" s="18" t="n">
        <v>45936.3333333333</v>
      </c>
      <c r="F529" s="19" t="n">
        <v>0</v>
      </c>
      <c r="G529" s="20" t="n">
        <v>3500</v>
      </c>
      <c r="H529" s="8" t="n">
        <v>8</v>
      </c>
      <c r="I529" s="10" t="n">
        <v>45931</v>
      </c>
      <c r="J529" s="11" t="n">
        <v>0.937187499999711</v>
      </c>
      <c r="K529" s="1" t="str">
        <f aca="false">IF(L529&gt;24,     IF(H529=2,"Couple Extended Day","Extended Day"), IF(L529&lt;=12,     IF(AND(MOD(D529,1)&gt;=TIME(6,0,0),MOD(D529,1)&lt;TIME(18,0,0)),         IF(H529=2,"Couple Half Day","12H Day"),         IF(H529=2,"Couple Half Night","12H Night")), IF(L529&lt;=24,     IF(AND(MOD(D529,1)&gt;=TIME(6,0,0),MOD(D529,1)&lt;TIME(18,0,0)),         IF(H529=2,"Couple Full Day","24H Day"),         IF(H529=2,"Couple Full Night","24H Night")), "Check Data")))</f>
        <v>24H Night</v>
      </c>
      <c r="L529" s="12" t="n">
        <f aca="false">((INT(E529)+MOD(F529,1))-(INT(C529)+MOD(D529,1)))*24</f>
        <v>24</v>
      </c>
      <c r="M529" s="1" t="n">
        <f aca="false">IFERROR(INDEX(Sheet3!$B$2:$B$500,MATCH(1,(INT(C529)+MOD(D529,1)&lt;INT(Sheet3!$A$2:$A$500)+TIME(18,0,0))*(INT(E529)+MOD(F529,1)&gt;=INT(Sheet3!$A$2:$A$500)),0)),0)</f>
        <v>0</v>
      </c>
      <c r="N529" s="1" t="n">
        <f aca="false">IF(OR( AND(Q529=6,D529&gt;=TIME(17,0,0),OR(K529="12H Night",K529="Couple Half Night",K529="24H Night",K529="Couple Full Night")), AND(Q529=7,D529&gt;=TIME(6,0,0),D529&lt;TIME(12,0,0),OR(K529="12H Day",K529="Couple Half Day",K529="24H Day",K529="Couple Full Day")) ),1,0)</f>
        <v>0</v>
      </c>
      <c r="O529" s="1" t="n">
        <f aca="false">IF(OR( AND(MONTH(C529)=12,DAY(C529)&gt;=26), AND(MONTH(C529)=4,DAY(C529)&gt;=15), MONTH(C529)=5, AND(MONTH(C529)=6,DAY(C529)&lt;=10) ),1,0)</f>
        <v>0</v>
      </c>
      <c r="P529" s="1" t="str">
        <f aca="false">IF(OR(MONTH(C529)=3,MONTH(C529)=4,MONTH(C529)=5,MONTH(C529)=6), "Summer", IF(OR(MONTH(C529)=7,MONTH(C529)=8,MONTH(C529)=9,MONTH(C529)=10), "Monsoon", "Winter"))</f>
        <v>Monsoon</v>
      </c>
      <c r="Q529" s="1" t="n">
        <f aca="false">WEEKDAY(C529,2)</f>
        <v>7</v>
      </c>
      <c r="R529" s="0" t="n">
        <f aca="false">ROUNDDOWN(((INT(C529)+MOD(D529,1))-(INT(I529)+MOD(J529,1))),0)</f>
        <v>3</v>
      </c>
      <c r="S529" s="10"/>
    </row>
    <row r="530" customFormat="false" ht="212.2" hidden="false" customHeight="false" outlineLevel="0" collapsed="false">
      <c r="A530" s="8" t="s">
        <v>951</v>
      </c>
      <c r="B530" s="22" t="s">
        <v>952</v>
      </c>
      <c r="C530" s="18" t="n">
        <v>45936.375</v>
      </c>
      <c r="D530" s="19" t="n">
        <v>45936.375</v>
      </c>
      <c r="E530" s="18" t="n">
        <v>45936.75</v>
      </c>
      <c r="F530" s="19" t="n">
        <v>45936.75</v>
      </c>
      <c r="G530" s="20" t="n">
        <v>1500</v>
      </c>
      <c r="H530" s="8" t="n">
        <v>2</v>
      </c>
      <c r="I530" s="10" t="n">
        <v>45935</v>
      </c>
      <c r="J530" s="11" t="n">
        <v>0.87311342592875</v>
      </c>
      <c r="K530" s="1" t="str">
        <f aca="false">IF(L530&gt;24,     IF(H530=2,"Couple Extended Day","Extended Day"), IF(L530&lt;=12,     IF(AND(MOD(D530,1)&gt;=TIME(6,0,0),MOD(D530,1)&lt;TIME(18,0,0)),         IF(H530=2,"Couple Half Day","12H Day"),         IF(H530=2,"Couple Half Night","12H Night")), IF(L530&lt;=24,     IF(AND(MOD(D530,1)&gt;=TIME(6,0,0),MOD(D530,1)&lt;TIME(18,0,0)),         IF(H530=2,"Couple Full Day","24H Day"),         IF(H530=2,"Couple Full Night","24H Night")), "Check Data")))</f>
        <v>Couple Half Day</v>
      </c>
      <c r="L530" s="12" t="n">
        <f aca="false">((INT(E530)+MOD(F530,1))-(INT(C530)+MOD(D530,1)))*24</f>
        <v>9</v>
      </c>
      <c r="M530" s="1" t="n">
        <f aca="false">IFERROR(INDEX(Sheet3!$B$2:$B$500,MATCH(1,(INT(C530)+MOD(D530,1)&lt;INT(Sheet3!$A$2:$A$500)+TIME(18,0,0))*(INT(E530)+MOD(F530,1)&gt;=INT(Sheet3!$A$2:$A$500)),0)),0)</f>
        <v>0</v>
      </c>
      <c r="N530" s="1" t="n">
        <f aca="false">IF(OR( AND(Q530=6,D530&gt;=TIME(17,0,0),OR(K530="12H Night",K530="Couple Half Night",K530="24H Night",K530="Couple Full Night")), AND(Q530=7,D530&gt;=TIME(6,0,0),D530&lt;TIME(12,0,0),OR(K530="12H Day",K530="Couple Half Day",K530="24H Day",K530="Couple Full Day")) ),1,0)</f>
        <v>0</v>
      </c>
      <c r="O530" s="1" t="n">
        <f aca="false">IF(OR( AND(MONTH(C530)=12,DAY(C530)&gt;=26), AND(MONTH(C530)=4,DAY(C530)&gt;=15), MONTH(C530)=5, AND(MONTH(C530)=6,DAY(C530)&lt;=10) ),1,0)</f>
        <v>0</v>
      </c>
      <c r="P530" s="1" t="str">
        <f aca="false">IF(OR(MONTH(C530)=3,MONTH(C530)=4,MONTH(C530)=5,MONTH(C530)=6), "Summer", IF(OR(MONTH(C530)=7,MONTH(C530)=8,MONTH(C530)=9,MONTH(C530)=10), "Monsoon", "Winter"))</f>
        <v>Monsoon</v>
      </c>
      <c r="Q530" s="1" t="n">
        <f aca="false">WEEKDAY(C530,2)</f>
        <v>1</v>
      </c>
      <c r="R530" s="0" t="n">
        <f aca="false">ROUNDDOWN(((INT(C530)+MOD(D530,1))-(INT(I530)+MOD(J530,1))),0)</f>
        <v>0</v>
      </c>
      <c r="S530" s="10"/>
    </row>
    <row r="531" customFormat="false" ht="133.3" hidden="false" customHeight="false" outlineLevel="0" collapsed="false">
      <c r="A531" s="8" t="s">
        <v>953</v>
      </c>
      <c r="B531" s="22" t="s">
        <v>954</v>
      </c>
      <c r="C531" s="18" t="n">
        <v>45938.375</v>
      </c>
      <c r="D531" s="19" t="n">
        <v>45938.375</v>
      </c>
      <c r="E531" s="18" t="n">
        <v>45938.75</v>
      </c>
      <c r="F531" s="19" t="n">
        <v>45938.75</v>
      </c>
      <c r="G531" s="20" t="n">
        <v>1500</v>
      </c>
      <c r="H531" s="8" t="n">
        <v>2</v>
      </c>
      <c r="I531" s="10" t="n">
        <v>45937</v>
      </c>
      <c r="J531" s="11" t="n">
        <v>0.72362268518191</v>
      </c>
      <c r="K531" s="1" t="str">
        <f aca="false">IF(L531&gt;24,     IF(H531=2,"Couple Extended Day","Extended Day"), IF(L531&lt;=12,     IF(AND(MOD(D531,1)&gt;=TIME(6,0,0),MOD(D531,1)&lt;TIME(18,0,0)),         IF(H531=2,"Couple Half Day","12H Day"),         IF(H531=2,"Couple Half Night","12H Night")), IF(L531&lt;=24,     IF(AND(MOD(D531,1)&gt;=TIME(6,0,0),MOD(D531,1)&lt;TIME(18,0,0)),         IF(H531=2,"Couple Full Day","24H Day"),         IF(H531=2,"Couple Full Night","24H Night")), "Check Data")))</f>
        <v>Couple Half Day</v>
      </c>
      <c r="L531" s="12" t="n">
        <f aca="false">((INT(E531)+MOD(F531,1))-(INT(C531)+MOD(D531,1)))*24</f>
        <v>9</v>
      </c>
      <c r="M531" s="1" t="n">
        <f aca="false">IFERROR(INDEX(Sheet3!$B$2:$B$500,MATCH(1,(INT(C531)+MOD(D531,1)&lt;INT(Sheet3!$A$2:$A$500)+TIME(18,0,0))*(INT(E531)+MOD(F531,1)&gt;=INT(Sheet3!$A$2:$A$500)),0)),0)</f>
        <v>0</v>
      </c>
      <c r="N531" s="1" t="n">
        <f aca="false">IF(OR( AND(Q531=6,D531&gt;=TIME(17,0,0),OR(K531="12H Night",K531="Couple Half Night",K531="24H Night",K531="Couple Full Night")), AND(Q531=7,D531&gt;=TIME(6,0,0),D531&lt;TIME(12,0,0),OR(K531="12H Day",K531="Couple Half Day",K531="24H Day",K531="Couple Full Day")) ),1,0)</f>
        <v>0</v>
      </c>
      <c r="O531" s="1" t="n">
        <f aca="false">IF(OR( AND(MONTH(C531)=12,DAY(C531)&gt;=26), AND(MONTH(C531)=4,DAY(C531)&gt;=15), MONTH(C531)=5, AND(MONTH(C531)=6,DAY(C531)&lt;=10) ),1,0)</f>
        <v>0</v>
      </c>
      <c r="P531" s="1" t="str">
        <f aca="false">IF(OR(MONTH(C531)=3,MONTH(C531)=4,MONTH(C531)=5,MONTH(C531)=6), "Summer", IF(OR(MONTH(C531)=7,MONTH(C531)=8,MONTH(C531)=9,MONTH(C531)=10), "Monsoon", "Winter"))</f>
        <v>Monsoon</v>
      </c>
      <c r="Q531" s="1" t="n">
        <f aca="false">WEEKDAY(C531,2)</f>
        <v>3</v>
      </c>
      <c r="R531" s="0" t="n">
        <f aca="false">ROUNDDOWN(((INT(C531)+MOD(D531,1))-(INT(I531)+MOD(J531,1))),0)</f>
        <v>0</v>
      </c>
      <c r="S531" s="10"/>
    </row>
    <row r="532" customFormat="false" ht="225.35" hidden="false" customHeight="false" outlineLevel="0" collapsed="false">
      <c r="A532" s="8" t="s">
        <v>955</v>
      </c>
      <c r="B532" s="22" t="s">
        <v>956</v>
      </c>
      <c r="C532" s="18" t="n">
        <v>45940.7916666667</v>
      </c>
      <c r="D532" s="19" t="n">
        <v>45940.7916666667</v>
      </c>
      <c r="E532" s="18" t="n">
        <v>45941.3333333333</v>
      </c>
      <c r="F532" s="19" t="n">
        <v>0</v>
      </c>
      <c r="G532" s="20" t="n">
        <v>2500</v>
      </c>
      <c r="H532" s="8" t="n">
        <v>10</v>
      </c>
      <c r="I532" s="10" t="n">
        <v>45939</v>
      </c>
      <c r="J532" s="11" t="n">
        <v>0.874826388884688</v>
      </c>
      <c r="K532" s="1" t="str">
        <f aca="false">IF(L532&gt;24,     IF(H532=2,"Couple Extended Day","Extended Day"), IF(L532&lt;=12,     IF(AND(MOD(D532,1)&gt;=TIME(6,0,0),MOD(D532,1)&lt;TIME(18,0,0)),         IF(H532=2,"Couple Half Day","12H Day"),         IF(H532=2,"Couple Half Night","12H Night")), IF(L532&lt;=24,     IF(AND(MOD(D532,1)&gt;=TIME(6,0,0),MOD(D532,1)&lt;TIME(18,0,0)),         IF(H532=2,"Couple Full Day","24H Day"),         IF(H532=2,"Couple Full Night","24H Night")), "Check Data")))</f>
        <v>12H Night</v>
      </c>
      <c r="L532" s="12" t="n">
        <f aca="false">((INT(E532)+MOD(F532,1))-(INT(C532)+MOD(D532,1)))*24</f>
        <v>4.99999999901047</v>
      </c>
      <c r="M532" s="1" t="n">
        <f aca="false">IFERROR(INDEX(Sheet3!$B$2:$B$500,MATCH(1,(INT(C532)+MOD(D532,1)&lt;INT(Sheet3!$A$2:$A$500)+TIME(18,0,0))*(INT(E532)+MOD(F532,1)&gt;=INT(Sheet3!$A$2:$A$500)),0)),0)</f>
        <v>0</v>
      </c>
      <c r="N532" s="1" t="n">
        <f aca="false">IF(OR( AND(Q532=6,D532&gt;=TIME(17,0,0),OR(K532="12H Night",K532="Couple Half Night",K532="24H Night",K532="Couple Full Night")), AND(Q532=7,D532&gt;=TIME(6,0,0),D532&lt;TIME(12,0,0),OR(K532="12H Day",K532="Couple Half Day",K532="24H Day",K532="Couple Full Day")) ),1,0)</f>
        <v>0</v>
      </c>
      <c r="O532" s="1" t="n">
        <f aca="false">IF(OR( AND(MONTH(C532)=12,DAY(C532)&gt;=26), AND(MONTH(C532)=4,DAY(C532)&gt;=15), MONTH(C532)=5, AND(MONTH(C532)=6,DAY(C532)&lt;=10) ),1,0)</f>
        <v>0</v>
      </c>
      <c r="P532" s="1" t="str">
        <f aca="false">IF(OR(MONTH(C532)=3,MONTH(C532)=4,MONTH(C532)=5,MONTH(C532)=6), "Summer", IF(OR(MONTH(C532)=7,MONTH(C532)=8,MONTH(C532)=9,MONTH(C532)=10), "Monsoon", "Winter"))</f>
        <v>Monsoon</v>
      </c>
      <c r="Q532" s="1" t="n">
        <f aca="false">WEEKDAY(C532,2)</f>
        <v>5</v>
      </c>
      <c r="R532" s="0" t="n">
        <f aca="false">ROUNDDOWN(((INT(C532)+MOD(D532,1))-(INT(I532)+MOD(J532,1))),0)</f>
        <v>0</v>
      </c>
      <c r="S532" s="10"/>
    </row>
    <row r="533" customFormat="false" ht="212.2" hidden="false" customHeight="false" outlineLevel="0" collapsed="false">
      <c r="A533" s="8" t="s">
        <v>537</v>
      </c>
      <c r="B533" s="22" t="s">
        <v>957</v>
      </c>
      <c r="C533" s="18" t="n">
        <v>45941.375</v>
      </c>
      <c r="D533" s="19" t="n">
        <v>45941.375</v>
      </c>
      <c r="E533" s="18" t="n">
        <v>45941.75</v>
      </c>
      <c r="F533" s="19" t="n">
        <v>45941.75</v>
      </c>
      <c r="G533" s="20" t="n">
        <v>2000</v>
      </c>
      <c r="H533" s="8" t="n">
        <v>2</v>
      </c>
      <c r="I533" s="10" t="n">
        <v>45940</v>
      </c>
      <c r="J533" s="11" t="n">
        <v>0.870821759257523</v>
      </c>
      <c r="K533" s="1" t="str">
        <f aca="false">IF(L533&gt;24,     IF(H533=2,"Couple Extended Day","Extended Day"), IF(L533&lt;=12,     IF(AND(MOD(D533,1)&gt;=TIME(6,0,0),MOD(D533,1)&lt;TIME(18,0,0)),         IF(H533=2,"Couple Half Day","12H Day"),         IF(H533=2,"Couple Half Night","12H Night")), IF(L533&lt;=24,     IF(AND(MOD(D533,1)&gt;=TIME(6,0,0),MOD(D533,1)&lt;TIME(18,0,0)),         IF(H533=2,"Couple Full Day","24H Day"),         IF(H533=2,"Couple Full Night","24H Night")), "Check Data")))</f>
        <v>Couple Half Day</v>
      </c>
      <c r="L533" s="12" t="n">
        <f aca="false">((INT(E533)+MOD(F533,1))-(INT(C533)+MOD(D533,1)))*24</f>
        <v>9</v>
      </c>
      <c r="M533" s="1" t="n">
        <f aca="false">IFERROR(INDEX(Sheet3!$B$2:$B$500,MATCH(1,(INT(C533)+MOD(D533,1)&lt;INT(Sheet3!$A$2:$A$500)+TIME(18,0,0))*(INT(E533)+MOD(F533,1)&gt;=INT(Sheet3!$A$2:$A$500)),0)),0)</f>
        <v>0</v>
      </c>
      <c r="N533" s="1" t="n">
        <f aca="false">IF(OR( AND(Q533=6,D533&gt;=TIME(17,0,0),OR(K533="12H Night",K533="Couple Half Night",K533="24H Night",K533="Couple Full Night")), AND(Q533=7,D533&gt;=TIME(6,0,0),D533&lt;TIME(12,0,0),OR(K533="12H Day",K533="Couple Half Day",K533="24H Day",K533="Couple Full Day")) ),1,0)</f>
        <v>0</v>
      </c>
      <c r="O533" s="1" t="n">
        <f aca="false">IF(OR( AND(MONTH(C533)=12,DAY(C533)&gt;=26), AND(MONTH(C533)=4,DAY(C533)&gt;=15), MONTH(C533)=5, AND(MONTH(C533)=6,DAY(C533)&lt;=10) ),1,0)</f>
        <v>0</v>
      </c>
      <c r="P533" s="1" t="str">
        <f aca="false">IF(OR(MONTH(C533)=3,MONTH(C533)=4,MONTH(C533)=5,MONTH(C533)=6), "Summer", IF(OR(MONTH(C533)=7,MONTH(C533)=8,MONTH(C533)=9,MONTH(C533)=10), "Monsoon", "Winter"))</f>
        <v>Monsoon</v>
      </c>
      <c r="Q533" s="1" t="n">
        <f aca="false">WEEKDAY(C533,2)</f>
        <v>6</v>
      </c>
      <c r="R533" s="0" t="n">
        <f aca="false">ROUNDDOWN(((INT(C533)+MOD(D533,1))-(INT(I533)+MOD(J533,1))),0)</f>
        <v>0</v>
      </c>
      <c r="S533" s="10"/>
    </row>
    <row r="534" customFormat="false" ht="133.3" hidden="false" customHeight="false" outlineLevel="0" collapsed="false">
      <c r="A534" s="8" t="s">
        <v>958</v>
      </c>
      <c r="B534" s="22" t="s">
        <v>959</v>
      </c>
      <c r="C534" s="18" t="n">
        <v>45941.875</v>
      </c>
      <c r="D534" s="19" t="n">
        <v>45941.875</v>
      </c>
      <c r="E534" s="18" t="n">
        <v>45942.3541666667</v>
      </c>
      <c r="F534" s="19" t="n">
        <v>45942.3541666667</v>
      </c>
      <c r="G534" s="20" t="n">
        <v>2200</v>
      </c>
      <c r="H534" s="8" t="n">
        <v>2</v>
      </c>
      <c r="I534" s="10" t="n">
        <v>45941</v>
      </c>
      <c r="J534" s="11" t="n">
        <v>0.822442129632697</v>
      </c>
      <c r="K534" s="1" t="str">
        <f aca="false">IF(L534&gt;24,     IF(H534=2,"Couple Extended Day","Extended Day"), IF(L534&lt;=12,     IF(AND(MOD(D534,1)&gt;=TIME(6,0,0),MOD(D534,1)&lt;TIME(18,0,0)),         IF(H534=2,"Couple Half Day","12H Day"),         IF(H534=2,"Couple Half Night","12H Night")), IF(L534&lt;=24,     IF(AND(MOD(D534,1)&gt;=TIME(6,0,0),MOD(D534,1)&lt;TIME(18,0,0)),         IF(H534=2,"Couple Full Day","24H Day"),         IF(H534=2,"Couple Full Night","24H Night")), "Check Data")))</f>
        <v>Couple Half Night</v>
      </c>
      <c r="L534" s="12" t="n">
        <f aca="false">((INT(E534)+MOD(F534,1))-(INT(C534)+MOD(D534,1)))*24</f>
        <v>11.5000000009895</v>
      </c>
      <c r="M534" s="1" t="n">
        <f aca="false">IFERROR(INDEX(Sheet3!$B$2:$B$500,MATCH(1,(INT(C534)+MOD(D534,1)&lt;INT(Sheet3!$A$2:$A$500)+TIME(18,0,0))*(INT(E534)+MOD(F534,1)&gt;=INT(Sheet3!$A$2:$A$500)),0)),0)</f>
        <v>0</v>
      </c>
      <c r="N534" s="1" t="n">
        <f aca="false">IF(OR( AND(Q534=6,D534&gt;=TIME(17,0,0),OR(K534="12H Night",K534="Couple Half Night",K534="24H Night",K534="Couple Full Night")), AND(Q534=7,D534&gt;=TIME(6,0,0),D534&lt;TIME(12,0,0),OR(K534="12H Day",K534="Couple Half Day",K534="24H Day",K534="Couple Full Day")) ),1,0)</f>
        <v>1</v>
      </c>
      <c r="O534" s="1" t="n">
        <f aca="false">IF(OR( AND(MONTH(C534)=12,DAY(C534)&gt;=26), AND(MONTH(C534)=4,DAY(C534)&gt;=15), MONTH(C534)=5, AND(MONTH(C534)=6,DAY(C534)&lt;=10) ),1,0)</f>
        <v>0</v>
      </c>
      <c r="P534" s="1" t="str">
        <f aca="false">IF(OR(MONTH(C534)=3,MONTH(C534)=4,MONTH(C534)=5,MONTH(C534)=6), "Summer", IF(OR(MONTH(C534)=7,MONTH(C534)=8,MONTH(C534)=9,MONTH(C534)=10), "Monsoon", "Winter"))</f>
        <v>Monsoon</v>
      </c>
      <c r="Q534" s="1" t="n">
        <f aca="false">WEEKDAY(C534,2)</f>
        <v>6</v>
      </c>
      <c r="R534" s="0" t="n">
        <f aca="false">ROUNDDOWN(((INT(C534)+MOD(D534,1))-(INT(I534)+MOD(J534,1))),0)</f>
        <v>0</v>
      </c>
      <c r="S534" s="10"/>
    </row>
    <row r="535" customFormat="false" ht="15.75" hidden="false" customHeight="false" outlineLevel="0" collapsed="false">
      <c r="A535" s="8" t="s">
        <v>243</v>
      </c>
      <c r="B535" s="8" t="s">
        <v>960</v>
      </c>
      <c r="C535" s="18" t="n">
        <v>45942.375</v>
      </c>
      <c r="D535" s="19" t="n">
        <v>45942.375</v>
      </c>
      <c r="E535" s="18" t="n">
        <v>45942.75</v>
      </c>
      <c r="F535" s="19" t="n">
        <v>45942.75</v>
      </c>
      <c r="G535" s="20" t="n">
        <v>2200</v>
      </c>
      <c r="I535" s="10" t="n">
        <v>45942</v>
      </c>
      <c r="J535" s="11" t="n">
        <v>0.407916666663368</v>
      </c>
      <c r="K535" s="1" t="str">
        <f aca="false">IF(L535&gt;24,     IF(H535=2,"Couple Extended Day","Extended Day"), IF(L535&lt;=12,     IF(AND(MOD(D535,1)&gt;=TIME(6,0,0),MOD(D535,1)&lt;TIME(18,0,0)),         IF(H535=2,"Couple Half Day","12H Day"),         IF(H535=2,"Couple Half Night","12H Night")), IF(L535&lt;=24,     IF(AND(MOD(D535,1)&gt;=TIME(6,0,0),MOD(D535,1)&lt;TIME(18,0,0)),         IF(H535=2,"Couple Full Day","24H Day"),         IF(H535=2,"Couple Full Night","24H Night")), "Check Data")))</f>
        <v>12H Day</v>
      </c>
      <c r="L535" s="12" t="n">
        <f aca="false">((INT(E535)+MOD(F535,1))-(INT(C535)+MOD(D535,1)))*24</f>
        <v>9</v>
      </c>
      <c r="M535" s="1" t="n">
        <f aca="false">IFERROR(INDEX(Sheet3!$B$2:$B$500,MATCH(1,(INT(C535)+MOD(D535,1)&lt;INT(Sheet3!$A$2:$A$500)+TIME(18,0,0))*(INT(E535)+MOD(F535,1)&gt;=INT(Sheet3!$A$2:$A$500)),0)),0)</f>
        <v>0</v>
      </c>
      <c r="N535" s="1" t="n">
        <f aca="false">IF(OR( AND(Q535=6,D535&gt;=TIME(17,0,0),OR(K535="12H Night",K535="Couple Half Night",K535="24H Night",K535="Couple Full Night")), AND(Q535=7,D535&gt;=TIME(6,0,0),D535&lt;TIME(12,0,0),OR(K535="12H Day",K535="Couple Half Day",K535="24H Day",K535="Couple Full Day")) ),1,0)</f>
        <v>0</v>
      </c>
      <c r="O535" s="1" t="n">
        <f aca="false">IF(OR( AND(MONTH(C535)=12,DAY(C535)&gt;=26), AND(MONTH(C535)=4,DAY(C535)&gt;=15), MONTH(C535)=5, AND(MONTH(C535)=6,DAY(C535)&lt;=10) ),1,0)</f>
        <v>0</v>
      </c>
      <c r="P535" s="1" t="str">
        <f aca="false">IF(OR(MONTH(C535)=3,MONTH(C535)=4,MONTH(C535)=5,MONTH(C535)=6), "Summer", IF(OR(MONTH(C535)=7,MONTH(C535)=8,MONTH(C535)=9,MONTH(C535)=10), "Monsoon", "Winter"))</f>
        <v>Monsoon</v>
      </c>
      <c r="Q535" s="1" t="n">
        <f aca="false">WEEKDAY(C535,2)</f>
        <v>7</v>
      </c>
      <c r="R535" s="0" t="n">
        <f aca="false">ROUNDDOWN(((INT(C535)+MOD(D535,1))-(INT(I535)+MOD(J535,1))),0)</f>
        <v>-0</v>
      </c>
      <c r="S535" s="10"/>
    </row>
    <row r="536" customFormat="false" ht="212.2" hidden="false" customHeight="false" outlineLevel="0" collapsed="false">
      <c r="A536" s="8" t="s">
        <v>961</v>
      </c>
      <c r="B536" s="22" t="s">
        <v>962</v>
      </c>
      <c r="C536" s="18" t="n">
        <v>45943.375</v>
      </c>
      <c r="D536" s="19" t="n">
        <v>45943.375</v>
      </c>
      <c r="E536" s="18" t="n">
        <v>45943.75</v>
      </c>
      <c r="F536" s="19" t="n">
        <v>45943.75</v>
      </c>
      <c r="G536" s="20" t="n">
        <v>2000</v>
      </c>
      <c r="H536" s="8" t="n">
        <v>2</v>
      </c>
      <c r="I536" s="10" t="n">
        <v>45942</v>
      </c>
      <c r="J536" s="11" t="n">
        <v>0.802777777775197</v>
      </c>
      <c r="K536" s="1" t="str">
        <f aca="false">IF(L536&gt;24,     IF(H536=2,"Couple Extended Day","Extended Day"), IF(L536&lt;=12,     IF(AND(MOD(D536,1)&gt;=TIME(6,0,0),MOD(D536,1)&lt;TIME(18,0,0)),         IF(H536=2,"Couple Half Day","12H Day"),         IF(H536=2,"Couple Half Night","12H Night")), IF(L536&lt;=24,     IF(AND(MOD(D536,1)&gt;=TIME(6,0,0),MOD(D536,1)&lt;TIME(18,0,0)),         IF(H536=2,"Couple Full Day","24H Day"),         IF(H536=2,"Couple Full Night","24H Night")), "Check Data")))</f>
        <v>Couple Half Day</v>
      </c>
      <c r="L536" s="12" t="n">
        <f aca="false">((INT(E536)+MOD(F536,1))-(INT(C536)+MOD(D536,1)))*24</f>
        <v>9</v>
      </c>
      <c r="M536" s="1" t="n">
        <f aca="false">IFERROR(INDEX(Sheet3!$B$2:$B$500,MATCH(1,(INT(C536)+MOD(D536,1)&lt;INT(Sheet3!$A$2:$A$500)+TIME(18,0,0))*(INT(E536)+MOD(F536,1)&gt;=INT(Sheet3!$A$2:$A$500)),0)),0)</f>
        <v>0</v>
      </c>
      <c r="N536" s="1" t="n">
        <f aca="false">IF(OR( AND(Q536=6,D536&gt;=TIME(17,0,0),OR(K536="12H Night",K536="Couple Half Night",K536="24H Night",K536="Couple Full Night")), AND(Q536=7,D536&gt;=TIME(6,0,0),D536&lt;TIME(12,0,0),OR(K536="12H Day",K536="Couple Half Day",K536="24H Day",K536="Couple Full Day")) ),1,0)</f>
        <v>0</v>
      </c>
      <c r="O536" s="1" t="n">
        <f aca="false">IF(OR( AND(MONTH(C536)=12,DAY(C536)&gt;=26), AND(MONTH(C536)=4,DAY(C536)&gt;=15), MONTH(C536)=5, AND(MONTH(C536)=6,DAY(C536)&lt;=10) ),1,0)</f>
        <v>0</v>
      </c>
      <c r="P536" s="1" t="str">
        <f aca="false">IF(OR(MONTH(C536)=3,MONTH(C536)=4,MONTH(C536)=5,MONTH(C536)=6), "Summer", IF(OR(MONTH(C536)=7,MONTH(C536)=8,MONTH(C536)=9,MONTH(C536)=10), "Monsoon", "Winter"))</f>
        <v>Monsoon</v>
      </c>
      <c r="Q536" s="1" t="n">
        <f aca="false">WEEKDAY(C536,2)</f>
        <v>1</v>
      </c>
      <c r="R536" s="0" t="n">
        <f aca="false">ROUNDDOWN(((INT(C536)+MOD(D536,1))-(INT(I536)+MOD(J536,1))),0)</f>
        <v>0</v>
      </c>
      <c r="S536" s="10"/>
    </row>
    <row r="537" customFormat="false" ht="121.1" hidden="false" customHeight="false" outlineLevel="0" collapsed="false">
      <c r="A537" s="8" t="s">
        <v>963</v>
      </c>
      <c r="B537" s="22" t="s">
        <v>964</v>
      </c>
      <c r="C537" s="18" t="n">
        <v>45944.375</v>
      </c>
      <c r="D537" s="19" t="n">
        <v>45944.375</v>
      </c>
      <c r="E537" s="18" t="n">
        <v>45944.75</v>
      </c>
      <c r="F537" s="19" t="n">
        <v>45944.75</v>
      </c>
      <c r="G537" s="20" t="n">
        <v>1500</v>
      </c>
      <c r="H537" s="8" t="n">
        <v>2</v>
      </c>
      <c r="I537" s="10" t="n">
        <v>45943</v>
      </c>
      <c r="J537" s="11" t="n">
        <v>0.965439814812269</v>
      </c>
      <c r="K537" s="1" t="str">
        <f aca="false">IF(L537&gt;24,     IF(H537=2,"Couple Extended Day","Extended Day"), IF(L537&lt;=12,     IF(AND(MOD(D537,1)&gt;=TIME(6,0,0),MOD(D537,1)&lt;TIME(18,0,0)),         IF(H537=2,"Couple Half Day","12H Day"),         IF(H537=2,"Couple Half Night","12H Night")), IF(L537&lt;=24,     IF(AND(MOD(D537,1)&gt;=TIME(6,0,0),MOD(D537,1)&lt;TIME(18,0,0)),         IF(H537=2,"Couple Full Day","24H Day"),         IF(H537=2,"Couple Full Night","24H Night")), "Check Data")))</f>
        <v>Couple Half Day</v>
      </c>
      <c r="L537" s="12" t="n">
        <f aca="false">((INT(E537)+MOD(F537,1))-(INT(C537)+MOD(D537,1)))*24</f>
        <v>9</v>
      </c>
      <c r="M537" s="1" t="n">
        <f aca="false">IFERROR(INDEX(Sheet3!$B$2:$B$500,MATCH(1,(INT(C537)+MOD(D537,1)&lt;INT(Sheet3!$A$2:$A$500)+TIME(18,0,0))*(INT(E537)+MOD(F537,1)&gt;=INT(Sheet3!$A$2:$A$500)),0)),0)</f>
        <v>0</v>
      </c>
      <c r="N537" s="1" t="n">
        <f aca="false">IF(OR( AND(Q537=6,D537&gt;=TIME(17,0,0),OR(K537="12H Night",K537="Couple Half Night",K537="24H Night",K537="Couple Full Night")), AND(Q537=7,D537&gt;=TIME(6,0,0),D537&lt;TIME(12,0,0),OR(K537="12H Day",K537="Couple Half Day",K537="24H Day",K537="Couple Full Day")) ),1,0)</f>
        <v>0</v>
      </c>
      <c r="O537" s="1" t="n">
        <f aca="false">IF(OR( AND(MONTH(C537)=12,DAY(C537)&gt;=26), AND(MONTH(C537)=4,DAY(C537)&gt;=15), MONTH(C537)=5, AND(MONTH(C537)=6,DAY(C537)&lt;=10) ),1,0)</f>
        <v>0</v>
      </c>
      <c r="P537" s="1" t="str">
        <f aca="false">IF(OR(MONTH(C537)=3,MONTH(C537)=4,MONTH(C537)=5,MONTH(C537)=6), "Summer", IF(OR(MONTH(C537)=7,MONTH(C537)=8,MONTH(C537)=9,MONTH(C537)=10), "Monsoon", "Winter"))</f>
        <v>Monsoon</v>
      </c>
      <c r="Q537" s="1" t="n">
        <f aca="false">WEEKDAY(C537,2)</f>
        <v>2</v>
      </c>
      <c r="R537" s="0" t="n">
        <f aca="false">ROUNDDOWN(((INT(C537)+MOD(D537,1))-(INT(I537)+MOD(J537,1))),0)</f>
        <v>0</v>
      </c>
      <c r="S537" s="10"/>
    </row>
    <row r="538" customFormat="false" ht="121.1" hidden="false" customHeight="false" outlineLevel="0" collapsed="false">
      <c r="A538" s="8" t="s">
        <v>830</v>
      </c>
      <c r="B538" s="22" t="s">
        <v>965</v>
      </c>
      <c r="C538" s="18" t="n">
        <v>45945.375</v>
      </c>
      <c r="D538" s="19" t="n">
        <v>45945.375</v>
      </c>
      <c r="E538" s="18" t="n">
        <v>45945.75</v>
      </c>
      <c r="F538" s="19" t="n">
        <v>45945.75</v>
      </c>
      <c r="G538" s="20" t="n">
        <v>2300</v>
      </c>
      <c r="H538" s="8" t="n">
        <v>2</v>
      </c>
      <c r="I538" s="10" t="n">
        <v>45943</v>
      </c>
      <c r="J538" s="11" t="n">
        <v>0.911145833335463</v>
      </c>
      <c r="K538" s="1" t="str">
        <f aca="false">IF(L538&gt;24,     IF(H538=2,"Couple Extended Day","Extended Day"), IF(L538&lt;=12,     IF(AND(MOD(D538,1)&gt;=TIME(6,0,0),MOD(D538,1)&lt;TIME(18,0,0)),         IF(H538=2,"Couple Half Day","12H Day"),         IF(H538=2,"Couple Half Night","12H Night")), IF(L538&lt;=24,     IF(AND(MOD(D538,1)&gt;=TIME(6,0,0),MOD(D538,1)&lt;TIME(18,0,0)),         IF(H538=2,"Couple Full Day","24H Day"),         IF(H538=2,"Couple Full Night","24H Night")), "Check Data")))</f>
        <v>Couple Half Day</v>
      </c>
      <c r="L538" s="12" t="n">
        <f aca="false">((INT(E538)+MOD(F538,1))-(INT(C538)+MOD(D538,1)))*24</f>
        <v>9</v>
      </c>
      <c r="M538" s="1" t="n">
        <f aca="false">IFERROR(INDEX(Sheet3!$B$2:$B$500,MATCH(1,(INT(C538)+MOD(D538,1)&lt;INT(Sheet3!$A$2:$A$500)+TIME(18,0,0))*(INT(E538)+MOD(F538,1)&gt;=INT(Sheet3!$A$2:$A$500)),0)),0)</f>
        <v>0</v>
      </c>
      <c r="N538" s="1" t="n">
        <f aca="false">IF(OR( AND(Q538=6,D538&gt;=TIME(17,0,0),OR(K538="12H Night",K538="Couple Half Night",K538="24H Night",K538="Couple Full Night")), AND(Q538=7,D538&gt;=TIME(6,0,0),D538&lt;TIME(12,0,0),OR(K538="12H Day",K538="Couple Half Day",K538="24H Day",K538="Couple Full Day")) ),1,0)</f>
        <v>0</v>
      </c>
      <c r="O538" s="1" t="n">
        <f aca="false">IF(OR( AND(MONTH(C538)=12,DAY(C538)&gt;=26), AND(MONTH(C538)=4,DAY(C538)&gt;=15), MONTH(C538)=5, AND(MONTH(C538)=6,DAY(C538)&lt;=10) ),1,0)</f>
        <v>0</v>
      </c>
      <c r="P538" s="1" t="str">
        <f aca="false">IF(OR(MONTH(C538)=3,MONTH(C538)=4,MONTH(C538)=5,MONTH(C538)=6), "Summer", IF(OR(MONTH(C538)=7,MONTH(C538)=8,MONTH(C538)=9,MONTH(C538)=10), "Monsoon", "Winter"))</f>
        <v>Monsoon</v>
      </c>
      <c r="Q538" s="1" t="n">
        <f aca="false">WEEKDAY(C538,2)</f>
        <v>3</v>
      </c>
      <c r="R538" s="0" t="n">
        <f aca="false">ROUNDDOWN(((INT(C538)+MOD(D538,1))-(INT(I538)+MOD(J538,1))),0)</f>
        <v>1</v>
      </c>
      <c r="S538" s="10"/>
    </row>
    <row r="539" customFormat="false" ht="145.05" hidden="false" customHeight="false" outlineLevel="0" collapsed="false">
      <c r="A539" s="8" t="s">
        <v>966</v>
      </c>
      <c r="B539" s="22" t="s">
        <v>967</v>
      </c>
      <c r="C539" s="18" t="n">
        <v>45946.375</v>
      </c>
      <c r="D539" s="19" t="n">
        <v>45946.375</v>
      </c>
      <c r="E539" s="18" t="n">
        <v>45946.75</v>
      </c>
      <c r="F539" s="19" t="n">
        <v>45946.75</v>
      </c>
      <c r="G539" s="20" t="n">
        <v>2000</v>
      </c>
      <c r="H539" s="8" t="n">
        <v>2</v>
      </c>
      <c r="I539" s="10" t="n">
        <v>45945</v>
      </c>
      <c r="J539" s="11" t="n">
        <v>0.729722222225972</v>
      </c>
      <c r="K539" s="1" t="str">
        <f aca="false">IF(L539&gt;24,     IF(H539=2,"Couple Extended Day","Extended Day"), IF(L539&lt;=12,     IF(AND(MOD(D539,1)&gt;=TIME(6,0,0),MOD(D539,1)&lt;TIME(18,0,0)),         IF(H539=2,"Couple Half Day","12H Day"),         IF(H539=2,"Couple Half Night","12H Night")), IF(L539&lt;=24,     IF(AND(MOD(D539,1)&gt;=TIME(6,0,0),MOD(D539,1)&lt;TIME(18,0,0)),         IF(H539=2,"Couple Full Day","24H Day"),         IF(H539=2,"Couple Full Night","24H Night")), "Check Data")))</f>
        <v>Couple Half Day</v>
      </c>
      <c r="L539" s="12" t="n">
        <f aca="false">((INT(E539)+MOD(F539,1))-(INT(C539)+MOD(D539,1)))*24</f>
        <v>9</v>
      </c>
      <c r="M539" s="1" t="n">
        <f aca="false">IFERROR(INDEX(Sheet3!$B$2:$B$500,MATCH(1,(INT(C539)+MOD(D539,1)&lt;INT(Sheet3!$A$2:$A$500)+TIME(18,0,0))*(INT(E539)+MOD(F539,1)&gt;=INT(Sheet3!$A$2:$A$500)),0)),0)</f>
        <v>0</v>
      </c>
      <c r="N539" s="1" t="n">
        <f aca="false">IF(OR( AND(Q539=6,D539&gt;=TIME(17,0,0),OR(K539="12H Night",K539="Couple Half Night",K539="24H Night",K539="Couple Full Night")), AND(Q539=7,D539&gt;=TIME(6,0,0),D539&lt;TIME(12,0,0),OR(K539="12H Day",K539="Couple Half Day",K539="24H Day",K539="Couple Full Day")) ),1,0)</f>
        <v>0</v>
      </c>
      <c r="O539" s="1" t="n">
        <f aca="false">IF(OR( AND(MONTH(C539)=12,DAY(C539)&gt;=26), AND(MONTH(C539)=4,DAY(C539)&gt;=15), MONTH(C539)=5, AND(MONTH(C539)=6,DAY(C539)&lt;=10) ),1,0)</f>
        <v>0</v>
      </c>
      <c r="P539" s="1" t="str">
        <f aca="false">IF(OR(MONTH(C539)=3,MONTH(C539)=4,MONTH(C539)=5,MONTH(C539)=6), "Summer", IF(OR(MONTH(C539)=7,MONTH(C539)=8,MONTH(C539)=9,MONTH(C539)=10), "Monsoon", "Winter"))</f>
        <v>Monsoon</v>
      </c>
      <c r="Q539" s="1" t="n">
        <f aca="false">WEEKDAY(C539,2)</f>
        <v>4</v>
      </c>
      <c r="R539" s="0" t="n">
        <f aca="false">ROUNDDOWN(((INT(C539)+MOD(D539,1))-(INT(I539)+MOD(J539,1))),0)</f>
        <v>0</v>
      </c>
      <c r="S539" s="10"/>
    </row>
    <row r="540" customFormat="false" ht="145.05" hidden="false" customHeight="false" outlineLevel="0" collapsed="false">
      <c r="A540" s="8" t="s">
        <v>968</v>
      </c>
      <c r="B540" s="22" t="s">
        <v>969</v>
      </c>
      <c r="C540" s="18" t="n">
        <v>45947.375</v>
      </c>
      <c r="D540" s="19" t="n">
        <v>45947.375</v>
      </c>
      <c r="E540" s="18" t="n">
        <v>45947.75</v>
      </c>
      <c r="F540" s="19" t="n">
        <v>45947.75</v>
      </c>
      <c r="G540" s="20" t="n">
        <v>2600</v>
      </c>
      <c r="H540" s="8" t="n">
        <v>4</v>
      </c>
      <c r="I540" s="10" t="n">
        <v>45946</v>
      </c>
      <c r="J540" s="11" t="n">
        <v>0.915868055555625</v>
      </c>
      <c r="K540" s="1" t="str">
        <f aca="false">IF(L540&gt;24,     IF(H540=2,"Couple Extended Day","Extended Day"), IF(L540&lt;=12,     IF(AND(MOD(D540,1)&gt;=TIME(6,0,0),MOD(D540,1)&lt;TIME(18,0,0)),         IF(H540=2,"Couple Half Day","12H Day"),         IF(H540=2,"Couple Half Night","12H Night")), IF(L540&lt;=24,     IF(AND(MOD(D540,1)&gt;=TIME(6,0,0),MOD(D540,1)&lt;TIME(18,0,0)),         IF(H540=2,"Couple Full Day","24H Day"),         IF(H540=2,"Couple Full Night","24H Night")), "Check Data")))</f>
        <v>12H Day</v>
      </c>
      <c r="L540" s="12" t="n">
        <f aca="false">((INT(E540)+MOD(F540,1))-(INT(C540)+MOD(D540,1)))*24</f>
        <v>9</v>
      </c>
      <c r="M540" s="1" t="n">
        <f aca="false">IFERROR(INDEX(Sheet3!$B$2:$B$500,MATCH(1,(INT(C540)+MOD(D540,1)&lt;INT(Sheet3!$A$2:$A$500)+TIME(18,0,0))*(INT(E540)+MOD(F540,1)&gt;=INT(Sheet3!$A$2:$A$500)),0)),0)</f>
        <v>0</v>
      </c>
      <c r="N540" s="1" t="n">
        <f aca="false">IF(OR( AND(Q540=6,D540&gt;=TIME(17,0,0),OR(K540="12H Night",K540="Couple Half Night",K540="24H Night",K540="Couple Full Night")), AND(Q540=7,D540&gt;=TIME(6,0,0),D540&lt;TIME(12,0,0),OR(K540="12H Day",K540="Couple Half Day",K540="24H Day",K540="Couple Full Day")) ),1,0)</f>
        <v>0</v>
      </c>
      <c r="O540" s="1" t="n">
        <f aca="false">IF(OR( AND(MONTH(C540)=12,DAY(C540)&gt;=26), AND(MONTH(C540)=4,DAY(C540)&gt;=15), MONTH(C540)=5, AND(MONTH(C540)=6,DAY(C540)&lt;=10) ),1,0)</f>
        <v>0</v>
      </c>
      <c r="P540" s="1" t="str">
        <f aca="false">IF(OR(MONTH(C540)=3,MONTH(C540)=4,MONTH(C540)=5,MONTH(C540)=6), "Summer", IF(OR(MONTH(C540)=7,MONTH(C540)=8,MONTH(C540)=9,MONTH(C540)=10), "Monsoon", "Winter"))</f>
        <v>Monsoon</v>
      </c>
      <c r="Q540" s="1" t="n">
        <f aca="false">WEEKDAY(C540,2)</f>
        <v>5</v>
      </c>
      <c r="R540" s="0" t="n">
        <f aca="false">ROUNDDOWN(((INT(C540)+MOD(D540,1))-(INT(I540)+MOD(J540,1))),0)</f>
        <v>0</v>
      </c>
      <c r="S540" s="10"/>
    </row>
    <row r="541" customFormat="false" ht="133.3" hidden="false" customHeight="false" outlineLevel="0" collapsed="false">
      <c r="A541" s="8" t="s">
        <v>435</v>
      </c>
      <c r="B541" s="22" t="s">
        <v>970</v>
      </c>
      <c r="C541" s="18" t="n">
        <v>45947.7916666667</v>
      </c>
      <c r="D541" s="19" t="n">
        <v>45947.7916666667</v>
      </c>
      <c r="E541" s="18" t="n">
        <v>45948.3333333333</v>
      </c>
      <c r="F541" s="19" t="n">
        <v>0</v>
      </c>
      <c r="G541" s="20" t="n">
        <v>2500</v>
      </c>
      <c r="H541" s="8" t="n">
        <v>4</v>
      </c>
      <c r="I541" s="10" t="n">
        <v>45947</v>
      </c>
      <c r="J541" s="11" t="n">
        <v>0.828379629630949</v>
      </c>
      <c r="K541" s="1" t="str">
        <f aca="false">IF(L541&gt;24,     IF(H541=2,"Couple Extended Day","Extended Day"), IF(L541&lt;=12,     IF(AND(MOD(D541,1)&gt;=TIME(6,0,0),MOD(D541,1)&lt;TIME(18,0,0)),         IF(H541=2,"Couple Half Day","12H Day"),         IF(H541=2,"Couple Half Night","12H Night")), IF(L541&lt;=24,     IF(AND(MOD(D541,1)&gt;=TIME(6,0,0),MOD(D541,1)&lt;TIME(18,0,0)),         IF(H541=2,"Couple Full Day","24H Day"),         IF(H541=2,"Couple Full Night","24H Night")), "Check Data")))</f>
        <v>12H Night</v>
      </c>
      <c r="L541" s="12" t="n">
        <f aca="false">((INT(E541)+MOD(F541,1))-(INT(C541)+MOD(D541,1)))*24</f>
        <v>4.99999999901047</v>
      </c>
      <c r="M541" s="1" t="n">
        <f aca="false">IFERROR(INDEX(Sheet3!$B$2:$B$500,MATCH(1,(INT(C541)+MOD(D541,1)&lt;INT(Sheet3!$A$2:$A$500)+TIME(18,0,0))*(INT(E541)+MOD(F541,1)&gt;=INT(Sheet3!$A$2:$A$500)),0)),0)</f>
        <v>0</v>
      </c>
      <c r="N541" s="1" t="n">
        <f aca="false">IF(OR( AND(Q541=6,D541&gt;=TIME(17,0,0),OR(K541="12H Night",K541="Couple Half Night",K541="24H Night",K541="Couple Full Night")), AND(Q541=7,D541&gt;=TIME(6,0,0),D541&lt;TIME(12,0,0),OR(K541="12H Day",K541="Couple Half Day",K541="24H Day",K541="Couple Full Day")) ),1,0)</f>
        <v>0</v>
      </c>
      <c r="O541" s="1" t="n">
        <f aca="false">IF(OR( AND(MONTH(C541)=12,DAY(C541)&gt;=26), AND(MONTH(C541)=4,DAY(C541)&gt;=15), MONTH(C541)=5, AND(MONTH(C541)=6,DAY(C541)&lt;=10) ),1,0)</f>
        <v>0</v>
      </c>
      <c r="P541" s="1" t="str">
        <f aca="false">IF(OR(MONTH(C541)=3,MONTH(C541)=4,MONTH(C541)=5,MONTH(C541)=6), "Summer", IF(OR(MONTH(C541)=7,MONTH(C541)=8,MONTH(C541)=9,MONTH(C541)=10), "Monsoon", "Winter"))</f>
        <v>Monsoon</v>
      </c>
      <c r="Q541" s="1" t="n">
        <f aca="false">WEEKDAY(C541,2)</f>
        <v>5</v>
      </c>
      <c r="R541" s="0" t="n">
        <f aca="false">ROUNDDOWN(((INT(C541)+MOD(D541,1))-(INT(I541)+MOD(J541,1))),0)</f>
        <v>-0</v>
      </c>
      <c r="S541" s="10"/>
    </row>
    <row r="542" customFormat="false" ht="159.6" hidden="false" customHeight="false" outlineLevel="0" collapsed="false">
      <c r="A542" s="8" t="s">
        <v>971</v>
      </c>
      <c r="B542" s="22" t="s">
        <v>972</v>
      </c>
      <c r="C542" s="18" t="n">
        <v>45948.375</v>
      </c>
      <c r="D542" s="19" t="n">
        <v>45948.375</v>
      </c>
      <c r="E542" s="18" t="n">
        <v>45948.75</v>
      </c>
      <c r="F542" s="19" t="n">
        <v>45948.75</v>
      </c>
      <c r="G542" s="20" t="n">
        <v>1500</v>
      </c>
      <c r="H542" s="8" t="n">
        <v>2</v>
      </c>
      <c r="I542" s="10" t="n">
        <v>45947</v>
      </c>
      <c r="J542" s="11" t="n">
        <v>0.960810185184525</v>
      </c>
      <c r="K542" s="1" t="str">
        <f aca="false">IF(L542&gt;24,     IF(H542=2,"Couple Extended Day","Extended Day"), IF(L542&lt;=12,     IF(AND(MOD(D542,1)&gt;=TIME(6,0,0),MOD(D542,1)&lt;TIME(18,0,0)),         IF(H542=2,"Couple Half Day","12H Day"),         IF(H542=2,"Couple Half Night","12H Night")), IF(L542&lt;=24,     IF(AND(MOD(D542,1)&gt;=TIME(6,0,0),MOD(D542,1)&lt;TIME(18,0,0)),         IF(H542=2,"Couple Full Day","24H Day"),         IF(H542=2,"Couple Full Night","24H Night")), "Check Data")))</f>
        <v>Couple Half Day</v>
      </c>
      <c r="L542" s="12" t="n">
        <f aca="false">((INT(E542)+MOD(F542,1))-(INT(C542)+MOD(D542,1)))*24</f>
        <v>9</v>
      </c>
      <c r="M542" s="1" t="n">
        <f aca="false">IFERROR(INDEX(Sheet3!$B$2:$B$500,MATCH(1,(INT(C542)+MOD(D542,1)&lt;INT(Sheet3!$A$2:$A$500)+TIME(18,0,0))*(INT(E542)+MOD(F542,1)&gt;=INT(Sheet3!$A$2:$A$500)),0)),0)</f>
        <v>0</v>
      </c>
      <c r="N542" s="1" t="n">
        <f aca="false">IF(OR( AND(Q542=6,D542&gt;=TIME(17,0,0),OR(K542="12H Night",K542="Couple Half Night",K542="24H Night",K542="Couple Full Night")), AND(Q542=7,D542&gt;=TIME(6,0,0),D542&lt;TIME(12,0,0),OR(K542="12H Day",K542="Couple Half Day",K542="24H Day",K542="Couple Full Day")) ),1,0)</f>
        <v>0</v>
      </c>
      <c r="O542" s="1" t="n">
        <f aca="false">IF(OR( AND(MONTH(C542)=12,DAY(C542)&gt;=26), AND(MONTH(C542)=4,DAY(C542)&gt;=15), MONTH(C542)=5, AND(MONTH(C542)=6,DAY(C542)&lt;=10) ),1,0)</f>
        <v>0</v>
      </c>
      <c r="P542" s="1" t="str">
        <f aca="false">IF(OR(MONTH(C542)=3,MONTH(C542)=4,MONTH(C542)=5,MONTH(C542)=6), "Summer", IF(OR(MONTH(C542)=7,MONTH(C542)=8,MONTH(C542)=9,MONTH(C542)=10), "Monsoon", "Winter"))</f>
        <v>Monsoon</v>
      </c>
      <c r="Q542" s="1" t="n">
        <f aca="false">WEEKDAY(C542,2)</f>
        <v>6</v>
      </c>
      <c r="R542" s="0" t="n">
        <f aca="false">ROUNDDOWN(((INT(C542)+MOD(D542,1))-(INT(I542)+MOD(J542,1))),0)</f>
        <v>0</v>
      </c>
      <c r="S542" s="10"/>
    </row>
    <row r="543" customFormat="false" ht="133.3" hidden="false" customHeight="false" outlineLevel="0" collapsed="false">
      <c r="A543" s="8" t="s">
        <v>973</v>
      </c>
      <c r="B543" s="22" t="s">
        <v>974</v>
      </c>
      <c r="C543" s="18" t="n">
        <v>45949.3333333333</v>
      </c>
      <c r="D543" s="19" t="n">
        <v>0</v>
      </c>
      <c r="E543" s="18" t="n">
        <v>45949.75</v>
      </c>
      <c r="F543" s="19" t="n">
        <v>45949.75</v>
      </c>
      <c r="G543" s="20" t="n">
        <v>3700</v>
      </c>
      <c r="H543" s="8" t="n">
        <v>6</v>
      </c>
      <c r="I543" s="10" t="n">
        <v>45948</v>
      </c>
      <c r="J543" s="11" t="n">
        <v>0.905729166668611</v>
      </c>
      <c r="K543" s="1" t="str">
        <f aca="false">IF(L543&gt;24,     IF(H543=2,"Couple Extended Day","Extended Day"), IF(L543&lt;=12,     IF(AND(MOD(D543,1)&gt;=TIME(6,0,0),MOD(D543,1)&lt;TIME(18,0,0)),         IF(H543=2,"Couple Half Day","12H Day"),         IF(H543=2,"Couple Half Night","12H Night")), IF(L543&lt;=24,     IF(AND(MOD(D543,1)&gt;=TIME(6,0,0),MOD(D543,1)&lt;TIME(18,0,0)),         IF(H543=2,"Couple Full Day","24H Day"),         IF(H543=2,"Couple Full Night","24H Night")), "Check Data")))</f>
        <v>24H Night</v>
      </c>
      <c r="L543" s="12" t="n">
        <f aca="false">((INT(E543)+MOD(F543,1))-(INT(C543)+MOD(D543,1)))*24</f>
        <v>18</v>
      </c>
      <c r="M543" s="1" t="n">
        <f aca="false">IFERROR(INDEX(Sheet3!$B$2:$B$500,MATCH(1,(INT(C543)+MOD(D543,1)&lt;INT(Sheet3!$A$2:$A$500)+TIME(18,0,0))*(INT(E543)+MOD(F543,1)&gt;=INT(Sheet3!$A$2:$A$500)),0)),0)</f>
        <v>0</v>
      </c>
      <c r="N543" s="1" t="n">
        <f aca="false">IF(OR( AND(Q543=6,D543&gt;=TIME(17,0,0),OR(K543="12H Night",K543="Couple Half Night",K543="24H Night",K543="Couple Full Night")), AND(Q543=7,D543&gt;=TIME(6,0,0),D543&lt;TIME(12,0,0),OR(K543="12H Day",K543="Couple Half Day",K543="24H Day",K543="Couple Full Day")) ),1,0)</f>
        <v>0</v>
      </c>
      <c r="O543" s="1" t="n">
        <f aca="false">IF(OR( AND(MONTH(C543)=12,DAY(C543)&gt;=26), AND(MONTH(C543)=4,DAY(C543)&gt;=15), MONTH(C543)=5, AND(MONTH(C543)=6,DAY(C543)&lt;=10) ),1,0)</f>
        <v>0</v>
      </c>
      <c r="P543" s="1" t="str">
        <f aca="false">IF(OR(MONTH(C543)=3,MONTH(C543)=4,MONTH(C543)=5,MONTH(C543)=6), "Summer", IF(OR(MONTH(C543)=7,MONTH(C543)=8,MONTH(C543)=9,MONTH(C543)=10), "Monsoon", "Winter"))</f>
        <v>Monsoon</v>
      </c>
      <c r="Q543" s="1" t="n">
        <f aca="false">WEEKDAY(C543,2)</f>
        <v>7</v>
      </c>
      <c r="R543" s="0" t="n">
        <f aca="false">ROUNDDOWN(((INT(C543)+MOD(D543,1))-(INT(I543)+MOD(J543,1))),0)</f>
        <v>0</v>
      </c>
      <c r="S543" s="10"/>
    </row>
    <row r="544" customFormat="false" ht="146.45" hidden="false" customHeight="false" outlineLevel="0" collapsed="false">
      <c r="A544" s="8" t="s">
        <v>975</v>
      </c>
      <c r="B544" s="22" t="s">
        <v>976</v>
      </c>
      <c r="C544" s="18" t="n">
        <v>45951.4583333333</v>
      </c>
      <c r="D544" s="19" t="n">
        <v>0</v>
      </c>
      <c r="E544" s="18" t="n">
        <v>45951.8333333333</v>
      </c>
      <c r="F544" s="19" t="n">
        <v>0</v>
      </c>
      <c r="G544" s="20" t="n">
        <v>4000</v>
      </c>
      <c r="H544" s="8" t="n">
        <v>10</v>
      </c>
      <c r="I544" s="10" t="n">
        <v>45950</v>
      </c>
      <c r="J544" s="11" t="n">
        <v>0.558252314818669</v>
      </c>
      <c r="K544" s="1" t="str">
        <f aca="false">IF(L544&gt;24,     IF(H544=2,"Couple Extended Day","Extended Day"), IF(L544&lt;=12,     IF(AND(MOD(D544,1)&gt;=TIME(6,0,0),MOD(D544,1)&lt;TIME(18,0,0)),         IF(H544=2,"Couple Half Day","12H Day"),         IF(H544=2,"Couple Half Night","12H Night")), IF(L544&lt;=24,     IF(AND(MOD(D544,1)&gt;=TIME(6,0,0),MOD(D544,1)&lt;TIME(18,0,0)),         IF(H544=2,"Couple Full Day","24H Day"),         IF(H544=2,"Couple Full Night","24H Night")), "Check Data")))</f>
        <v>12H Night</v>
      </c>
      <c r="L544" s="12" t="n">
        <f aca="false">((INT(E544)+MOD(F544,1))-(INT(C544)+MOD(D544,1)))*24</f>
        <v>0</v>
      </c>
      <c r="M544" s="1" t="str">
        <f aca="false">IFERROR(INDEX(Sheet3!$B$2:$B$500,MATCH(1,(INT(C544)+MOD(D544,1)&lt;INT(Sheet3!$A$2:$A$500)+TIME(18,0,0))*(INT(E544)+MOD(F544,1)&gt;=INT(Sheet3!$A$2:$A$500)),0)),0)</f>
        <v>Bestu Varas</v>
      </c>
      <c r="N544" s="1" t="n">
        <f aca="false">IF(OR( AND(Q544=6,D544&gt;=TIME(17,0,0),OR(K544="12H Night",K544="Couple Half Night",K544="24H Night",K544="Couple Full Night")), AND(Q544=7,D544&gt;=TIME(6,0,0),D544&lt;TIME(12,0,0),OR(K544="12H Day",K544="Couple Half Day",K544="24H Day",K544="Couple Full Day")) ),1,0)</f>
        <v>0</v>
      </c>
      <c r="O544" s="1" t="n">
        <f aca="false">IF(OR( AND(MONTH(C544)=12,DAY(C544)&gt;=26), AND(MONTH(C544)=4,DAY(C544)&gt;=15), MONTH(C544)=5, AND(MONTH(C544)=6,DAY(C544)&lt;=10) ),1,0)</f>
        <v>0</v>
      </c>
      <c r="P544" s="1" t="str">
        <f aca="false">IF(OR(MONTH(C544)=3,MONTH(C544)=4,MONTH(C544)=5,MONTH(C544)=6), "Summer", IF(OR(MONTH(C544)=7,MONTH(C544)=8,MONTH(C544)=9,MONTH(C544)=10), "Monsoon", "Winter"))</f>
        <v>Monsoon</v>
      </c>
      <c r="Q544" s="1" t="n">
        <f aca="false">WEEKDAY(C544,2)</f>
        <v>2</v>
      </c>
      <c r="R544" s="0" t="n">
        <f aca="false">ROUNDDOWN(((INT(C544)+MOD(D544,1))-(INT(I544)+MOD(J544,1))),0)</f>
        <v>0</v>
      </c>
      <c r="S544" s="10"/>
    </row>
    <row r="545" customFormat="false" ht="41.3" hidden="false" customHeight="false" outlineLevel="0" collapsed="false">
      <c r="A545" s="8" t="s">
        <v>977</v>
      </c>
      <c r="B545" s="22" t="s">
        <v>978</v>
      </c>
      <c r="C545" s="18" t="n">
        <v>45952.3333333333</v>
      </c>
      <c r="D545" s="19" t="n">
        <v>0</v>
      </c>
      <c r="E545" s="18" t="n">
        <v>45952.75</v>
      </c>
      <c r="F545" s="19" t="n">
        <v>45952.75</v>
      </c>
      <c r="G545" s="20" t="n">
        <v>1000</v>
      </c>
      <c r="I545" s="10" t="n">
        <v>45950</v>
      </c>
      <c r="J545" s="11" t="n">
        <v>0.714849537034757</v>
      </c>
      <c r="K545" s="1" t="str">
        <f aca="false">IF(L545&gt;24,     IF(H545=2,"Couple Extended Day","Extended Day"), IF(L545&lt;=12,     IF(AND(MOD(D545,1)&gt;=TIME(6,0,0),MOD(D545,1)&lt;TIME(18,0,0)),         IF(H545=2,"Couple Half Day","12H Day"),         IF(H545=2,"Couple Half Night","12H Night")), IF(L545&lt;=24,     IF(AND(MOD(D545,1)&gt;=TIME(6,0,0),MOD(D545,1)&lt;TIME(18,0,0)),         IF(H545=2,"Couple Full Day","24H Day"),         IF(H545=2,"Couple Full Night","24H Night")), "Check Data")))</f>
        <v>24H Night</v>
      </c>
      <c r="L545" s="12" t="n">
        <f aca="false">((INT(E545)+MOD(F545,1))-(INT(C545)+MOD(D545,1)))*24</f>
        <v>18</v>
      </c>
      <c r="M545" s="1" t="n">
        <f aca="false">IFERROR(INDEX(Sheet3!$B$2:$B$500,MATCH(1,(INT(C545)+MOD(D545,1)&lt;INT(Sheet3!$A$2:$A$500)+TIME(18,0,0))*(INT(E545)+MOD(F545,1)&gt;=INT(Sheet3!$A$2:$A$500)),0)),0)</f>
        <v>0</v>
      </c>
      <c r="N545" s="1" t="n">
        <f aca="false">IF(OR( AND(Q545=6,D545&gt;=TIME(17,0,0),OR(K545="12H Night",K545="Couple Half Night",K545="24H Night",K545="Couple Full Night")), AND(Q545=7,D545&gt;=TIME(6,0,0),D545&lt;TIME(12,0,0),OR(K545="12H Day",K545="Couple Half Day",K545="24H Day",K545="Couple Full Day")) ),1,0)</f>
        <v>0</v>
      </c>
      <c r="O545" s="1" t="n">
        <f aca="false">IF(OR( AND(MONTH(C545)=12,DAY(C545)&gt;=26), AND(MONTH(C545)=4,DAY(C545)&gt;=15), MONTH(C545)=5, AND(MONTH(C545)=6,DAY(C545)&lt;=10) ),1,0)</f>
        <v>0</v>
      </c>
      <c r="P545" s="1" t="str">
        <f aca="false">IF(OR(MONTH(C545)=3,MONTH(C545)=4,MONTH(C545)=5,MONTH(C545)=6), "Summer", IF(OR(MONTH(C545)=7,MONTH(C545)=8,MONTH(C545)=9,MONTH(C545)=10), "Monsoon", "Winter"))</f>
        <v>Monsoon</v>
      </c>
      <c r="Q545" s="1" t="n">
        <f aca="false">WEEKDAY(C545,2)</f>
        <v>3</v>
      </c>
      <c r="R545" s="0" t="n">
        <f aca="false">ROUNDDOWN(((INT(C545)+MOD(D545,1))-(INT(I545)+MOD(J545,1))),0)</f>
        <v>1</v>
      </c>
      <c r="S545" s="10"/>
    </row>
    <row r="546" customFormat="false" ht="225.35" hidden="false" customHeight="false" outlineLevel="0" collapsed="false">
      <c r="A546" s="8" t="s">
        <v>979</v>
      </c>
      <c r="B546" s="22" t="s">
        <v>980</v>
      </c>
      <c r="C546" s="18" t="n">
        <v>45952.7916666667</v>
      </c>
      <c r="D546" s="19" t="n">
        <v>45952.7916666667</v>
      </c>
      <c r="E546" s="18" t="n">
        <v>45953.75</v>
      </c>
      <c r="F546" s="19" t="n">
        <v>45953.75</v>
      </c>
      <c r="G546" s="20" t="n">
        <v>6000</v>
      </c>
      <c r="H546" s="8" t="n">
        <v>6</v>
      </c>
      <c r="I546" s="10" t="n">
        <v>45951</v>
      </c>
      <c r="J546" s="11" t="n">
        <v>0.672488425931076</v>
      </c>
      <c r="K546" s="1" t="str">
        <f aca="false">IF(L546&gt;24,     IF(H546=2,"Couple Extended Day","Extended Day"), IF(L546&lt;=12,     IF(AND(MOD(D546,1)&gt;=TIME(6,0,0),MOD(D546,1)&lt;TIME(18,0,0)),         IF(H546=2,"Couple Half Day","12H Day"),         IF(H546=2,"Couple Half Night","12H Night")), IF(L546&lt;=24,     IF(AND(MOD(D546,1)&gt;=TIME(6,0,0),MOD(D546,1)&lt;TIME(18,0,0)),         IF(H546=2,"Couple Full Day","24H Day"),         IF(H546=2,"Couple Full Night","24H Night")), "Check Data")))</f>
        <v>24H Night</v>
      </c>
      <c r="L546" s="12" t="n">
        <f aca="false">((INT(E546)+MOD(F546,1))-(INT(C546)+MOD(D546,1)))*24</f>
        <v>22.9999999990105</v>
      </c>
      <c r="M546" s="1" t="n">
        <f aca="false">IFERROR(INDEX(Sheet3!$B$2:$B$500,MATCH(1,(INT(C546)+MOD(D546,1)&lt;INT(Sheet3!$A$2:$A$500)+TIME(18,0,0))*(INT(E546)+MOD(F546,1)&gt;=INT(Sheet3!$A$2:$A$500)),0)),0)</f>
        <v>0</v>
      </c>
      <c r="N546" s="1" t="n">
        <f aca="false">IF(OR( AND(Q546=6,D546&gt;=TIME(17,0,0),OR(K546="12H Night",K546="Couple Half Night",K546="24H Night",K546="Couple Full Night")), AND(Q546=7,D546&gt;=TIME(6,0,0),D546&lt;TIME(12,0,0),OR(K546="12H Day",K546="Couple Half Day",K546="24H Day",K546="Couple Full Day")) ),1,0)</f>
        <v>0</v>
      </c>
      <c r="O546" s="1" t="n">
        <f aca="false">IF(OR( AND(MONTH(C546)=12,DAY(C546)&gt;=26), AND(MONTH(C546)=4,DAY(C546)&gt;=15), MONTH(C546)=5, AND(MONTH(C546)=6,DAY(C546)&lt;=10) ),1,0)</f>
        <v>0</v>
      </c>
      <c r="P546" s="1" t="str">
        <f aca="false">IF(OR(MONTH(C546)=3,MONTH(C546)=4,MONTH(C546)=5,MONTH(C546)=6), "Summer", IF(OR(MONTH(C546)=7,MONTH(C546)=8,MONTH(C546)=9,MONTH(C546)=10), "Monsoon", "Winter"))</f>
        <v>Monsoon</v>
      </c>
      <c r="Q546" s="1" t="n">
        <f aca="false">WEEKDAY(C546,2)</f>
        <v>3</v>
      </c>
      <c r="R546" s="0" t="n">
        <f aca="false">ROUNDDOWN(((INT(C546)+MOD(D546,1))-(INT(I546)+MOD(J546,1))),0)</f>
        <v>1</v>
      </c>
      <c r="S546" s="10"/>
    </row>
    <row r="547" customFormat="false" ht="212.2" hidden="false" customHeight="false" outlineLevel="0" collapsed="false">
      <c r="A547" s="8" t="s">
        <v>365</v>
      </c>
      <c r="B547" s="22" t="s">
        <v>981</v>
      </c>
      <c r="C547" s="18" t="n">
        <v>45953.7916666667</v>
      </c>
      <c r="D547" s="19" t="n">
        <v>45953.7916666667</v>
      </c>
      <c r="E547" s="18" t="n">
        <v>45954.3333333333</v>
      </c>
      <c r="F547" s="19" t="n">
        <v>0</v>
      </c>
      <c r="G547" s="20" t="n">
        <v>3000</v>
      </c>
      <c r="H547" s="8" t="n">
        <v>15</v>
      </c>
      <c r="I547" s="10" t="n">
        <v>45952</v>
      </c>
      <c r="J547" s="11" t="n">
        <v>0.984016203699861</v>
      </c>
      <c r="K547" s="1" t="str">
        <f aca="false">IF(L547&gt;24,     IF(H547=2,"Couple Extended Day","Extended Day"), IF(L547&lt;=12,     IF(AND(MOD(D547,1)&gt;=TIME(6,0,0),MOD(D547,1)&lt;TIME(18,0,0)),         IF(H547=2,"Couple Half Day","12H Day"),         IF(H547=2,"Couple Half Night","12H Night")), IF(L547&lt;=24,     IF(AND(MOD(D547,1)&gt;=TIME(6,0,0),MOD(D547,1)&lt;TIME(18,0,0)),         IF(H547=2,"Couple Full Day","24H Day"),         IF(H547=2,"Couple Full Night","24H Night")), "Check Data")))</f>
        <v>12H Night</v>
      </c>
      <c r="L547" s="12" t="n">
        <f aca="false">((INT(E547)+MOD(F547,1))-(INT(C547)+MOD(D547,1)))*24</f>
        <v>4.99999999901047</v>
      </c>
      <c r="M547" s="1" t="n">
        <f aca="false">IFERROR(INDEX(Sheet3!$B$2:$B$500,MATCH(1,(INT(C547)+MOD(D547,1)&lt;INT(Sheet3!$A$2:$A$500)+TIME(18,0,0))*(INT(E547)+MOD(F547,1)&gt;=INT(Sheet3!$A$2:$A$500)),0)),0)</f>
        <v>0</v>
      </c>
      <c r="N547" s="1" t="n">
        <f aca="false">IF(OR( AND(Q547=6,D547&gt;=TIME(17,0,0),OR(K547="12H Night",K547="Couple Half Night",K547="24H Night",K547="Couple Full Night")), AND(Q547=7,D547&gt;=TIME(6,0,0),D547&lt;TIME(12,0,0),OR(K547="12H Day",K547="Couple Half Day",K547="24H Day",K547="Couple Full Day")) ),1,0)</f>
        <v>0</v>
      </c>
      <c r="O547" s="1" t="n">
        <f aca="false">IF(OR( AND(MONTH(C547)=12,DAY(C547)&gt;=26), AND(MONTH(C547)=4,DAY(C547)&gt;=15), MONTH(C547)=5, AND(MONTH(C547)=6,DAY(C547)&lt;=10) ),1,0)</f>
        <v>0</v>
      </c>
      <c r="P547" s="1" t="str">
        <f aca="false">IF(OR(MONTH(C547)=3,MONTH(C547)=4,MONTH(C547)=5,MONTH(C547)=6), "Summer", IF(OR(MONTH(C547)=7,MONTH(C547)=8,MONTH(C547)=9,MONTH(C547)=10), "Monsoon", "Winter"))</f>
        <v>Monsoon</v>
      </c>
      <c r="Q547" s="1" t="n">
        <f aca="false">WEEKDAY(C547,2)</f>
        <v>4</v>
      </c>
      <c r="R547" s="0" t="n">
        <f aca="false">ROUNDDOWN(((INT(C547)+MOD(D547,1))-(INT(I547)+MOD(J547,1))),0)</f>
        <v>0</v>
      </c>
      <c r="S547" s="10"/>
    </row>
    <row r="548" customFormat="false" ht="133.3" hidden="false" customHeight="false" outlineLevel="0" collapsed="false">
      <c r="A548" s="8" t="s">
        <v>982</v>
      </c>
      <c r="B548" s="22" t="s">
        <v>983</v>
      </c>
      <c r="C548" s="18" t="n">
        <v>45954.375</v>
      </c>
      <c r="D548" s="19" t="n">
        <v>45954.375</v>
      </c>
      <c r="E548" s="18" t="n">
        <v>45954.75</v>
      </c>
      <c r="F548" s="19" t="n">
        <v>45954.75</v>
      </c>
      <c r="G548" s="20" t="n">
        <v>3500</v>
      </c>
      <c r="H548" s="8" t="n">
        <v>10</v>
      </c>
      <c r="I548" s="10" t="n">
        <v>45941</v>
      </c>
      <c r="J548" s="11" t="n">
        <v>0.902465277773449</v>
      </c>
      <c r="K548" s="1" t="str">
        <f aca="false">IF(L548&gt;24,     IF(H548=2,"Couple Extended Day","Extended Day"), IF(L548&lt;=12,     IF(AND(MOD(D548,1)&gt;=TIME(6,0,0),MOD(D548,1)&lt;TIME(18,0,0)),         IF(H548=2,"Couple Half Day","12H Day"),         IF(H548=2,"Couple Half Night","12H Night")), IF(L548&lt;=24,     IF(AND(MOD(D548,1)&gt;=TIME(6,0,0),MOD(D548,1)&lt;TIME(18,0,0)),         IF(H548=2,"Couple Full Day","24H Day"),         IF(H548=2,"Couple Full Night","24H Night")), "Check Data")))</f>
        <v>12H Day</v>
      </c>
      <c r="L548" s="12" t="n">
        <f aca="false">((INT(E548)+MOD(F548,1))-(INT(C548)+MOD(D548,1)))*24</f>
        <v>9</v>
      </c>
      <c r="M548" s="1" t="n">
        <f aca="false">IFERROR(INDEX(Sheet3!$B$2:$B$500,MATCH(1,(INT(C548)+MOD(D548,1)&lt;INT(Sheet3!$A$2:$A$500)+TIME(18,0,0))*(INT(E548)+MOD(F548,1)&gt;=INT(Sheet3!$A$2:$A$500)),0)),0)</f>
        <v>0</v>
      </c>
      <c r="N548" s="1" t="n">
        <f aca="false">IF(OR( AND(Q548=6,D548&gt;=TIME(17,0,0),OR(K548="12H Night",K548="Couple Half Night",K548="24H Night",K548="Couple Full Night")), AND(Q548=7,D548&gt;=TIME(6,0,0),D548&lt;TIME(12,0,0),OR(K548="12H Day",K548="Couple Half Day",K548="24H Day",K548="Couple Full Day")) ),1,0)</f>
        <v>0</v>
      </c>
      <c r="O548" s="1" t="n">
        <f aca="false">IF(OR( AND(MONTH(C548)=12,DAY(C548)&gt;=26), AND(MONTH(C548)=4,DAY(C548)&gt;=15), MONTH(C548)=5, AND(MONTH(C548)=6,DAY(C548)&lt;=10) ),1,0)</f>
        <v>0</v>
      </c>
      <c r="P548" s="1" t="str">
        <f aca="false">IF(OR(MONTH(C548)=3,MONTH(C548)=4,MONTH(C548)=5,MONTH(C548)=6), "Summer", IF(OR(MONTH(C548)=7,MONTH(C548)=8,MONTH(C548)=9,MONTH(C548)=10), "Monsoon", "Winter"))</f>
        <v>Monsoon</v>
      </c>
      <c r="Q548" s="1" t="n">
        <f aca="false">WEEKDAY(C548,2)</f>
        <v>5</v>
      </c>
      <c r="R548" s="0" t="n">
        <f aca="false">ROUNDDOWN(((INT(C548)+MOD(D548,1))-(INT(I548)+MOD(J548,1))),0)</f>
        <v>12</v>
      </c>
      <c r="S548" s="10"/>
    </row>
    <row r="549" customFormat="false" ht="146.45" hidden="false" customHeight="false" outlineLevel="0" collapsed="false">
      <c r="A549" s="8" t="s">
        <v>984</v>
      </c>
      <c r="B549" s="22" t="s">
        <v>985</v>
      </c>
      <c r="C549" s="18" t="n">
        <v>45954.7916666667</v>
      </c>
      <c r="D549" s="19" t="n">
        <v>45954.7916666667</v>
      </c>
      <c r="E549" s="18" t="n">
        <v>45956.75</v>
      </c>
      <c r="F549" s="19" t="n">
        <v>45956.75</v>
      </c>
      <c r="G549" s="20" t="n">
        <v>10500</v>
      </c>
      <c r="H549" s="8" t="n">
        <v>10</v>
      </c>
      <c r="I549" s="10" t="n">
        <v>45937</v>
      </c>
      <c r="J549" s="11" t="n">
        <v>0.731712962966412</v>
      </c>
      <c r="K549" s="1" t="str">
        <f aca="false">IF(L549&gt;24,     IF(H549=2,"Couple Extended Day","Extended Day"), IF(L549&lt;=12,     IF(AND(MOD(D549,1)&gt;=TIME(6,0,0),MOD(D549,1)&lt;TIME(18,0,0)),         IF(H549=2,"Couple Half Day","12H Day"),         IF(H549=2,"Couple Half Night","12H Night")), IF(L549&lt;=24,     IF(AND(MOD(D549,1)&gt;=TIME(6,0,0),MOD(D549,1)&lt;TIME(18,0,0)),         IF(H549=2,"Couple Full Day","24H Day"),         IF(H549=2,"Couple Full Night","24H Night")), "Check Data")))</f>
        <v>Extended Day</v>
      </c>
      <c r="L549" s="12" t="n">
        <f aca="false">((INT(E549)+MOD(F549,1))-(INT(C549)+MOD(D549,1)))*24</f>
        <v>46.9999999990105</v>
      </c>
      <c r="M549" s="1" t="n">
        <f aca="false">IFERROR(INDEX(Sheet3!$B$2:$B$500,MATCH(1,(INT(C549)+MOD(D549,1)&lt;INT(Sheet3!$A$2:$A$500)+TIME(18,0,0))*(INT(E549)+MOD(F549,1)&gt;=INT(Sheet3!$A$2:$A$500)),0)),0)</f>
        <v>0</v>
      </c>
      <c r="N549" s="1" t="n">
        <f aca="false">IF(OR( AND(Q549=6,D549&gt;=TIME(17,0,0),OR(K549="12H Night",K549="Couple Half Night",K549="24H Night",K549="Couple Full Night")), AND(Q549=7,D549&gt;=TIME(6,0,0),D549&lt;TIME(12,0,0),OR(K549="12H Day",K549="Couple Half Day",K549="24H Day",K549="Couple Full Day")) ),1,0)</f>
        <v>0</v>
      </c>
      <c r="O549" s="1" t="n">
        <f aca="false">IF(OR( AND(MONTH(C549)=12,DAY(C549)&gt;=26), AND(MONTH(C549)=4,DAY(C549)&gt;=15), MONTH(C549)=5, AND(MONTH(C549)=6,DAY(C549)&lt;=10) ),1,0)</f>
        <v>0</v>
      </c>
      <c r="P549" s="1" t="str">
        <f aca="false">IF(OR(MONTH(C549)=3,MONTH(C549)=4,MONTH(C549)=5,MONTH(C549)=6), "Summer", IF(OR(MONTH(C549)=7,MONTH(C549)=8,MONTH(C549)=9,MONTH(C549)=10), "Monsoon", "Winter"))</f>
        <v>Monsoon</v>
      </c>
      <c r="Q549" s="1" t="n">
        <f aca="false">WEEKDAY(C549,2)</f>
        <v>5</v>
      </c>
      <c r="R549" s="0" t="n">
        <f aca="false">ROUNDDOWN(((INT(C549)+MOD(D549,1))-(INT(I549)+MOD(J549,1))),0)</f>
        <v>17</v>
      </c>
      <c r="S549" s="10"/>
    </row>
    <row r="550" customFormat="false" ht="199.05" hidden="false" customHeight="false" outlineLevel="0" collapsed="false">
      <c r="A550" s="8" t="s">
        <v>986</v>
      </c>
      <c r="B550" s="22" t="s">
        <v>987</v>
      </c>
      <c r="C550" s="18" t="n">
        <v>45956.7916666667</v>
      </c>
      <c r="D550" s="19" t="n">
        <v>45956.7916666667</v>
      </c>
      <c r="E550" s="18" t="n">
        <v>45957.3333333333</v>
      </c>
      <c r="F550" s="19" t="n">
        <v>0</v>
      </c>
      <c r="G550" s="20" t="n">
        <v>3000</v>
      </c>
      <c r="H550" s="8" t="n">
        <v>10</v>
      </c>
      <c r="I550" s="10" t="n">
        <v>45956</v>
      </c>
      <c r="J550" s="11" t="n">
        <v>0.448576388887882</v>
      </c>
      <c r="K550" s="1" t="str">
        <f aca="false">IF(L550&gt;24,     IF(H550=2,"Couple Extended Day","Extended Day"), IF(L550&lt;=12,     IF(AND(MOD(D550,1)&gt;=TIME(6,0,0),MOD(D550,1)&lt;TIME(18,0,0)),         IF(H550=2,"Couple Half Day","12H Day"),         IF(H550=2,"Couple Half Night","12H Night")), IF(L550&lt;=24,     IF(AND(MOD(D550,1)&gt;=TIME(6,0,0),MOD(D550,1)&lt;TIME(18,0,0)),         IF(H550=2,"Couple Full Day","24H Day"),         IF(H550=2,"Couple Full Night","24H Night")), "Check Data")))</f>
        <v>12H Night</v>
      </c>
      <c r="L550" s="12" t="n">
        <f aca="false">((INT(E550)+MOD(F550,1))-(INT(C550)+MOD(D550,1)))*24</f>
        <v>4.99999999901047</v>
      </c>
      <c r="M550" s="1" t="n">
        <f aca="false">IFERROR(INDEX(Sheet3!$B$2:$B$500,MATCH(1,(INT(C550)+MOD(D550,1)&lt;INT(Sheet3!$A$2:$A$500)+TIME(18,0,0))*(INT(E550)+MOD(F550,1)&gt;=INT(Sheet3!$A$2:$A$500)),0)),0)</f>
        <v>0</v>
      </c>
      <c r="N550" s="1" t="n">
        <f aca="false">IF(OR( AND(Q550=6,D550&gt;=TIME(17,0,0),OR(K550="12H Night",K550="Couple Half Night",K550="24H Night",K550="Couple Full Night")), AND(Q550=7,D550&gt;=TIME(6,0,0),D550&lt;TIME(12,0,0),OR(K550="12H Day",K550="Couple Half Day",K550="24H Day",K550="Couple Full Day")) ),1,0)</f>
        <v>0</v>
      </c>
      <c r="O550" s="1" t="n">
        <f aca="false">IF(OR( AND(MONTH(C550)=12,DAY(C550)&gt;=26), AND(MONTH(C550)=4,DAY(C550)&gt;=15), MONTH(C550)=5, AND(MONTH(C550)=6,DAY(C550)&lt;=10) ),1,0)</f>
        <v>0</v>
      </c>
      <c r="P550" s="1" t="str">
        <f aca="false">IF(OR(MONTH(C550)=3,MONTH(C550)=4,MONTH(C550)=5,MONTH(C550)=6), "Summer", IF(OR(MONTH(C550)=7,MONTH(C550)=8,MONTH(C550)=9,MONTH(C550)=10), "Monsoon", "Winter"))</f>
        <v>Monsoon</v>
      </c>
      <c r="Q550" s="1" t="n">
        <f aca="false">WEEKDAY(C550,2)</f>
        <v>7</v>
      </c>
      <c r="R550" s="0" t="n">
        <f aca="false">ROUNDDOWN(((INT(C550)+MOD(D550,1))-(INT(I550)+MOD(J550,1))),0)</f>
        <v>0</v>
      </c>
      <c r="S550" s="10"/>
    </row>
    <row r="551" customFormat="false" ht="159.6" hidden="false" customHeight="false" outlineLevel="0" collapsed="false">
      <c r="A551" s="8" t="s">
        <v>988</v>
      </c>
      <c r="B551" s="22" t="s">
        <v>989</v>
      </c>
      <c r="C551" s="18" t="n">
        <v>45958.375</v>
      </c>
      <c r="D551" s="19" t="n">
        <v>45958.375</v>
      </c>
      <c r="E551" s="18" t="n">
        <v>45958.75</v>
      </c>
      <c r="F551" s="19" t="n">
        <v>45958.75</v>
      </c>
      <c r="G551" s="20" t="n">
        <v>2000</v>
      </c>
      <c r="H551" s="8" t="n">
        <v>2</v>
      </c>
      <c r="I551" s="10" t="n">
        <v>45957</v>
      </c>
      <c r="J551" s="11" t="n">
        <v>0.672847222223935</v>
      </c>
      <c r="K551" s="1" t="str">
        <f aca="false">IF(L551&gt;24,     IF(H551=2,"Couple Extended Day","Extended Day"), IF(L551&lt;=12,     IF(AND(MOD(D551,1)&gt;=TIME(6,0,0),MOD(D551,1)&lt;TIME(18,0,0)),         IF(H551=2,"Couple Half Day","12H Day"),         IF(H551=2,"Couple Half Night","12H Night")), IF(L551&lt;=24,     IF(AND(MOD(D551,1)&gt;=TIME(6,0,0),MOD(D551,1)&lt;TIME(18,0,0)),         IF(H551=2,"Couple Full Day","24H Day"),         IF(H551=2,"Couple Full Night","24H Night")), "Check Data")))</f>
        <v>Couple Half Day</v>
      </c>
      <c r="L551" s="12" t="n">
        <f aca="false">((INT(E551)+MOD(F551,1))-(INT(C551)+MOD(D551,1)))*24</f>
        <v>9</v>
      </c>
      <c r="M551" s="1" t="n">
        <f aca="false">IFERROR(INDEX(Sheet3!$B$2:$B$500,MATCH(1,(INT(C551)+MOD(D551,1)&lt;INT(Sheet3!$A$2:$A$500)+TIME(18,0,0))*(INT(E551)+MOD(F551,1)&gt;=INT(Sheet3!$A$2:$A$500)),0)),0)</f>
        <v>0</v>
      </c>
      <c r="N551" s="1" t="n">
        <f aca="false">IF(OR( AND(Q551=6,D551&gt;=TIME(17,0,0),OR(K551="12H Night",K551="Couple Half Night",K551="24H Night",K551="Couple Full Night")), AND(Q551=7,D551&gt;=TIME(6,0,0),D551&lt;TIME(12,0,0),OR(K551="12H Day",K551="Couple Half Day",K551="24H Day",K551="Couple Full Day")) ),1,0)</f>
        <v>0</v>
      </c>
      <c r="O551" s="1" t="n">
        <f aca="false">IF(OR( AND(MONTH(C551)=12,DAY(C551)&gt;=26), AND(MONTH(C551)=4,DAY(C551)&gt;=15), MONTH(C551)=5, AND(MONTH(C551)=6,DAY(C551)&lt;=10) ),1,0)</f>
        <v>0</v>
      </c>
      <c r="P551" s="1" t="str">
        <f aca="false">IF(OR(MONTH(C551)=3,MONTH(C551)=4,MONTH(C551)=5,MONTH(C551)=6), "Summer", IF(OR(MONTH(C551)=7,MONTH(C551)=8,MONTH(C551)=9,MONTH(C551)=10), "Monsoon", "Winter"))</f>
        <v>Monsoon</v>
      </c>
      <c r="Q551" s="1" t="n">
        <f aca="false">WEEKDAY(C551,2)</f>
        <v>2</v>
      </c>
      <c r="R551" s="0" t="n">
        <f aca="false">ROUNDDOWN(((INT(C551)+MOD(D551,1))-(INT(I551)+MOD(J551,1))),0)</f>
        <v>0</v>
      </c>
      <c r="S551" s="10"/>
    </row>
    <row r="552" customFormat="false" ht="172.75" hidden="false" customHeight="false" outlineLevel="0" collapsed="false">
      <c r="A552" s="8" t="s">
        <v>567</v>
      </c>
      <c r="B552" s="22" t="s">
        <v>990</v>
      </c>
      <c r="C552" s="18" t="n">
        <v>45958.7916666667</v>
      </c>
      <c r="D552" s="19" t="n">
        <v>45958.7916666667</v>
      </c>
      <c r="E552" s="18" t="n">
        <v>45959.3333333333</v>
      </c>
      <c r="F552" s="19" t="n">
        <v>0</v>
      </c>
      <c r="G552" s="20" t="n">
        <v>3000</v>
      </c>
      <c r="H552" s="8" t="n">
        <v>10</v>
      </c>
      <c r="I552" s="10" t="n">
        <v>45956</v>
      </c>
      <c r="J552" s="11" t="n">
        <v>0.898657407407882</v>
      </c>
      <c r="K552" s="1" t="str">
        <f aca="false">IF(L552&gt;24,     IF(H552=2,"Couple Extended Day","Extended Day"), IF(L552&lt;=12,     IF(AND(MOD(D552,1)&gt;=TIME(6,0,0),MOD(D552,1)&lt;TIME(18,0,0)),         IF(H552=2,"Couple Half Day","12H Day"),         IF(H552=2,"Couple Half Night","12H Night")), IF(L552&lt;=24,     IF(AND(MOD(D552,1)&gt;=TIME(6,0,0),MOD(D552,1)&lt;TIME(18,0,0)),         IF(H552=2,"Couple Full Day","24H Day"),         IF(H552=2,"Couple Full Night","24H Night")), "Check Data")))</f>
        <v>12H Night</v>
      </c>
      <c r="L552" s="12" t="n">
        <f aca="false">((INT(E552)+MOD(F552,1))-(INT(C552)+MOD(D552,1)))*24</f>
        <v>4.99999999901047</v>
      </c>
      <c r="M552" s="1" t="n">
        <f aca="false">IFERROR(INDEX(Sheet3!$B$2:$B$500,MATCH(1,(INT(C552)+MOD(D552,1)&lt;INT(Sheet3!$A$2:$A$500)+TIME(18,0,0))*(INT(E552)+MOD(F552,1)&gt;=INT(Sheet3!$A$2:$A$500)),0)),0)</f>
        <v>0</v>
      </c>
      <c r="N552" s="1" t="n">
        <f aca="false">IF(OR( AND(Q552=6,D552&gt;=TIME(17,0,0),OR(K552="12H Night",K552="Couple Half Night",K552="24H Night",K552="Couple Full Night")), AND(Q552=7,D552&gt;=TIME(6,0,0),D552&lt;TIME(12,0,0),OR(K552="12H Day",K552="Couple Half Day",K552="24H Day",K552="Couple Full Day")) ),1,0)</f>
        <v>0</v>
      </c>
      <c r="O552" s="1" t="n">
        <f aca="false">IF(OR( AND(MONTH(C552)=12,DAY(C552)&gt;=26), AND(MONTH(C552)=4,DAY(C552)&gt;=15), MONTH(C552)=5, AND(MONTH(C552)=6,DAY(C552)&lt;=10) ),1,0)</f>
        <v>0</v>
      </c>
      <c r="P552" s="1" t="str">
        <f aca="false">IF(OR(MONTH(C552)=3,MONTH(C552)=4,MONTH(C552)=5,MONTH(C552)=6), "Summer", IF(OR(MONTH(C552)=7,MONTH(C552)=8,MONTH(C552)=9,MONTH(C552)=10), "Monsoon", "Winter"))</f>
        <v>Monsoon</v>
      </c>
      <c r="Q552" s="1" t="n">
        <f aca="false">WEEKDAY(C552,2)</f>
        <v>2</v>
      </c>
      <c r="R552" s="0" t="n">
        <f aca="false">ROUNDDOWN(((INT(C552)+MOD(D552,1))-(INT(I552)+MOD(J552,1))),0)</f>
        <v>1</v>
      </c>
      <c r="S552" s="10"/>
    </row>
    <row r="553" customFormat="false" ht="212.2" hidden="false" customHeight="false" outlineLevel="0" collapsed="false">
      <c r="A553" s="8" t="s">
        <v>411</v>
      </c>
      <c r="B553" s="22" t="s">
        <v>991</v>
      </c>
      <c r="C553" s="18" t="n">
        <v>45959.7916666667</v>
      </c>
      <c r="D553" s="19" t="n">
        <v>45959.7916666667</v>
      </c>
      <c r="E553" s="18" t="n">
        <v>45960.3333333333</v>
      </c>
      <c r="F553" s="19" t="n">
        <v>0</v>
      </c>
      <c r="G553" s="20" t="n">
        <v>2500</v>
      </c>
      <c r="H553" s="8" t="n">
        <v>4</v>
      </c>
      <c r="I553" s="10" t="n">
        <v>45959</v>
      </c>
      <c r="J553" s="11" t="n">
        <v>0.790335648147454</v>
      </c>
      <c r="K553" s="1" t="str">
        <f aca="false">IF(L553&gt;24,     IF(H553=2,"Couple Extended Day","Extended Day"), IF(L553&lt;=12,     IF(AND(MOD(D553,1)&gt;=TIME(6,0,0),MOD(D553,1)&lt;TIME(18,0,0)),         IF(H553=2,"Couple Half Day","12H Day"),         IF(H553=2,"Couple Half Night","12H Night")), IF(L553&lt;=24,     IF(AND(MOD(D553,1)&gt;=TIME(6,0,0),MOD(D553,1)&lt;TIME(18,0,0)),         IF(H553=2,"Couple Full Day","24H Day"),         IF(H553=2,"Couple Full Night","24H Night")), "Check Data")))</f>
        <v>12H Night</v>
      </c>
      <c r="L553" s="12" t="n">
        <f aca="false">((INT(E553)+MOD(F553,1))-(INT(C553)+MOD(D553,1)))*24</f>
        <v>4.99999999901047</v>
      </c>
      <c r="M553" s="1" t="n">
        <f aca="false">IFERROR(INDEX(Sheet3!$B$2:$B$500,MATCH(1,(INT(C553)+MOD(D553,1)&lt;INT(Sheet3!$A$2:$A$500)+TIME(18,0,0))*(INT(E553)+MOD(F553,1)&gt;=INT(Sheet3!$A$2:$A$500)),0)),0)</f>
        <v>0</v>
      </c>
      <c r="N553" s="1" t="n">
        <f aca="false">IF(OR( AND(Q553=6,D553&gt;=TIME(17,0,0),OR(K553="12H Night",K553="Couple Half Night",K553="24H Night",K553="Couple Full Night")), AND(Q553=7,D553&gt;=TIME(6,0,0),D553&lt;TIME(12,0,0),OR(K553="12H Day",K553="Couple Half Day",K553="24H Day",K553="Couple Full Day")) ),1,0)</f>
        <v>0</v>
      </c>
      <c r="O553" s="1" t="n">
        <f aca="false">IF(OR( AND(MONTH(C553)=12,DAY(C553)&gt;=26), AND(MONTH(C553)=4,DAY(C553)&gt;=15), MONTH(C553)=5, AND(MONTH(C553)=6,DAY(C553)&lt;=10) ),1,0)</f>
        <v>0</v>
      </c>
      <c r="P553" s="1" t="str">
        <f aca="false">IF(OR(MONTH(C553)=3,MONTH(C553)=4,MONTH(C553)=5,MONTH(C553)=6), "Summer", IF(OR(MONTH(C553)=7,MONTH(C553)=8,MONTH(C553)=9,MONTH(C553)=10), "Monsoon", "Winter"))</f>
        <v>Monsoon</v>
      </c>
      <c r="Q553" s="1" t="n">
        <f aca="false">WEEKDAY(C553,2)</f>
        <v>3</v>
      </c>
      <c r="R553" s="0" t="n">
        <f aca="false">ROUNDDOWN(((INT(C553)+MOD(D553,1))-(INT(I553)+MOD(J553,1))),0)</f>
        <v>0</v>
      </c>
      <c r="S553" s="10"/>
    </row>
    <row r="554" customFormat="false" ht="212.2" hidden="false" customHeight="false" outlineLevel="0" collapsed="false">
      <c r="A554" s="8" t="s">
        <v>992</v>
      </c>
      <c r="B554" s="22" t="s">
        <v>993</v>
      </c>
      <c r="C554" s="18" t="n">
        <v>45961.875</v>
      </c>
      <c r="D554" s="19" t="n">
        <v>45961.875</v>
      </c>
      <c r="E554" s="18" t="n">
        <v>45962.375</v>
      </c>
      <c r="F554" s="19" t="n">
        <v>45962.375</v>
      </c>
      <c r="G554" s="20" t="n">
        <v>3000</v>
      </c>
      <c r="H554" s="8" t="n">
        <v>8</v>
      </c>
      <c r="I554" s="10" t="n">
        <v>45961</v>
      </c>
      <c r="J554" s="11" t="n">
        <v>0.0303124999991319</v>
      </c>
      <c r="K554" s="1" t="str">
        <f aca="false">IF(L554&gt;24,     IF(H554=2,"Couple Extended Day","Extended Day"), IF(L554&lt;=12,     IF(AND(MOD(D554,1)&gt;=TIME(6,0,0),MOD(D554,1)&lt;TIME(18,0,0)),         IF(H554=2,"Couple Half Day","12H Day"),         IF(H554=2,"Couple Half Night","12H Night")), IF(L554&lt;=24,     IF(AND(MOD(D554,1)&gt;=TIME(6,0,0),MOD(D554,1)&lt;TIME(18,0,0)),         IF(H554=2,"Couple Full Day","24H Day"),         IF(H554=2,"Couple Full Night","24H Night")), "Check Data")))</f>
        <v>12H Night</v>
      </c>
      <c r="L554" s="12" t="n">
        <f aca="false">((INT(E554)+MOD(F554,1))-(INT(C554)+MOD(D554,1)))*24</f>
        <v>12</v>
      </c>
      <c r="M554" s="1" t="n">
        <f aca="false">IFERROR(INDEX(Sheet3!$B$2:$B$500,MATCH(1,(INT(C554)+MOD(D554,1)&lt;INT(Sheet3!$A$2:$A$500)+TIME(18,0,0))*(INT(E554)+MOD(F554,1)&gt;=INT(Sheet3!$A$2:$A$500)),0)),0)</f>
        <v>0</v>
      </c>
      <c r="N554" s="1" t="n">
        <f aca="false">IF(OR( AND(Q554=6,D554&gt;=TIME(17,0,0),OR(K554="12H Night",K554="Couple Half Night",K554="24H Night",K554="Couple Full Night")), AND(Q554=7,D554&gt;=TIME(6,0,0),D554&lt;TIME(12,0,0),OR(K554="12H Day",K554="Couple Half Day",K554="24H Day",K554="Couple Full Day")) ),1,0)</f>
        <v>0</v>
      </c>
      <c r="O554" s="1" t="n">
        <f aca="false">IF(OR( AND(MONTH(C554)=12,DAY(C554)&gt;=26), AND(MONTH(C554)=4,DAY(C554)&gt;=15), MONTH(C554)=5, AND(MONTH(C554)=6,DAY(C554)&lt;=10) ),1,0)</f>
        <v>0</v>
      </c>
      <c r="P554" s="1" t="str">
        <f aca="false">IF(OR(MONTH(C554)=3,MONTH(C554)=4,MONTH(C554)=5,MONTH(C554)=6), "Summer", IF(OR(MONTH(C554)=7,MONTH(C554)=8,MONTH(C554)=9,MONTH(C554)=10), "Monsoon", "Winter"))</f>
        <v>Monsoon</v>
      </c>
      <c r="Q554" s="1" t="n">
        <f aca="false">WEEKDAY(C554,2)</f>
        <v>5</v>
      </c>
      <c r="R554" s="0" t="n">
        <f aca="false">ROUNDDOWN(((INT(C554)+MOD(D554,1))-(INT(I554)+MOD(J554,1))),0)</f>
        <v>0</v>
      </c>
      <c r="S554" s="10"/>
    </row>
    <row r="555" customFormat="false" ht="120.15" hidden="false" customHeight="false" outlineLevel="0" collapsed="false">
      <c r="A555" s="8" t="s">
        <v>994</v>
      </c>
      <c r="B555" s="22" t="s">
        <v>995</v>
      </c>
      <c r="C555" s="18" t="n">
        <v>45962.7916666667</v>
      </c>
      <c r="D555" s="19" t="n">
        <v>45962.7916666667</v>
      </c>
      <c r="E555" s="18" t="n">
        <v>45963.75</v>
      </c>
      <c r="F555" s="19" t="n">
        <v>45963.75</v>
      </c>
      <c r="G555" s="20" t="n">
        <v>6000</v>
      </c>
      <c r="H555" s="8" t="n">
        <v>12</v>
      </c>
      <c r="I555" s="10" t="n">
        <v>45957</v>
      </c>
      <c r="J555" s="11" t="n">
        <v>0.682280092587465</v>
      </c>
      <c r="K555" s="1" t="str">
        <f aca="false">IF(L555&gt;24,     IF(H555=2,"Couple Extended Day","Extended Day"), IF(L555&lt;=12,     IF(AND(MOD(D555,1)&gt;=TIME(6,0,0),MOD(D555,1)&lt;TIME(18,0,0)),         IF(H555=2,"Couple Half Day","12H Day"),         IF(H555=2,"Couple Half Night","12H Night")), IF(L555&lt;=24,     IF(AND(MOD(D555,1)&gt;=TIME(6,0,0),MOD(D555,1)&lt;TIME(18,0,0)),         IF(H555=2,"Couple Full Day","24H Day"),         IF(H555=2,"Couple Full Night","24H Night")), "Check Data")))</f>
        <v>24H Night</v>
      </c>
      <c r="L555" s="12" t="n">
        <f aca="false">((INT(E555)+MOD(F555,1))-(INT(C555)+MOD(D555,1)))*24</f>
        <v>22.9999999990105</v>
      </c>
      <c r="M555" s="1" t="n">
        <f aca="false">IFERROR(INDEX(Sheet3!$B$2:$B$500,MATCH(1,(INT(C555)+MOD(D555,1)&lt;INT(Sheet3!$A$2:$A$500)+TIME(18,0,0))*(INT(E555)+MOD(F555,1)&gt;=INT(Sheet3!$A$2:$A$500)),0)),0)</f>
        <v>0</v>
      </c>
      <c r="N555" s="1" t="n">
        <f aca="false">IF(OR( AND(Q555=6,D555&gt;=TIME(17,0,0),OR(K555="12H Night",K555="Couple Half Night",K555="24H Night",K555="Couple Full Night")), AND(Q555=7,D555&gt;=TIME(6,0,0),D555&lt;TIME(12,0,0),OR(K555="12H Day",K555="Couple Half Day",K555="24H Day",K555="Couple Full Day")) ),1,0)</f>
        <v>1</v>
      </c>
      <c r="O555" s="1" t="n">
        <f aca="false">IF(OR( AND(MONTH(C555)=12,DAY(C555)&gt;=26), AND(MONTH(C555)=4,DAY(C555)&gt;=15), MONTH(C555)=5, AND(MONTH(C555)=6,DAY(C555)&lt;=10) ),1,0)</f>
        <v>0</v>
      </c>
      <c r="P555" s="1" t="str">
        <f aca="false">IF(OR(MONTH(C555)=3,MONTH(C555)=4,MONTH(C555)=5,MONTH(C555)=6), "Summer", IF(OR(MONTH(C555)=7,MONTH(C555)=8,MONTH(C555)=9,MONTH(C555)=10), "Monsoon", "Winter"))</f>
        <v>Winter</v>
      </c>
      <c r="Q555" s="1" t="n">
        <f aca="false">WEEKDAY(C555,2)</f>
        <v>6</v>
      </c>
      <c r="R555" s="0" t="n">
        <f aca="false">ROUNDDOWN(((INT(C555)+MOD(D555,1))-(INT(I555)+MOD(J555,1))),0)</f>
        <v>5</v>
      </c>
      <c r="S555" s="10"/>
    </row>
    <row r="556" customFormat="false" ht="172.75" hidden="false" customHeight="false" outlineLevel="0" collapsed="false">
      <c r="A556" s="8" t="s">
        <v>996</v>
      </c>
      <c r="B556" s="22" t="s">
        <v>997</v>
      </c>
      <c r="C556" s="18" t="n">
        <v>45965.375</v>
      </c>
      <c r="D556" s="19" t="n">
        <v>45965.375</v>
      </c>
      <c r="E556" s="18" t="n">
        <v>45966.3333333333</v>
      </c>
      <c r="F556" s="19" t="n">
        <v>0</v>
      </c>
      <c r="G556" s="20" t="n">
        <v>4000</v>
      </c>
      <c r="H556" s="8" t="n">
        <v>15</v>
      </c>
      <c r="I556" s="10" t="n">
        <v>45960</v>
      </c>
      <c r="J556" s="11" t="n">
        <v>0.56071759259794</v>
      </c>
      <c r="K556" s="1" t="str">
        <f aca="false">IF(L556&gt;24,     IF(H556=2,"Couple Extended Day","Extended Day"), IF(L556&lt;=12,     IF(AND(MOD(D556,1)&gt;=TIME(6,0,0),MOD(D556,1)&lt;TIME(18,0,0)),         IF(H556=2,"Couple Half Day","12H Day"),         IF(H556=2,"Couple Half Night","12H Night")), IF(L556&lt;=24,     IF(AND(MOD(D556,1)&gt;=TIME(6,0,0),MOD(D556,1)&lt;TIME(18,0,0)),         IF(H556=2,"Couple Full Day","24H Day"),         IF(H556=2,"Couple Full Night","24H Night")), "Check Data")))</f>
        <v>24H Day</v>
      </c>
      <c r="L556" s="12" t="n">
        <f aca="false">((INT(E556)+MOD(F556,1))-(INT(C556)+MOD(D556,1)))*24</f>
        <v>15</v>
      </c>
      <c r="M556" s="1" t="n">
        <f aca="false">IFERROR(INDEX(Sheet3!$B$2:$B$500,MATCH(1,(INT(C556)+MOD(D556,1)&lt;INT(Sheet3!$A$2:$A$500)+TIME(18,0,0))*(INT(E556)+MOD(F556,1)&gt;=INT(Sheet3!$A$2:$A$500)),0)),0)</f>
        <v>0</v>
      </c>
      <c r="N556" s="1" t="n">
        <f aca="false">IF(OR( AND(Q556=6,D556&gt;=TIME(17,0,0),OR(K556="12H Night",K556="Couple Half Night",K556="24H Night",K556="Couple Full Night")), AND(Q556=7,D556&gt;=TIME(6,0,0),D556&lt;TIME(12,0,0),OR(K556="12H Day",K556="Couple Half Day",K556="24H Day",K556="Couple Full Day")) ),1,0)</f>
        <v>0</v>
      </c>
      <c r="O556" s="1" t="n">
        <f aca="false">IF(OR( AND(MONTH(C556)=12,DAY(C556)&gt;=26), AND(MONTH(C556)=4,DAY(C556)&gt;=15), MONTH(C556)=5, AND(MONTH(C556)=6,DAY(C556)&lt;=10) ),1,0)</f>
        <v>0</v>
      </c>
      <c r="P556" s="1" t="str">
        <f aca="false">IF(OR(MONTH(C556)=3,MONTH(C556)=4,MONTH(C556)=5,MONTH(C556)=6), "Summer", IF(OR(MONTH(C556)=7,MONTH(C556)=8,MONTH(C556)=9,MONTH(C556)=10), "Monsoon", "Winter"))</f>
        <v>Winter</v>
      </c>
      <c r="Q556" s="1" t="n">
        <f aca="false">WEEKDAY(C556,2)</f>
        <v>2</v>
      </c>
      <c r="R556" s="0" t="n">
        <f aca="false">ROUNDDOWN(((INT(C556)+MOD(D556,1))-(INT(I556)+MOD(J556,1))),0)</f>
        <v>4</v>
      </c>
      <c r="S556" s="10"/>
    </row>
    <row r="557" customFormat="false" ht="159.6" hidden="false" customHeight="false" outlineLevel="0" collapsed="false">
      <c r="A557" s="8" t="s">
        <v>998</v>
      </c>
      <c r="B557" s="22" t="s">
        <v>999</v>
      </c>
      <c r="C557" s="18" t="n">
        <v>45967.375</v>
      </c>
      <c r="D557" s="19" t="n">
        <v>45967.375</v>
      </c>
      <c r="E557" s="18" t="n">
        <v>45967.75</v>
      </c>
      <c r="F557" s="19" t="n">
        <v>45967.75</v>
      </c>
      <c r="G557" s="20" t="n">
        <v>3000</v>
      </c>
      <c r="H557" s="8" t="n">
        <v>12</v>
      </c>
      <c r="I557" s="10" t="n">
        <v>45962</v>
      </c>
      <c r="J557" s="11" t="n">
        <v>0.497071759258692</v>
      </c>
      <c r="K557" s="1" t="str">
        <f aca="false">IF(L557&gt;24,     IF(H557=2,"Couple Extended Day","Extended Day"), IF(L557&lt;=12,     IF(AND(MOD(D557,1)&gt;=TIME(6,0,0),MOD(D557,1)&lt;TIME(18,0,0)),         IF(H557=2,"Couple Half Day","12H Day"),         IF(H557=2,"Couple Half Night","12H Night")), IF(L557&lt;=24,     IF(AND(MOD(D557,1)&gt;=TIME(6,0,0),MOD(D557,1)&lt;TIME(18,0,0)),         IF(H557=2,"Couple Full Day","24H Day"),         IF(H557=2,"Couple Full Night","24H Night")), "Check Data")))</f>
        <v>12H Day</v>
      </c>
      <c r="L557" s="12" t="n">
        <f aca="false">((INT(E557)+MOD(F557,1))-(INT(C557)+MOD(D557,1)))*24</f>
        <v>9</v>
      </c>
      <c r="M557" s="1" t="n">
        <f aca="false">IFERROR(INDEX(Sheet3!$B$2:$B$500,MATCH(1,(INT(C557)+MOD(D557,1)&lt;INT(Sheet3!$A$2:$A$500)+TIME(18,0,0))*(INT(E557)+MOD(F557,1)&gt;=INT(Sheet3!$A$2:$A$500)),0)),0)</f>
        <v>0</v>
      </c>
      <c r="N557" s="1" t="n">
        <f aca="false">IF(OR( AND(Q557=6,D557&gt;=TIME(17,0,0),OR(K557="12H Night",K557="Couple Half Night",K557="24H Night",K557="Couple Full Night")), AND(Q557=7,D557&gt;=TIME(6,0,0),D557&lt;TIME(12,0,0),OR(K557="12H Day",K557="Couple Half Day",K557="24H Day",K557="Couple Full Day")) ),1,0)</f>
        <v>0</v>
      </c>
      <c r="O557" s="1" t="n">
        <f aca="false">IF(OR( AND(MONTH(C557)=12,DAY(C557)&gt;=26), AND(MONTH(C557)=4,DAY(C557)&gt;=15), MONTH(C557)=5, AND(MONTH(C557)=6,DAY(C557)&lt;=10) ),1,0)</f>
        <v>0</v>
      </c>
      <c r="P557" s="1" t="str">
        <f aca="false">IF(OR(MONTH(C557)=3,MONTH(C557)=4,MONTH(C557)=5,MONTH(C557)=6), "Summer", IF(OR(MONTH(C557)=7,MONTH(C557)=8,MONTH(C557)=9,MONTH(C557)=10), "Monsoon", "Winter"))</f>
        <v>Winter</v>
      </c>
      <c r="Q557" s="1" t="n">
        <f aca="false">WEEKDAY(C557,2)</f>
        <v>4</v>
      </c>
      <c r="R557" s="0" t="n">
        <f aca="false">ROUNDDOWN(((INT(C557)+MOD(D557,1))-(INT(I557)+MOD(J557,1))),0)</f>
        <v>4</v>
      </c>
      <c r="S557" s="10"/>
    </row>
    <row r="558" customFormat="false" ht="133.05" hidden="false" customHeight="false" outlineLevel="0" collapsed="false">
      <c r="A558" s="8" t="s">
        <v>1000</v>
      </c>
      <c r="B558" s="22" t="s">
        <v>1001</v>
      </c>
      <c r="C558" s="18" t="n">
        <v>45967.7916666667</v>
      </c>
      <c r="D558" s="19" t="n">
        <v>45967.7916666667</v>
      </c>
      <c r="E558" s="18" t="n">
        <v>45968.75</v>
      </c>
      <c r="F558" s="19" t="n">
        <v>45968.75</v>
      </c>
      <c r="G558" s="20" t="n">
        <v>3500</v>
      </c>
      <c r="H558" s="8" t="n">
        <v>12</v>
      </c>
      <c r="I558" s="10" t="n">
        <v>45966</v>
      </c>
      <c r="J558" s="11" t="n">
        <v>0.942928240736366</v>
      </c>
      <c r="K558" s="1" t="str">
        <f aca="false">IF(L558&gt;24,     IF(H558=2,"Couple Extended Day","Extended Day"), IF(L558&lt;=12,     IF(AND(MOD(D558,1)&gt;=TIME(6,0,0),MOD(D558,1)&lt;TIME(18,0,0)),         IF(H558=2,"Couple Half Day","12H Day"),         IF(H558=2,"Couple Half Night","12H Night")), IF(L558&lt;=24,     IF(AND(MOD(D558,1)&gt;=TIME(6,0,0),MOD(D558,1)&lt;TIME(18,0,0)),         IF(H558=2,"Couple Full Day","24H Day"),         IF(H558=2,"Couple Full Night","24H Night")), "Check Data")))</f>
        <v>24H Night</v>
      </c>
      <c r="L558" s="12" t="n">
        <f aca="false">((INT(E558)+MOD(F558,1))-(INT(C558)+MOD(D558,1)))*24</f>
        <v>22.9999999990105</v>
      </c>
      <c r="M558" s="1" t="n">
        <f aca="false">IFERROR(INDEX(Sheet3!$B$2:$B$500,MATCH(1,(INT(C558)+MOD(D558,1)&lt;INT(Sheet3!$A$2:$A$500)+TIME(18,0,0))*(INT(E558)+MOD(F558,1)&gt;=INT(Sheet3!$A$2:$A$500)),0)),0)</f>
        <v>0</v>
      </c>
      <c r="N558" s="1" t="n">
        <f aca="false">IF(OR( AND(Q558=6,D558&gt;=TIME(17,0,0),OR(K558="12H Night",K558="Couple Half Night",K558="24H Night",K558="Couple Full Night")), AND(Q558=7,D558&gt;=TIME(6,0,0),D558&lt;TIME(12,0,0),OR(K558="12H Day",K558="Couple Half Day",K558="24H Day",K558="Couple Full Day")) ),1,0)</f>
        <v>0</v>
      </c>
      <c r="O558" s="1" t="n">
        <f aca="false">IF(OR( AND(MONTH(C558)=12,DAY(C558)&gt;=26), AND(MONTH(C558)=4,DAY(C558)&gt;=15), MONTH(C558)=5, AND(MONTH(C558)=6,DAY(C558)&lt;=10) ),1,0)</f>
        <v>0</v>
      </c>
      <c r="P558" s="1" t="str">
        <f aca="false">IF(OR(MONTH(C558)=3,MONTH(C558)=4,MONTH(C558)=5,MONTH(C558)=6), "Summer", IF(OR(MONTH(C558)=7,MONTH(C558)=8,MONTH(C558)=9,MONTH(C558)=10), "Monsoon", "Winter"))</f>
        <v>Winter</v>
      </c>
      <c r="Q558" s="1" t="n">
        <f aca="false">WEEKDAY(C558,2)</f>
        <v>4</v>
      </c>
      <c r="R558" s="0" t="n">
        <f aca="false">ROUNDDOWN(((INT(C558)+MOD(D558,1))-(INT(I558)+MOD(J558,1))),0)</f>
        <v>0</v>
      </c>
      <c r="S558" s="10"/>
    </row>
    <row r="559" customFormat="false" ht="133.05" hidden="false" customHeight="false" outlineLevel="0" collapsed="false">
      <c r="A559" s="8" t="s">
        <v>1002</v>
      </c>
      <c r="B559" s="22" t="s">
        <v>1003</v>
      </c>
      <c r="C559" s="18" t="n">
        <v>45968.7916666667</v>
      </c>
      <c r="D559" s="19" t="n">
        <v>45968.7916666667</v>
      </c>
      <c r="E559" s="18" t="n">
        <v>45969.75</v>
      </c>
      <c r="F559" s="19" t="n">
        <v>45969.75</v>
      </c>
      <c r="G559" s="20" t="n">
        <v>3500</v>
      </c>
      <c r="H559" s="8" t="n">
        <v>10</v>
      </c>
      <c r="I559" s="10" t="n">
        <v>45962</v>
      </c>
      <c r="J559" s="11" t="n">
        <v>0.720277777778391</v>
      </c>
      <c r="K559" s="1" t="str">
        <f aca="false">IF(L559&gt;24,     IF(H559=2,"Couple Extended Day","Extended Day"), IF(L559&lt;=12,     IF(AND(MOD(D559,1)&gt;=TIME(6,0,0),MOD(D559,1)&lt;TIME(18,0,0)),         IF(H559=2,"Couple Half Day","12H Day"),         IF(H559=2,"Couple Half Night","12H Night")), IF(L559&lt;=24,     IF(AND(MOD(D559,1)&gt;=TIME(6,0,0),MOD(D559,1)&lt;TIME(18,0,0)),         IF(H559=2,"Couple Full Day","24H Day"),         IF(H559=2,"Couple Full Night","24H Night")), "Check Data")))</f>
        <v>24H Night</v>
      </c>
      <c r="L559" s="12" t="n">
        <f aca="false">((INT(E559)+MOD(F559,1))-(INT(C559)+MOD(D559,1)))*24</f>
        <v>22.9999999990105</v>
      </c>
      <c r="M559" s="1" t="n">
        <f aca="false">IFERROR(INDEX(Sheet3!$B$2:$B$500,MATCH(1,(INT(C559)+MOD(D559,1)&lt;INT(Sheet3!$A$2:$A$500)+TIME(18,0,0))*(INT(E559)+MOD(F559,1)&gt;=INT(Sheet3!$A$2:$A$500)),0)),0)</f>
        <v>0</v>
      </c>
      <c r="N559" s="1" t="n">
        <f aca="false">IF(OR( AND(Q559=6,D559&gt;=TIME(17,0,0),OR(K559="12H Night",K559="Couple Half Night",K559="24H Night",K559="Couple Full Night")), AND(Q559=7,D559&gt;=TIME(6,0,0),D559&lt;TIME(12,0,0),OR(K559="12H Day",K559="Couple Half Day",K559="24H Day",K559="Couple Full Day")) ),1,0)</f>
        <v>0</v>
      </c>
      <c r="O559" s="1" t="n">
        <f aca="false">IF(OR( AND(MONTH(C559)=12,DAY(C559)&gt;=26), AND(MONTH(C559)=4,DAY(C559)&gt;=15), MONTH(C559)=5, AND(MONTH(C559)=6,DAY(C559)&lt;=10) ),1,0)</f>
        <v>0</v>
      </c>
      <c r="P559" s="1" t="str">
        <f aca="false">IF(OR(MONTH(C559)=3,MONTH(C559)=4,MONTH(C559)=5,MONTH(C559)=6), "Summer", IF(OR(MONTH(C559)=7,MONTH(C559)=8,MONTH(C559)=9,MONTH(C559)=10), "Monsoon", "Winter"))</f>
        <v>Winter</v>
      </c>
      <c r="Q559" s="1" t="n">
        <f aca="false">WEEKDAY(C559,2)</f>
        <v>5</v>
      </c>
      <c r="R559" s="0" t="n">
        <f aca="false">ROUNDDOWN(((INT(C559)+MOD(D559,1))-(INT(I559)+MOD(J559,1))),0)</f>
        <v>6</v>
      </c>
      <c r="S559" s="10"/>
    </row>
    <row r="560" customFormat="false" ht="159.6" hidden="false" customHeight="false" outlineLevel="0" collapsed="false">
      <c r="A560" s="8" t="s">
        <v>1004</v>
      </c>
      <c r="B560" s="22" t="s">
        <v>1005</v>
      </c>
      <c r="C560" s="18" t="n">
        <v>45969.7916666667</v>
      </c>
      <c r="D560" s="19" t="n">
        <v>45969.7916666667</v>
      </c>
      <c r="E560" s="18" t="n">
        <v>45970.75</v>
      </c>
      <c r="F560" s="19" t="n">
        <v>45970.75</v>
      </c>
      <c r="G560" s="20" t="n">
        <v>1000</v>
      </c>
      <c r="H560" s="8" t="n">
        <v>15</v>
      </c>
      <c r="I560" s="10" t="n">
        <v>45964</v>
      </c>
      <c r="J560" s="11" t="n">
        <v>0.667291666672095</v>
      </c>
      <c r="K560" s="1" t="str">
        <f aca="false">IF(L560&gt;24,     IF(H560=2,"Couple Extended Day","Extended Day"), IF(L560&lt;=12,     IF(AND(MOD(D560,1)&gt;=TIME(6,0,0),MOD(D560,1)&lt;TIME(18,0,0)),         IF(H560=2,"Couple Half Day","12H Day"),         IF(H560=2,"Couple Half Night","12H Night")), IF(L560&lt;=24,     IF(AND(MOD(D560,1)&gt;=TIME(6,0,0),MOD(D560,1)&lt;TIME(18,0,0)),         IF(H560=2,"Couple Full Day","24H Day"),         IF(H560=2,"Couple Full Night","24H Night")), "Check Data")))</f>
        <v>24H Night</v>
      </c>
      <c r="L560" s="12" t="n">
        <f aca="false">((INT(E560)+MOD(F560,1))-(INT(C560)+MOD(D560,1)))*24</f>
        <v>22.9999999990105</v>
      </c>
      <c r="M560" s="1" t="n">
        <f aca="false">IFERROR(INDEX(Sheet3!$B$2:$B$500,MATCH(1,(INT(C560)+MOD(D560,1)&lt;INT(Sheet3!$A$2:$A$500)+TIME(18,0,0))*(INT(E560)+MOD(F560,1)&gt;=INT(Sheet3!$A$2:$A$500)),0)),0)</f>
        <v>0</v>
      </c>
      <c r="N560" s="1" t="n">
        <f aca="false">IF(OR( AND(Q560=6,D560&gt;=TIME(17,0,0),OR(K560="12H Night",K560="Couple Half Night",K560="24H Night",K560="Couple Full Night")), AND(Q560=7,D560&gt;=TIME(6,0,0),D560&lt;TIME(12,0,0),OR(K560="12H Day",K560="Couple Half Day",K560="24H Day",K560="Couple Full Day")) ),1,0)</f>
        <v>1</v>
      </c>
      <c r="O560" s="1" t="n">
        <f aca="false">IF(OR( AND(MONTH(C560)=12,DAY(C560)&gt;=26), AND(MONTH(C560)=4,DAY(C560)&gt;=15), MONTH(C560)=5, AND(MONTH(C560)=6,DAY(C560)&lt;=10) ),1,0)</f>
        <v>0</v>
      </c>
      <c r="P560" s="1" t="str">
        <f aca="false">IF(OR(MONTH(C560)=3,MONTH(C560)=4,MONTH(C560)=5,MONTH(C560)=6), "Summer", IF(OR(MONTH(C560)=7,MONTH(C560)=8,MONTH(C560)=9,MONTH(C560)=10), "Monsoon", "Winter"))</f>
        <v>Winter</v>
      </c>
      <c r="Q560" s="1" t="n">
        <f aca="false">WEEKDAY(C560,2)</f>
        <v>6</v>
      </c>
      <c r="R560" s="0" t="n">
        <f aca="false">ROUNDDOWN(((INT(C560)+MOD(D560,1))-(INT(I560)+MOD(J560,1))),0)</f>
        <v>5</v>
      </c>
      <c r="S560" s="10"/>
    </row>
    <row r="561" customFormat="false" ht="146.45" hidden="false" customHeight="false" outlineLevel="0" collapsed="false">
      <c r="A561" s="8" t="s">
        <v>1006</v>
      </c>
      <c r="B561" s="22" t="s">
        <v>1007</v>
      </c>
      <c r="C561" s="18" t="n">
        <v>45969.7916666667</v>
      </c>
      <c r="D561" s="19" t="n">
        <v>45969.7916666667</v>
      </c>
      <c r="E561" s="18" t="n">
        <v>45970.75</v>
      </c>
      <c r="F561" s="19" t="n">
        <v>45970.75</v>
      </c>
      <c r="G561" s="20" t="n">
        <v>5500</v>
      </c>
      <c r="H561" s="8" t="n">
        <v>15</v>
      </c>
      <c r="I561" s="10" t="n">
        <v>45959</v>
      </c>
      <c r="J561" s="11" t="n">
        <v>0.687129629630359</v>
      </c>
      <c r="K561" s="1" t="str">
        <f aca="false">IF(L561&gt;24,     IF(H561=2,"Couple Extended Day","Extended Day"), IF(L561&lt;=12,     IF(AND(MOD(D561,1)&gt;=TIME(6,0,0),MOD(D561,1)&lt;TIME(18,0,0)),         IF(H561=2,"Couple Half Day","12H Day"),         IF(H561=2,"Couple Half Night","12H Night")), IF(L561&lt;=24,     IF(AND(MOD(D561,1)&gt;=TIME(6,0,0),MOD(D561,1)&lt;TIME(18,0,0)),         IF(H561=2,"Couple Full Day","24H Day"),         IF(H561=2,"Couple Full Night","24H Night")), "Check Data")))</f>
        <v>24H Night</v>
      </c>
      <c r="L561" s="12" t="n">
        <f aca="false">((INT(E561)+MOD(F561,1))-(INT(C561)+MOD(D561,1)))*24</f>
        <v>22.9999999990105</v>
      </c>
      <c r="M561" s="1" t="n">
        <f aca="false">IFERROR(INDEX(Sheet3!$B$2:$B$500,MATCH(1,(INT(C561)+MOD(D561,1)&lt;INT(Sheet3!$A$2:$A$500)+TIME(18,0,0))*(INT(E561)+MOD(F561,1)&gt;=INT(Sheet3!$A$2:$A$500)),0)),0)</f>
        <v>0</v>
      </c>
      <c r="N561" s="1" t="n">
        <f aca="false">IF(OR( AND(Q561=6,D561&gt;=TIME(17,0,0),OR(K561="12H Night",K561="Couple Half Night",K561="24H Night",K561="Couple Full Night")), AND(Q561=7,D561&gt;=TIME(6,0,0),D561&lt;TIME(12,0,0),OR(K561="12H Day",K561="Couple Half Day",K561="24H Day",K561="Couple Full Day")) ),1,0)</f>
        <v>1</v>
      </c>
      <c r="O561" s="1" t="n">
        <f aca="false">IF(OR( AND(MONTH(C561)=12,DAY(C561)&gt;=26), AND(MONTH(C561)=4,DAY(C561)&gt;=15), MONTH(C561)=5, AND(MONTH(C561)=6,DAY(C561)&lt;=10) ),1,0)</f>
        <v>0</v>
      </c>
      <c r="P561" s="1" t="str">
        <f aca="false">IF(OR(MONTH(C561)=3,MONTH(C561)=4,MONTH(C561)=5,MONTH(C561)=6), "Summer", IF(OR(MONTH(C561)=7,MONTH(C561)=8,MONTH(C561)=9,MONTH(C561)=10), "Monsoon", "Winter"))</f>
        <v>Winter</v>
      </c>
      <c r="Q561" s="1" t="n">
        <f aca="false">WEEKDAY(C561,2)</f>
        <v>6</v>
      </c>
      <c r="R561" s="0" t="n">
        <f aca="false">ROUNDDOWN(((INT(C561)+MOD(D561,1))-(INT(I561)+MOD(J561,1))),0)</f>
        <v>10</v>
      </c>
      <c r="S561" s="10"/>
    </row>
    <row r="562" customFormat="false" ht="172.75" hidden="false" customHeight="false" outlineLevel="0" collapsed="false">
      <c r="A562" s="8" t="s">
        <v>1008</v>
      </c>
      <c r="B562" s="22" t="s">
        <v>1009</v>
      </c>
      <c r="C562" s="18" t="n">
        <v>45973.375</v>
      </c>
      <c r="D562" s="19" t="n">
        <v>45973.375</v>
      </c>
      <c r="E562" s="18" t="n">
        <v>45973.75</v>
      </c>
      <c r="F562" s="19" t="n">
        <v>45973.75</v>
      </c>
      <c r="G562" s="20" t="n">
        <v>700</v>
      </c>
      <c r="I562" s="10" t="n">
        <v>45972</v>
      </c>
      <c r="J562" s="11" t="n">
        <v>0.945902777777523</v>
      </c>
      <c r="K562" s="1" t="str">
        <f aca="false">IF(L562&gt;24,     IF(H562=2,"Couple Extended Day","Extended Day"), IF(L562&lt;=12,     IF(AND(MOD(D562,1)&gt;=TIME(6,0,0),MOD(D562,1)&lt;TIME(18,0,0)),         IF(H562=2,"Couple Half Day","12H Day"),         IF(H562=2,"Couple Half Night","12H Night")), IF(L562&lt;=24,     IF(AND(MOD(D562,1)&gt;=TIME(6,0,0),MOD(D562,1)&lt;TIME(18,0,0)),         IF(H562=2,"Couple Full Day","24H Day"),         IF(H562=2,"Couple Full Night","24H Night")), "Check Data")))</f>
        <v>12H Day</v>
      </c>
      <c r="L562" s="12" t="n">
        <f aca="false">((INT(E562)+MOD(F562,1))-(INT(C562)+MOD(D562,1)))*24</f>
        <v>9</v>
      </c>
      <c r="M562" s="1" t="n">
        <f aca="false">IFERROR(INDEX(Sheet3!$B$2:$B$500,MATCH(1,(INT(C562)+MOD(D562,1)&lt;INT(Sheet3!$A$2:$A$500)+TIME(18,0,0))*(INT(E562)+MOD(F562,1)&gt;=INT(Sheet3!$A$2:$A$500)),0)),0)</f>
        <v>0</v>
      </c>
      <c r="N562" s="1" t="n">
        <f aca="false">IF(OR( AND(Q562=6,D562&gt;=TIME(17,0,0),OR(K562="12H Night",K562="Couple Half Night",K562="24H Night",K562="Couple Full Night")), AND(Q562=7,D562&gt;=TIME(6,0,0),D562&lt;TIME(12,0,0),OR(K562="12H Day",K562="Couple Half Day",K562="24H Day",K562="Couple Full Day")) ),1,0)</f>
        <v>0</v>
      </c>
      <c r="O562" s="1" t="n">
        <f aca="false">IF(OR( AND(MONTH(C562)=12,DAY(C562)&gt;=26), AND(MONTH(C562)=4,DAY(C562)&gt;=15), MONTH(C562)=5, AND(MONTH(C562)=6,DAY(C562)&lt;=10) ),1,0)</f>
        <v>0</v>
      </c>
      <c r="P562" s="1" t="str">
        <f aca="false">IF(OR(MONTH(C562)=3,MONTH(C562)=4,MONTH(C562)=5,MONTH(C562)=6), "Summer", IF(OR(MONTH(C562)=7,MONTH(C562)=8,MONTH(C562)=9,MONTH(C562)=10), "Monsoon", "Winter"))</f>
        <v>Winter</v>
      </c>
      <c r="Q562" s="1" t="n">
        <f aca="false">WEEKDAY(C562,2)</f>
        <v>3</v>
      </c>
      <c r="R562" s="0" t="n">
        <f aca="false">ROUNDDOWN(((INT(C562)+MOD(D562,1))-(INT(I562)+MOD(J562,1))),0)</f>
        <v>0</v>
      </c>
      <c r="S562" s="10"/>
    </row>
    <row r="563" customFormat="false" ht="212.2" hidden="false" customHeight="false" outlineLevel="0" collapsed="false">
      <c r="A563" s="8" t="s">
        <v>150</v>
      </c>
      <c r="B563" s="22" t="s">
        <v>1010</v>
      </c>
      <c r="C563" s="18" t="n">
        <v>45981.375</v>
      </c>
      <c r="D563" s="19" t="n">
        <v>45981.375</v>
      </c>
      <c r="E563" s="18" t="n">
        <v>45981.75</v>
      </c>
      <c r="F563" s="19" t="n">
        <v>45981.75</v>
      </c>
      <c r="G563" s="20" t="n">
        <v>2500</v>
      </c>
      <c r="H563" s="8" t="n">
        <v>4</v>
      </c>
      <c r="I563" s="10" t="n">
        <v>45977</v>
      </c>
      <c r="J563" s="11" t="n">
        <v>0.889814814814595</v>
      </c>
      <c r="K563" s="1" t="str">
        <f aca="false">IF(L563&gt;24,     IF(H563=2,"Couple Extended Day","Extended Day"), IF(L563&lt;=12,     IF(AND(MOD(D563,1)&gt;=TIME(6,0,0),MOD(D563,1)&lt;TIME(18,0,0)),         IF(H563=2,"Couple Half Day","12H Day"),         IF(H563=2,"Couple Half Night","12H Night")), IF(L563&lt;=24,     IF(AND(MOD(D563,1)&gt;=TIME(6,0,0),MOD(D563,1)&lt;TIME(18,0,0)),         IF(H563=2,"Couple Full Day","24H Day"),         IF(H563=2,"Couple Full Night","24H Night")), "Check Data")))</f>
        <v>12H Day</v>
      </c>
      <c r="L563" s="12" t="n">
        <f aca="false">((INT(E563)+MOD(F563,1))-(INT(C563)+MOD(D563,1)))*24</f>
        <v>9</v>
      </c>
      <c r="M563" s="1" t="n">
        <f aca="false">IFERROR(INDEX(Sheet3!$B$2:$B$500,MATCH(1,(INT(C563)+MOD(D563,1)&lt;INT(Sheet3!$A$2:$A$500)+TIME(18,0,0))*(INT(E563)+MOD(F563,1)&gt;=INT(Sheet3!$A$2:$A$500)),0)),0)</f>
        <v>0</v>
      </c>
      <c r="N563" s="1" t="n">
        <f aca="false">IF(OR( AND(Q563=6,D563&gt;=TIME(17,0,0),OR(K563="12H Night",K563="Couple Half Night",K563="24H Night",K563="Couple Full Night")), AND(Q563=7,D563&gt;=TIME(6,0,0),D563&lt;TIME(12,0,0),OR(K563="12H Day",K563="Couple Half Day",K563="24H Day",K563="Couple Full Day")) ),1,0)</f>
        <v>0</v>
      </c>
      <c r="O563" s="1" t="n">
        <f aca="false">IF(OR( AND(MONTH(C563)=12,DAY(C563)&gt;=26), AND(MONTH(C563)=4,DAY(C563)&gt;=15), MONTH(C563)=5, AND(MONTH(C563)=6,DAY(C563)&lt;=10) ),1,0)</f>
        <v>0</v>
      </c>
      <c r="P563" s="1" t="str">
        <f aca="false">IF(OR(MONTH(C563)=3,MONTH(C563)=4,MONTH(C563)=5,MONTH(C563)=6), "Summer", IF(OR(MONTH(C563)=7,MONTH(C563)=8,MONTH(C563)=9,MONTH(C563)=10), "Monsoon", "Winter"))</f>
        <v>Winter</v>
      </c>
      <c r="Q563" s="1" t="n">
        <f aca="false">WEEKDAY(C563,2)</f>
        <v>4</v>
      </c>
      <c r="R563" s="0" t="n">
        <f aca="false">ROUNDDOWN(((INT(C563)+MOD(D563,1))-(INT(I563)+MOD(J563,1))),0)</f>
        <v>3</v>
      </c>
      <c r="S563" s="10"/>
    </row>
    <row r="564" customFormat="false" ht="121.1" hidden="false" customHeight="false" outlineLevel="0" collapsed="false">
      <c r="A564" s="8" t="s">
        <v>1011</v>
      </c>
      <c r="B564" s="22" t="s">
        <v>1012</v>
      </c>
      <c r="C564" s="18" t="n">
        <v>45982.375</v>
      </c>
      <c r="D564" s="19" t="n">
        <v>45982.375</v>
      </c>
      <c r="E564" s="18" t="n">
        <v>45982.75</v>
      </c>
      <c r="F564" s="19" t="n">
        <v>45982.75</v>
      </c>
      <c r="G564" s="20" t="n">
        <v>2000</v>
      </c>
      <c r="H564" s="8" t="n">
        <v>2</v>
      </c>
      <c r="I564" s="10" t="n">
        <v>45981</v>
      </c>
      <c r="J564" s="11" t="n">
        <v>0.501527777778391</v>
      </c>
      <c r="K564" s="1" t="str">
        <f aca="false">IF(L564&gt;24,     IF(H564=2,"Couple Extended Day","Extended Day"), IF(L564&lt;=12,     IF(AND(MOD(D564,1)&gt;=TIME(6,0,0),MOD(D564,1)&lt;TIME(18,0,0)),         IF(H564=2,"Couple Half Day","12H Day"),         IF(H564=2,"Couple Half Night","12H Night")), IF(L564&lt;=24,     IF(AND(MOD(D564,1)&gt;=TIME(6,0,0),MOD(D564,1)&lt;TIME(18,0,0)),         IF(H564=2,"Couple Full Day","24H Day"),         IF(H564=2,"Couple Full Night","24H Night")), "Check Data")))</f>
        <v>Couple Half Day</v>
      </c>
      <c r="L564" s="12" t="n">
        <f aca="false">((INT(E564)+MOD(F564,1))-(INT(C564)+MOD(D564,1)))*24</f>
        <v>9</v>
      </c>
      <c r="M564" s="1" t="n">
        <f aca="false">IFERROR(INDEX(Sheet3!$B$2:$B$500,MATCH(1,(INT(C564)+MOD(D564,1)&lt;INT(Sheet3!$A$2:$A$500)+TIME(18,0,0))*(INT(E564)+MOD(F564,1)&gt;=INT(Sheet3!$A$2:$A$500)),0)),0)</f>
        <v>0</v>
      </c>
      <c r="N564" s="1" t="n">
        <f aca="false">IF(OR( AND(Q564=6,D564&gt;=TIME(17,0,0),OR(K564="12H Night",K564="Couple Half Night",K564="24H Night",K564="Couple Full Night")), AND(Q564=7,D564&gt;=TIME(6,0,0),D564&lt;TIME(12,0,0),OR(K564="12H Day",K564="Couple Half Day",K564="24H Day",K564="Couple Full Day")) ),1,0)</f>
        <v>0</v>
      </c>
      <c r="O564" s="1" t="n">
        <f aca="false">IF(OR( AND(MONTH(C564)=12,DAY(C564)&gt;=26), AND(MONTH(C564)=4,DAY(C564)&gt;=15), MONTH(C564)=5, AND(MONTH(C564)=6,DAY(C564)&lt;=10) ),1,0)</f>
        <v>0</v>
      </c>
      <c r="P564" s="1" t="str">
        <f aca="false">IF(OR(MONTH(C564)=3,MONTH(C564)=4,MONTH(C564)=5,MONTH(C564)=6), "Summer", IF(OR(MONTH(C564)=7,MONTH(C564)=8,MONTH(C564)=9,MONTH(C564)=10), "Monsoon", "Winter"))</f>
        <v>Winter</v>
      </c>
      <c r="Q564" s="1" t="n">
        <f aca="false">WEEKDAY(C564,2)</f>
        <v>5</v>
      </c>
      <c r="R564" s="0" t="n">
        <f aca="false">ROUNDDOWN(((INT(C564)+MOD(D564,1))-(INT(I564)+MOD(J564,1))),0)</f>
        <v>0</v>
      </c>
      <c r="S564" s="10"/>
    </row>
    <row r="565" customFormat="false" ht="121.1" hidden="false" customHeight="false" outlineLevel="0" collapsed="false">
      <c r="A565" s="8" t="s">
        <v>665</v>
      </c>
      <c r="B565" s="22" t="s">
        <v>1013</v>
      </c>
      <c r="C565" s="18" t="n">
        <v>45982.875</v>
      </c>
      <c r="D565" s="19" t="n">
        <v>45982.875</v>
      </c>
      <c r="E565" s="18" t="n">
        <v>45983.3333333333</v>
      </c>
      <c r="F565" s="19" t="n">
        <v>0</v>
      </c>
      <c r="G565" s="20" t="n">
        <v>2000</v>
      </c>
      <c r="H565" s="8" t="n">
        <v>2</v>
      </c>
      <c r="I565" s="10" t="n">
        <v>45981</v>
      </c>
      <c r="J565" s="11" t="n">
        <v>0.984675925923507</v>
      </c>
      <c r="K565" s="1" t="str">
        <f aca="false">IF(L565&gt;24,     IF(H565=2,"Couple Extended Day","Extended Day"), IF(L565&lt;=12,     IF(AND(MOD(D565,1)&gt;=TIME(6,0,0),MOD(D565,1)&lt;TIME(18,0,0)),         IF(H565=2,"Couple Half Day","12H Day"),         IF(H565=2,"Couple Half Night","12H Night")), IF(L565&lt;=24,     IF(AND(MOD(D565,1)&gt;=TIME(6,0,0),MOD(D565,1)&lt;TIME(18,0,0)),         IF(H565=2,"Couple Full Day","24H Day"),         IF(H565=2,"Couple Full Night","24H Night")), "Check Data")))</f>
        <v>Couple Half Night</v>
      </c>
      <c r="L565" s="12" t="n">
        <f aca="false">((INT(E565)+MOD(F565,1))-(INT(C565)+MOD(D565,1)))*24</f>
        <v>3</v>
      </c>
      <c r="M565" s="1" t="n">
        <f aca="false">IFERROR(INDEX(Sheet3!$B$2:$B$500,MATCH(1,(INT(C565)+MOD(D565,1)&lt;INT(Sheet3!$A$2:$A$500)+TIME(18,0,0))*(INT(E565)+MOD(F565,1)&gt;=INT(Sheet3!$A$2:$A$500)),0)),0)</f>
        <v>0</v>
      </c>
      <c r="N565" s="1" t="n">
        <f aca="false">IF(OR( AND(Q565=6,D565&gt;=TIME(17,0,0),OR(K565="12H Night",K565="Couple Half Night",K565="24H Night",K565="Couple Full Night")), AND(Q565=7,D565&gt;=TIME(6,0,0),D565&lt;TIME(12,0,0),OR(K565="12H Day",K565="Couple Half Day",K565="24H Day",K565="Couple Full Day")) ),1,0)</f>
        <v>0</v>
      </c>
      <c r="O565" s="1" t="n">
        <f aca="false">IF(OR( AND(MONTH(C565)=12,DAY(C565)&gt;=26), AND(MONTH(C565)=4,DAY(C565)&gt;=15), MONTH(C565)=5, AND(MONTH(C565)=6,DAY(C565)&lt;=10) ),1,0)</f>
        <v>0</v>
      </c>
      <c r="P565" s="1" t="str">
        <f aca="false">IF(OR(MONTH(C565)=3,MONTH(C565)=4,MONTH(C565)=5,MONTH(C565)=6), "Summer", IF(OR(MONTH(C565)=7,MONTH(C565)=8,MONTH(C565)=9,MONTH(C565)=10), "Monsoon", "Winter"))</f>
        <v>Winter</v>
      </c>
      <c r="Q565" s="1" t="n">
        <f aca="false">WEEKDAY(C565,2)</f>
        <v>5</v>
      </c>
      <c r="R565" s="0" t="n">
        <f aca="false">ROUNDDOWN(((INT(C565)+MOD(D565,1))-(INT(I565)+MOD(J565,1))),0)</f>
        <v>0</v>
      </c>
      <c r="S565" s="10"/>
    </row>
    <row r="566" customFormat="false" ht="133.05" hidden="false" customHeight="false" outlineLevel="0" collapsed="false">
      <c r="A566" s="8" t="s">
        <v>1014</v>
      </c>
      <c r="B566" s="22" t="s">
        <v>922</v>
      </c>
      <c r="C566" s="18" t="n">
        <v>45983.375</v>
      </c>
      <c r="D566" s="19" t="n">
        <v>45983.375</v>
      </c>
      <c r="E566" s="18" t="n">
        <v>45983.75</v>
      </c>
      <c r="F566" s="19" t="n">
        <v>45983.75</v>
      </c>
      <c r="G566" s="20" t="n">
        <v>2000</v>
      </c>
      <c r="H566" s="8" t="n">
        <v>2</v>
      </c>
      <c r="I566" s="10" t="n">
        <v>45982</v>
      </c>
      <c r="J566" s="11" t="n">
        <v>0.722071759257234</v>
      </c>
      <c r="K566" s="1" t="str">
        <f aca="false">IF(L566&gt;24,     IF(H566=2,"Couple Extended Day","Extended Day"), IF(L566&lt;=12,     IF(AND(MOD(D566,1)&gt;=TIME(6,0,0),MOD(D566,1)&lt;TIME(18,0,0)),         IF(H566=2,"Couple Half Day","12H Day"),         IF(H566=2,"Couple Half Night","12H Night")), IF(L566&lt;=24,     IF(AND(MOD(D566,1)&gt;=TIME(6,0,0),MOD(D566,1)&lt;TIME(18,0,0)),         IF(H566=2,"Couple Full Day","24H Day"),         IF(H566=2,"Couple Full Night","24H Night")), "Check Data")))</f>
        <v>Couple Half Day</v>
      </c>
      <c r="L566" s="12" t="n">
        <f aca="false">((INT(E566)+MOD(F566,1))-(INT(C566)+MOD(D566,1)))*24</f>
        <v>9</v>
      </c>
      <c r="M566" s="1" t="n">
        <f aca="false">IFERROR(INDEX(Sheet3!$B$2:$B$500,MATCH(1,(INT(C566)+MOD(D566,1)&lt;INT(Sheet3!$A$2:$A$500)+TIME(18,0,0))*(INT(E566)+MOD(F566,1)&gt;=INT(Sheet3!$A$2:$A$500)),0)),0)</f>
        <v>0</v>
      </c>
      <c r="N566" s="1" t="n">
        <f aca="false">IF(OR( AND(Q566=6,D566&gt;=TIME(17,0,0),OR(K566="12H Night",K566="Couple Half Night",K566="24H Night",K566="Couple Full Night")), AND(Q566=7,D566&gt;=TIME(6,0,0),D566&lt;TIME(12,0,0),OR(K566="12H Day",K566="Couple Half Day",K566="24H Day",K566="Couple Full Day")) ),1,0)</f>
        <v>0</v>
      </c>
      <c r="O566" s="1" t="n">
        <f aca="false">IF(OR( AND(MONTH(C566)=12,DAY(C566)&gt;=26), AND(MONTH(C566)=4,DAY(C566)&gt;=15), MONTH(C566)=5, AND(MONTH(C566)=6,DAY(C566)&lt;=10) ),1,0)</f>
        <v>0</v>
      </c>
      <c r="P566" s="1" t="str">
        <f aca="false">IF(OR(MONTH(C566)=3,MONTH(C566)=4,MONTH(C566)=5,MONTH(C566)=6), "Summer", IF(OR(MONTH(C566)=7,MONTH(C566)=8,MONTH(C566)=9,MONTH(C566)=10), "Monsoon", "Winter"))</f>
        <v>Winter</v>
      </c>
      <c r="Q566" s="1" t="n">
        <f aca="false">WEEKDAY(C566,2)</f>
        <v>6</v>
      </c>
      <c r="R566" s="0" t="n">
        <f aca="false">ROUNDDOWN(((INT(C566)+MOD(D566,1))-(INT(I566)+MOD(J566,1))),0)</f>
        <v>0</v>
      </c>
      <c r="S566" s="10"/>
    </row>
    <row r="567" customFormat="false" ht="133.05" hidden="false" customHeight="false" outlineLevel="0" collapsed="false">
      <c r="A567" s="8" t="s">
        <v>1015</v>
      </c>
      <c r="B567" s="22" t="s">
        <v>1016</v>
      </c>
      <c r="C567" s="18" t="n">
        <v>45983.7916666667</v>
      </c>
      <c r="D567" s="19" t="n">
        <v>45983.7916666667</v>
      </c>
      <c r="E567" s="18" t="n">
        <v>45984.75</v>
      </c>
      <c r="F567" s="19" t="n">
        <v>45984.75</v>
      </c>
      <c r="G567" s="20" t="n">
        <v>5500</v>
      </c>
      <c r="H567" s="8" t="n">
        <v>18</v>
      </c>
      <c r="I567" s="10" t="n">
        <v>45981</v>
      </c>
      <c r="J567" s="11" t="n">
        <v>0.73342592592235</v>
      </c>
      <c r="K567" s="1" t="str">
        <f aca="false">IF(L567&gt;24,     IF(H567=2,"Couple Extended Day","Extended Day"), IF(L567&lt;=12,     IF(AND(MOD(D567,1)&gt;=TIME(6,0,0),MOD(D567,1)&lt;TIME(18,0,0)),         IF(H567=2,"Couple Half Day","12H Day"),         IF(H567=2,"Couple Half Night","12H Night")), IF(L567&lt;=24,     IF(AND(MOD(D567,1)&gt;=TIME(6,0,0),MOD(D567,1)&lt;TIME(18,0,0)),         IF(H567=2,"Couple Full Day","24H Day"),         IF(H567=2,"Couple Full Night","24H Night")), "Check Data")))</f>
        <v>24H Night</v>
      </c>
      <c r="L567" s="12" t="n">
        <f aca="false">((INT(E567)+MOD(F567,1))-(INT(C567)+MOD(D567,1)))*24</f>
        <v>22.9999999990105</v>
      </c>
      <c r="M567" s="1" t="n">
        <f aca="false">IFERROR(INDEX(Sheet3!$B$2:$B$500,MATCH(1,(INT(C567)+MOD(D567,1)&lt;INT(Sheet3!$A$2:$A$500)+TIME(18,0,0))*(INT(E567)+MOD(F567,1)&gt;=INT(Sheet3!$A$2:$A$500)),0)),0)</f>
        <v>0</v>
      </c>
      <c r="N567" s="1" t="n">
        <f aca="false">IF(OR( AND(Q567=6,D567&gt;=TIME(17,0,0),OR(K567="12H Night",K567="Couple Half Night",K567="24H Night",K567="Couple Full Night")), AND(Q567=7,D567&gt;=TIME(6,0,0),D567&lt;TIME(12,0,0),OR(K567="12H Day",K567="Couple Half Day",K567="24H Day",K567="Couple Full Day")) ),1,0)</f>
        <v>1</v>
      </c>
      <c r="O567" s="1" t="n">
        <f aca="false">IF(OR( AND(MONTH(C567)=12,DAY(C567)&gt;=26), AND(MONTH(C567)=4,DAY(C567)&gt;=15), MONTH(C567)=5, AND(MONTH(C567)=6,DAY(C567)&lt;=10) ),1,0)</f>
        <v>0</v>
      </c>
      <c r="P567" s="1" t="str">
        <f aca="false">IF(OR(MONTH(C567)=3,MONTH(C567)=4,MONTH(C567)=5,MONTH(C567)=6), "Summer", IF(OR(MONTH(C567)=7,MONTH(C567)=8,MONTH(C567)=9,MONTH(C567)=10), "Monsoon", "Winter"))</f>
        <v>Winter</v>
      </c>
      <c r="Q567" s="1" t="n">
        <f aca="false">WEEKDAY(C567,2)</f>
        <v>6</v>
      </c>
      <c r="R567" s="0" t="n">
        <f aca="false">ROUNDDOWN(((INT(C567)+MOD(D567,1))-(INT(I567)+MOD(J567,1))),0)</f>
        <v>2</v>
      </c>
      <c r="S567" s="10"/>
    </row>
    <row r="568" customFormat="false" ht="93.85" hidden="false" customHeight="false" outlineLevel="0" collapsed="false">
      <c r="A568" s="8" t="s">
        <v>1017</v>
      </c>
      <c r="B568" s="22" t="s">
        <v>1018</v>
      </c>
      <c r="C568" s="18" t="n">
        <v>45986.5416666667</v>
      </c>
      <c r="D568" s="19" t="n">
        <v>45986.5416666667</v>
      </c>
      <c r="E568" s="18" t="n">
        <v>45986.75</v>
      </c>
      <c r="F568" s="19" t="n">
        <v>45986.75</v>
      </c>
      <c r="G568" s="20" t="n">
        <v>1500</v>
      </c>
      <c r="H568" s="8" t="n">
        <v>2</v>
      </c>
      <c r="I568" s="10" t="n">
        <v>45986</v>
      </c>
      <c r="J568" s="11" t="n">
        <v>0.637824074074155</v>
      </c>
      <c r="K568" s="1" t="str">
        <f aca="false">IF(L568&gt;24,     IF(H568=2,"Couple Extended Day","Extended Day"), IF(L568&lt;=12,     IF(AND(MOD(D568,1)&gt;=TIME(6,0,0),MOD(D568,1)&lt;TIME(18,0,0)),         IF(H568=2,"Couple Half Day","12H Day"),         IF(H568=2,"Couple Half Night","12H Night")), IF(L568&lt;=24,     IF(AND(MOD(D568,1)&gt;=TIME(6,0,0),MOD(D568,1)&lt;TIME(18,0,0)),         IF(H568=2,"Couple Full Day","24H Day"),         IF(H568=2,"Couple Full Night","24H Night")), "Check Data")))</f>
        <v>Couple Half Day</v>
      </c>
      <c r="L568" s="12" t="n">
        <f aca="false">((INT(E568)+MOD(F568,1))-(INT(C568)+MOD(D568,1)))*24</f>
        <v>4.99999999901047</v>
      </c>
      <c r="M568" s="1" t="n">
        <f aca="false">IFERROR(INDEX(Sheet3!$B$2:$B$500,MATCH(1,(INT(C568)+MOD(D568,1)&lt;INT(Sheet3!$A$2:$A$500)+TIME(18,0,0))*(INT(E568)+MOD(F568,1)&gt;=INT(Sheet3!$A$2:$A$500)),0)),0)</f>
        <v>0</v>
      </c>
      <c r="N568" s="1" t="n">
        <f aca="false">IF(OR( AND(Q568=6,D568&gt;=TIME(17,0,0),OR(K568="12H Night",K568="Couple Half Night",K568="24H Night",K568="Couple Full Night")), AND(Q568=7,D568&gt;=TIME(6,0,0),D568&lt;TIME(12,0,0),OR(K568="12H Day",K568="Couple Half Day",K568="24H Day",K568="Couple Full Day")) ),1,0)</f>
        <v>0</v>
      </c>
      <c r="O568" s="1" t="n">
        <f aca="false">IF(OR( AND(MONTH(C568)=12,DAY(C568)&gt;=26), AND(MONTH(C568)=4,DAY(C568)&gt;=15), MONTH(C568)=5, AND(MONTH(C568)=6,DAY(C568)&lt;=10) ),1,0)</f>
        <v>0</v>
      </c>
      <c r="P568" s="1" t="str">
        <f aca="false">IF(OR(MONTH(C568)=3,MONTH(C568)=4,MONTH(C568)=5,MONTH(C568)=6), "Summer", IF(OR(MONTH(C568)=7,MONTH(C568)=8,MONTH(C568)=9,MONTH(C568)=10), "Monsoon", "Winter"))</f>
        <v>Winter</v>
      </c>
      <c r="Q568" s="1" t="n">
        <f aca="false">WEEKDAY(C568,2)</f>
        <v>2</v>
      </c>
      <c r="R568" s="0" t="n">
        <f aca="false">ROUNDDOWN(((INT(C568)+MOD(D568,1))-(INT(I568)+MOD(J568,1))),0)</f>
        <v>-0</v>
      </c>
      <c r="S568" s="10"/>
    </row>
    <row r="569" customFormat="false" ht="199.05" hidden="false" customHeight="false" outlineLevel="0" collapsed="false">
      <c r="A569" s="8" t="s">
        <v>971</v>
      </c>
      <c r="B569" s="22" t="s">
        <v>1019</v>
      </c>
      <c r="C569" s="18" t="n">
        <v>45987.375</v>
      </c>
      <c r="D569" s="19" t="n">
        <v>45987.375</v>
      </c>
      <c r="E569" s="18" t="n">
        <v>45987.75</v>
      </c>
      <c r="F569" s="19" t="n">
        <v>45987.75</v>
      </c>
      <c r="G569" s="20" t="n">
        <v>1500</v>
      </c>
      <c r="H569" s="8" t="n">
        <v>2</v>
      </c>
      <c r="I569" s="10" t="n">
        <v>45986</v>
      </c>
      <c r="J569" s="11" t="n">
        <v>0.639965277776354</v>
      </c>
      <c r="K569" s="1" t="str">
        <f aca="false">IF(L569&gt;24,     IF(H569=2,"Couple Extended Day","Extended Day"), IF(L569&lt;=12,     IF(AND(MOD(D569,1)&gt;=TIME(6,0,0),MOD(D569,1)&lt;TIME(18,0,0)),         IF(H569=2,"Couple Half Day","12H Day"),         IF(H569=2,"Couple Half Night","12H Night")), IF(L569&lt;=24,     IF(AND(MOD(D569,1)&gt;=TIME(6,0,0),MOD(D569,1)&lt;TIME(18,0,0)),         IF(H569=2,"Couple Full Day","24H Day"),         IF(H569=2,"Couple Full Night","24H Night")), "Check Data")))</f>
        <v>Couple Half Day</v>
      </c>
      <c r="L569" s="12" t="n">
        <f aca="false">((INT(E569)+MOD(F569,1))-(INT(C569)+MOD(D569,1)))*24</f>
        <v>9</v>
      </c>
      <c r="M569" s="1" t="n">
        <f aca="false">IFERROR(INDEX(Sheet3!$B$2:$B$500,MATCH(1,(INT(C569)+MOD(D569,1)&lt;INT(Sheet3!$A$2:$A$500)+TIME(18,0,0))*(INT(E569)+MOD(F569,1)&gt;=INT(Sheet3!$A$2:$A$500)),0)),0)</f>
        <v>0</v>
      </c>
      <c r="N569" s="1" t="n">
        <f aca="false">IF(OR( AND(Q569=6,D569&gt;=TIME(17,0,0),OR(K569="12H Night",K569="Couple Half Night",K569="24H Night",K569="Couple Full Night")), AND(Q569=7,D569&gt;=TIME(6,0,0),D569&lt;TIME(12,0,0),OR(K569="12H Day",K569="Couple Half Day",K569="24H Day",K569="Couple Full Day")) ),1,0)</f>
        <v>0</v>
      </c>
      <c r="O569" s="1" t="n">
        <f aca="false">IF(OR( AND(MONTH(C569)=12,DAY(C569)&gt;=26), AND(MONTH(C569)=4,DAY(C569)&gt;=15), MONTH(C569)=5, AND(MONTH(C569)=6,DAY(C569)&lt;=10) ),1,0)</f>
        <v>0</v>
      </c>
      <c r="P569" s="1" t="str">
        <f aca="false">IF(OR(MONTH(C569)=3,MONTH(C569)=4,MONTH(C569)=5,MONTH(C569)=6), "Summer", IF(OR(MONTH(C569)=7,MONTH(C569)=8,MONTH(C569)=9,MONTH(C569)=10), "Monsoon", "Winter"))</f>
        <v>Winter</v>
      </c>
      <c r="Q569" s="1" t="n">
        <f aca="false">WEEKDAY(C569,2)</f>
        <v>3</v>
      </c>
      <c r="R569" s="0" t="n">
        <f aca="false">ROUNDDOWN(((INT(C569)+MOD(D569,1))-(INT(I569)+MOD(J569,1))),0)</f>
        <v>0</v>
      </c>
      <c r="S569" s="10"/>
    </row>
    <row r="570" customFormat="false" ht="133.05" hidden="false" customHeight="false" outlineLevel="0" collapsed="false">
      <c r="A570" s="8" t="s">
        <v>1020</v>
      </c>
      <c r="B570" s="22" t="s">
        <v>1021</v>
      </c>
      <c r="C570" s="18" t="n">
        <v>45988.375</v>
      </c>
      <c r="D570" s="19" t="n">
        <v>45988.375</v>
      </c>
      <c r="E570" s="18" t="n">
        <v>45988.7083333333</v>
      </c>
      <c r="F570" s="19" t="n">
        <v>0</v>
      </c>
      <c r="G570" s="20" t="n">
        <v>1500</v>
      </c>
      <c r="H570" s="8" t="n">
        <v>2</v>
      </c>
      <c r="I570" s="10" t="n">
        <v>45987</v>
      </c>
      <c r="J570" s="11" t="n">
        <v>0.881909722222188</v>
      </c>
      <c r="K570" s="1" t="str">
        <f aca="false">IF(L570&gt;24,     IF(H570=2,"Couple Extended Day","Extended Day"), IF(L570&lt;=12,     IF(AND(MOD(D570,1)&gt;=TIME(6,0,0),MOD(D570,1)&lt;TIME(18,0,0)),         IF(H570=2,"Couple Half Day","12H Day"),         IF(H570=2,"Couple Half Night","12H Night")), IF(L570&lt;=24,     IF(AND(MOD(D570,1)&gt;=TIME(6,0,0),MOD(D570,1)&lt;TIME(18,0,0)),         IF(H570=2,"Couple Full Day","24H Day"),         IF(H570=2,"Couple Full Night","24H Night")), "Check Data")))</f>
        <v>Couple Half Day</v>
      </c>
      <c r="L570" s="12" t="n">
        <f aca="false">((INT(E570)+MOD(F570,1))-(INT(C570)+MOD(D570,1)))*24</f>
        <v>-9</v>
      </c>
      <c r="M570" s="1" t="n">
        <f aca="false">IFERROR(INDEX(Sheet3!$B$2:$B$500,MATCH(1,(INT(C570)+MOD(D570,1)&lt;INT(Sheet3!$A$2:$A$500)+TIME(18,0,0))*(INT(E570)+MOD(F570,1)&gt;=INT(Sheet3!$A$2:$A$500)),0)),0)</f>
        <v>0</v>
      </c>
      <c r="N570" s="1" t="n">
        <f aca="false">IF(OR( AND(Q570=6,D570&gt;=TIME(17,0,0),OR(K570="12H Night",K570="Couple Half Night",K570="24H Night",K570="Couple Full Night")), AND(Q570=7,D570&gt;=TIME(6,0,0),D570&lt;TIME(12,0,0),OR(K570="12H Day",K570="Couple Half Day",K570="24H Day",K570="Couple Full Day")) ),1,0)</f>
        <v>0</v>
      </c>
      <c r="O570" s="1" t="n">
        <f aca="false">IF(OR( AND(MONTH(C570)=12,DAY(C570)&gt;=26), AND(MONTH(C570)=4,DAY(C570)&gt;=15), MONTH(C570)=5, AND(MONTH(C570)=6,DAY(C570)&lt;=10) ),1,0)</f>
        <v>0</v>
      </c>
      <c r="P570" s="1" t="str">
        <f aca="false">IF(OR(MONTH(C570)=3,MONTH(C570)=4,MONTH(C570)=5,MONTH(C570)=6), "Summer", IF(OR(MONTH(C570)=7,MONTH(C570)=8,MONTH(C570)=9,MONTH(C570)=10), "Monsoon", "Winter"))</f>
        <v>Winter</v>
      </c>
      <c r="Q570" s="1" t="n">
        <f aca="false">WEEKDAY(C570,2)</f>
        <v>4</v>
      </c>
      <c r="R570" s="0" t="n">
        <f aca="false">ROUNDDOWN(((INT(C570)+MOD(D570,1))-(INT(I570)+MOD(J570,1))),0)</f>
        <v>0</v>
      </c>
      <c r="S570" s="10"/>
    </row>
    <row r="571" customFormat="false" ht="133.05" hidden="false" customHeight="false" outlineLevel="0" collapsed="false">
      <c r="A571" s="8" t="s">
        <v>1022</v>
      </c>
      <c r="B571" s="22" t="s">
        <v>1023</v>
      </c>
      <c r="C571" s="18" t="n">
        <v>45990.7916666667</v>
      </c>
      <c r="D571" s="19" t="n">
        <v>45990.7916666667</v>
      </c>
      <c r="E571" s="18" t="n">
        <v>45991.3333333333</v>
      </c>
      <c r="F571" s="19" t="n">
        <v>0</v>
      </c>
      <c r="G571" s="20" t="n">
        <v>3000</v>
      </c>
      <c r="H571" s="8" t="n">
        <v>12</v>
      </c>
      <c r="I571" s="10" t="n">
        <v>45987</v>
      </c>
      <c r="J571" s="11" t="n">
        <v>0.972708333334595</v>
      </c>
      <c r="K571" s="1" t="str">
        <f aca="false">IF(L571&gt;24,     IF(H571=2,"Couple Extended Day","Extended Day"), IF(L571&lt;=12,     IF(AND(MOD(D571,1)&gt;=TIME(6,0,0),MOD(D571,1)&lt;TIME(18,0,0)),         IF(H571=2,"Couple Half Day","12H Day"),         IF(H571=2,"Couple Half Night","12H Night")), IF(L571&lt;=24,     IF(AND(MOD(D571,1)&gt;=TIME(6,0,0),MOD(D571,1)&lt;TIME(18,0,0)),         IF(H571=2,"Couple Full Day","24H Day"),         IF(H571=2,"Couple Full Night","24H Night")), "Check Data")))</f>
        <v>12H Night</v>
      </c>
      <c r="L571" s="12" t="n">
        <f aca="false">((INT(E571)+MOD(F571,1))-(INT(C571)+MOD(D571,1)))*24</f>
        <v>4.99999999901047</v>
      </c>
      <c r="M571" s="1" t="n">
        <f aca="false">IFERROR(INDEX(Sheet3!$B$2:$B$500,MATCH(1,(INT(C571)+MOD(D571,1)&lt;INT(Sheet3!$A$2:$A$500)+TIME(18,0,0))*(INT(E571)+MOD(F571,1)&gt;=INT(Sheet3!$A$2:$A$500)),0)),0)</f>
        <v>0</v>
      </c>
      <c r="N571" s="1" t="n">
        <f aca="false">IF(OR( AND(Q571=6,D571&gt;=TIME(17,0,0),OR(K571="12H Night",K571="Couple Half Night",K571="24H Night",K571="Couple Full Night")), AND(Q571=7,D571&gt;=TIME(6,0,0),D571&lt;TIME(12,0,0),OR(K571="12H Day",K571="Couple Half Day",K571="24H Day",K571="Couple Full Day")) ),1,0)</f>
        <v>1</v>
      </c>
      <c r="O571" s="1" t="n">
        <f aca="false">IF(OR( AND(MONTH(C571)=12,DAY(C571)&gt;=26), AND(MONTH(C571)=4,DAY(C571)&gt;=15), MONTH(C571)=5, AND(MONTH(C571)=6,DAY(C571)&lt;=10) ),1,0)</f>
        <v>0</v>
      </c>
      <c r="P571" s="1" t="str">
        <f aca="false">IF(OR(MONTH(C571)=3,MONTH(C571)=4,MONTH(C571)=5,MONTH(C571)=6), "Summer", IF(OR(MONTH(C571)=7,MONTH(C571)=8,MONTH(C571)=9,MONTH(C571)=10), "Monsoon", "Winter"))</f>
        <v>Winter</v>
      </c>
      <c r="Q571" s="1" t="n">
        <f aca="false">WEEKDAY(C571,2)</f>
        <v>6</v>
      </c>
      <c r="R571" s="0" t="n">
        <f aca="false">ROUNDDOWN(((INT(C571)+MOD(D571,1))-(INT(I571)+MOD(J571,1))),0)</f>
        <v>2</v>
      </c>
      <c r="S571" s="10"/>
    </row>
    <row r="572" customFormat="false" ht="121.1" hidden="false" customHeight="false" outlineLevel="0" collapsed="false">
      <c r="A572" s="8" t="s">
        <v>1024</v>
      </c>
      <c r="B572" s="22" t="s">
        <v>1025</v>
      </c>
      <c r="C572" s="18" t="n">
        <v>45991.7916666667</v>
      </c>
      <c r="D572" s="19" t="n">
        <v>45991.7916666667</v>
      </c>
      <c r="E572" s="18" t="n">
        <v>45992.3333333333</v>
      </c>
      <c r="F572" s="19" t="n">
        <v>0</v>
      </c>
      <c r="G572" s="20" t="n">
        <v>2500</v>
      </c>
      <c r="H572" s="8" t="n">
        <v>7</v>
      </c>
      <c r="I572" s="10" t="n">
        <v>45988</v>
      </c>
      <c r="J572" s="11" t="n">
        <v>0.91196759259037</v>
      </c>
      <c r="K572" s="1" t="str">
        <f aca="false">IF(L572&gt;24,     IF(H572=2,"Couple Extended Day","Extended Day"), IF(L572&lt;=12,     IF(AND(MOD(D572,1)&gt;=TIME(6,0,0),MOD(D572,1)&lt;TIME(18,0,0)),         IF(H572=2,"Couple Half Day","12H Day"),         IF(H572=2,"Couple Half Night","12H Night")), IF(L572&lt;=24,     IF(AND(MOD(D572,1)&gt;=TIME(6,0,0),MOD(D572,1)&lt;TIME(18,0,0)),         IF(H572=2,"Couple Full Day","24H Day"),         IF(H572=2,"Couple Full Night","24H Night")), "Check Data")))</f>
        <v>12H Night</v>
      </c>
      <c r="L572" s="12" t="n">
        <f aca="false">((INT(E572)+MOD(F572,1))-(INT(C572)+MOD(D572,1)))*24</f>
        <v>4.99999999901047</v>
      </c>
      <c r="M572" s="1" t="n">
        <f aca="false">IFERROR(INDEX(Sheet3!$B$2:$B$500,MATCH(1,(INT(C572)+MOD(D572,1)&lt;INT(Sheet3!$A$2:$A$500)+TIME(18,0,0))*(INT(E572)+MOD(F572,1)&gt;=INT(Sheet3!$A$2:$A$500)),0)),0)</f>
        <v>0</v>
      </c>
      <c r="N572" s="1" t="n">
        <f aca="false">IF(OR( AND(Q572=6,D572&gt;=TIME(17,0,0),OR(K572="12H Night",K572="Couple Half Night",K572="24H Night",K572="Couple Full Night")), AND(Q572=7,D572&gt;=TIME(6,0,0),D572&lt;TIME(12,0,0),OR(K572="12H Day",K572="Couple Half Day",K572="24H Day",K572="Couple Full Day")) ),1,0)</f>
        <v>0</v>
      </c>
      <c r="O572" s="1" t="n">
        <f aca="false">IF(OR( AND(MONTH(C572)=12,DAY(C572)&gt;=26), AND(MONTH(C572)=4,DAY(C572)&gt;=15), MONTH(C572)=5, AND(MONTH(C572)=6,DAY(C572)&lt;=10) ),1,0)</f>
        <v>0</v>
      </c>
      <c r="P572" s="1" t="str">
        <f aca="false">IF(OR(MONTH(C572)=3,MONTH(C572)=4,MONTH(C572)=5,MONTH(C572)=6), "Summer", IF(OR(MONTH(C572)=7,MONTH(C572)=8,MONTH(C572)=9,MONTH(C572)=10), "Monsoon", "Winter"))</f>
        <v>Winter</v>
      </c>
      <c r="Q572" s="1" t="n">
        <f aca="false">WEEKDAY(C572,2)</f>
        <v>7</v>
      </c>
      <c r="R572" s="0" t="n">
        <f aca="false">ROUNDDOWN(((INT(C572)+MOD(D572,1))-(INT(I572)+MOD(J572,1))),0)</f>
        <v>2</v>
      </c>
      <c r="S572" s="10"/>
    </row>
    <row r="573" customFormat="false" ht="121.1" hidden="false" customHeight="false" outlineLevel="0" collapsed="false">
      <c r="A573" s="8" t="s">
        <v>1026</v>
      </c>
      <c r="B573" s="22" t="s">
        <v>1027</v>
      </c>
      <c r="C573" s="18" t="n">
        <v>45994.4375</v>
      </c>
      <c r="D573" s="19" t="n">
        <v>45994.4375</v>
      </c>
      <c r="E573" s="18" t="n">
        <v>45994.75</v>
      </c>
      <c r="F573" s="19" t="n">
        <v>45994.75</v>
      </c>
      <c r="G573" s="20" t="n">
        <v>1500</v>
      </c>
      <c r="H573" s="8" t="n">
        <v>2</v>
      </c>
      <c r="I573" s="10" t="n">
        <v>45994</v>
      </c>
      <c r="J573" s="11" t="n">
        <v>0.421527777776644</v>
      </c>
      <c r="K573" s="1" t="str">
        <f aca="false">IF(L573&gt;24,     IF(H573=2,"Couple Extended Day","Extended Day"), IF(L573&lt;=12,     IF(AND(MOD(D573,1)&gt;=TIME(6,0,0),MOD(D573,1)&lt;TIME(18,0,0)),         IF(H573=2,"Couple Half Day","12H Day"),         IF(H573=2,"Couple Half Night","12H Night")), IF(L573&lt;=24,     IF(AND(MOD(D573,1)&gt;=TIME(6,0,0),MOD(D573,1)&lt;TIME(18,0,0)),         IF(H573=2,"Couple Full Day","24H Day"),         IF(H573=2,"Couple Full Night","24H Night")), "Check Data")))</f>
        <v>Couple Half Day</v>
      </c>
      <c r="L573" s="12" t="n">
        <f aca="false">((INT(E573)+MOD(F573,1))-(INT(C573)+MOD(D573,1)))*24</f>
        <v>7.5</v>
      </c>
      <c r="M573" s="1" t="n">
        <f aca="false">IFERROR(INDEX(Sheet3!$B$2:$B$500,MATCH(1,(INT(C573)+MOD(D573,1)&lt;INT(Sheet3!$A$2:$A$500)+TIME(18,0,0))*(INT(E573)+MOD(F573,1)&gt;=INT(Sheet3!$A$2:$A$500)),0)),0)</f>
        <v>0</v>
      </c>
      <c r="N573" s="1" t="n">
        <f aca="false">IF(OR( AND(Q573=6,D573&gt;=TIME(17,0,0),OR(K573="12H Night",K573="Couple Half Night",K573="24H Night",K573="Couple Full Night")), AND(Q573=7,D573&gt;=TIME(6,0,0),D573&lt;TIME(12,0,0),OR(K573="12H Day",K573="Couple Half Day",K573="24H Day",K573="Couple Full Day")) ),1,0)</f>
        <v>0</v>
      </c>
      <c r="O573" s="1" t="n">
        <f aca="false">IF(OR( AND(MONTH(C573)=12,DAY(C573)&gt;=26), AND(MONTH(C573)=4,DAY(C573)&gt;=15), MONTH(C573)=5, AND(MONTH(C573)=6,DAY(C573)&lt;=10) ),1,0)</f>
        <v>0</v>
      </c>
      <c r="P573" s="1" t="str">
        <f aca="false">IF(OR(MONTH(C573)=3,MONTH(C573)=4,MONTH(C573)=5,MONTH(C573)=6), "Summer", IF(OR(MONTH(C573)=7,MONTH(C573)=8,MONTH(C573)=9,MONTH(C573)=10), "Monsoon", "Winter"))</f>
        <v>Winter</v>
      </c>
      <c r="Q573" s="1" t="n">
        <f aca="false">WEEKDAY(C573,2)</f>
        <v>3</v>
      </c>
      <c r="R573" s="0" t="n">
        <f aca="false">ROUNDDOWN(((INT(C573)+MOD(D573,1))-(INT(I573)+MOD(J573,1))),0)</f>
        <v>0</v>
      </c>
      <c r="S573" s="10"/>
    </row>
    <row r="574" customFormat="false" ht="212.2" hidden="false" customHeight="false" outlineLevel="0" collapsed="false">
      <c r="A574" s="8" t="s">
        <v>1028</v>
      </c>
      <c r="B574" s="22" t="s">
        <v>1029</v>
      </c>
      <c r="C574" s="18" t="n">
        <v>45996.3958333333</v>
      </c>
      <c r="D574" s="19" t="n">
        <v>45996.3958333333</v>
      </c>
      <c r="E574" s="18" t="n">
        <v>45996.5416666667</v>
      </c>
      <c r="F574" s="19" t="n">
        <v>45996.5416666667</v>
      </c>
      <c r="G574" s="20" t="n">
        <v>1000</v>
      </c>
      <c r="H574" s="8" t="n">
        <v>2</v>
      </c>
      <c r="I574" s="10" t="n">
        <v>45996</v>
      </c>
      <c r="J574" s="11" t="n">
        <v>0.375613425931076</v>
      </c>
      <c r="K574" s="1" t="str">
        <f aca="false">IF(L574&gt;24,     IF(H574=2,"Couple Extended Day","Extended Day"), IF(L574&lt;=12,     IF(AND(MOD(D574,1)&gt;=TIME(6,0,0),MOD(D574,1)&lt;TIME(18,0,0)),         IF(H574=2,"Couple Half Day","12H Day"),         IF(H574=2,"Couple Half Night","12H Night")), IF(L574&lt;=24,     IF(AND(MOD(D574,1)&gt;=TIME(6,0,0),MOD(D574,1)&lt;TIME(18,0,0)),         IF(H574=2,"Couple Full Day","24H Day"),         IF(H574=2,"Couple Full Night","24H Night")), "Check Data")))</f>
        <v>Couple Half Day</v>
      </c>
      <c r="L574" s="12" t="n">
        <f aca="false">((INT(E574)+MOD(F574,1))-(INT(C574)+MOD(D574,1)))*24</f>
        <v>3.50000000197906</v>
      </c>
      <c r="M574" s="1" t="n">
        <f aca="false">IFERROR(INDEX(Sheet3!$B$2:$B$500,MATCH(1,(INT(C574)+MOD(D574,1)&lt;INT(Sheet3!$A$2:$A$500)+TIME(18,0,0))*(INT(E574)+MOD(F574,1)&gt;=INT(Sheet3!$A$2:$A$500)),0)),0)</f>
        <v>0</v>
      </c>
      <c r="N574" s="1" t="n">
        <f aca="false">IF(OR( AND(Q574=6,D574&gt;=TIME(17,0,0),OR(K574="12H Night",K574="Couple Half Night",K574="24H Night",K574="Couple Full Night")), AND(Q574=7,D574&gt;=TIME(6,0,0),D574&lt;TIME(12,0,0),OR(K574="12H Day",K574="Couple Half Day",K574="24H Day",K574="Couple Full Day")) ),1,0)</f>
        <v>0</v>
      </c>
      <c r="O574" s="1" t="n">
        <f aca="false">IF(OR( AND(MONTH(C574)=12,DAY(C574)&gt;=26), AND(MONTH(C574)=4,DAY(C574)&gt;=15), MONTH(C574)=5, AND(MONTH(C574)=6,DAY(C574)&lt;=10) ),1,0)</f>
        <v>0</v>
      </c>
      <c r="P574" s="1" t="str">
        <f aca="false">IF(OR(MONTH(C574)=3,MONTH(C574)=4,MONTH(C574)=5,MONTH(C574)=6), "Summer", IF(OR(MONTH(C574)=7,MONTH(C574)=8,MONTH(C574)=9,MONTH(C574)=10), "Monsoon", "Winter"))</f>
        <v>Winter</v>
      </c>
      <c r="Q574" s="1" t="n">
        <f aca="false">WEEKDAY(C574,2)</f>
        <v>5</v>
      </c>
      <c r="R574" s="0" t="n">
        <f aca="false">ROUNDDOWN(((INT(C574)+MOD(D574,1))-(INT(I574)+MOD(J574,1))),0)</f>
        <v>0</v>
      </c>
      <c r="S574" s="10"/>
    </row>
    <row r="575" customFormat="false" ht="107" hidden="false" customHeight="false" outlineLevel="0" collapsed="false">
      <c r="A575" s="8" t="s">
        <v>1030</v>
      </c>
      <c r="B575" s="22" t="s">
        <v>1031</v>
      </c>
      <c r="C575" s="18" t="n">
        <v>45997.375</v>
      </c>
      <c r="D575" s="19" t="n">
        <v>45997.375</v>
      </c>
      <c r="E575" s="18" t="n">
        <v>45997.75</v>
      </c>
      <c r="F575" s="19" t="n">
        <v>45997.75</v>
      </c>
      <c r="G575" s="20" t="n">
        <v>1500</v>
      </c>
      <c r="H575" s="8" t="n">
        <v>2</v>
      </c>
      <c r="I575" s="10" t="n">
        <v>45996</v>
      </c>
      <c r="J575" s="11" t="n">
        <v>0.659050925925845</v>
      </c>
      <c r="K575" s="1" t="str">
        <f aca="false">IF(L575&gt;24,     IF(H575=2,"Couple Extended Day","Extended Day"), IF(L575&lt;=12,     IF(AND(MOD(D575,1)&gt;=TIME(6,0,0),MOD(D575,1)&lt;TIME(18,0,0)),         IF(H575=2,"Couple Half Day","12H Day"),         IF(H575=2,"Couple Half Night","12H Night")), IF(L575&lt;=24,     IF(AND(MOD(D575,1)&gt;=TIME(6,0,0),MOD(D575,1)&lt;TIME(18,0,0)),         IF(H575=2,"Couple Full Day","24H Day"),         IF(H575=2,"Couple Full Night","24H Night")), "Check Data")))</f>
        <v>Couple Half Day</v>
      </c>
      <c r="L575" s="12" t="n">
        <f aca="false">((INT(E575)+MOD(F575,1))-(INT(C575)+MOD(D575,1)))*24</f>
        <v>9</v>
      </c>
      <c r="M575" s="1" t="n">
        <f aca="false">IFERROR(INDEX(Sheet3!$B$2:$B$500,MATCH(1,(INT(C575)+MOD(D575,1)&lt;INT(Sheet3!$A$2:$A$500)+TIME(18,0,0))*(INT(E575)+MOD(F575,1)&gt;=INT(Sheet3!$A$2:$A$500)),0)),0)</f>
        <v>0</v>
      </c>
      <c r="N575" s="1" t="n">
        <f aca="false">IF(OR( AND(Q575=6,D575&gt;=TIME(17,0,0),OR(K575="12H Night",K575="Couple Half Night",K575="24H Night",K575="Couple Full Night")), AND(Q575=7,D575&gt;=TIME(6,0,0),D575&lt;TIME(12,0,0),OR(K575="12H Day",K575="Couple Half Day",K575="24H Day",K575="Couple Full Day")) ),1,0)</f>
        <v>0</v>
      </c>
      <c r="O575" s="1" t="n">
        <f aca="false">IF(OR( AND(MONTH(C575)=12,DAY(C575)&gt;=26), AND(MONTH(C575)=4,DAY(C575)&gt;=15), MONTH(C575)=5, AND(MONTH(C575)=6,DAY(C575)&lt;=10) ),1,0)</f>
        <v>0</v>
      </c>
      <c r="P575" s="1" t="str">
        <f aca="false">IF(OR(MONTH(C575)=3,MONTH(C575)=4,MONTH(C575)=5,MONTH(C575)=6), "Summer", IF(OR(MONTH(C575)=7,MONTH(C575)=8,MONTH(C575)=9,MONTH(C575)=10), "Monsoon", "Winter"))</f>
        <v>Winter</v>
      </c>
      <c r="Q575" s="1" t="n">
        <f aca="false">WEEKDAY(C575,2)</f>
        <v>6</v>
      </c>
      <c r="R575" s="0" t="n">
        <f aca="false">ROUNDDOWN(((INT(C575)+MOD(D575,1))-(INT(I575)+MOD(J575,1))),0)</f>
        <v>0</v>
      </c>
      <c r="S575" s="10"/>
    </row>
    <row r="576" customFormat="false" ht="133.3" hidden="false" customHeight="false" outlineLevel="0" collapsed="false">
      <c r="A576" s="8" t="s">
        <v>1032</v>
      </c>
      <c r="B576" s="22" t="s">
        <v>1033</v>
      </c>
      <c r="C576" s="18" t="n">
        <v>45998.375</v>
      </c>
      <c r="D576" s="19" t="n">
        <v>45998.375</v>
      </c>
      <c r="E576" s="18" t="n">
        <v>45998.7916666667</v>
      </c>
      <c r="F576" s="19" t="n">
        <v>45998.7916666667</v>
      </c>
      <c r="G576" s="20" t="n">
        <v>4500</v>
      </c>
      <c r="H576" s="8" t="n">
        <v>14</v>
      </c>
      <c r="I576" s="10" t="n">
        <v>45987</v>
      </c>
      <c r="J576" s="11" t="n">
        <v>0.962013888885845</v>
      </c>
      <c r="K576" s="1" t="str">
        <f aca="false">IF(L576&gt;24,     IF(H576=2,"Couple Extended Day","Extended Day"), IF(L576&lt;=12,     IF(AND(MOD(D576,1)&gt;=TIME(6,0,0),MOD(D576,1)&lt;TIME(18,0,0)),         IF(H576=2,"Couple Half Day","12H Day"),         IF(H576=2,"Couple Half Night","12H Night")), IF(L576&lt;=24,     IF(AND(MOD(D576,1)&gt;=TIME(6,0,0),MOD(D576,1)&lt;TIME(18,0,0)),         IF(H576=2,"Couple Full Day","24H Day"),         IF(H576=2,"Couple Full Night","24H Night")), "Check Data")))</f>
        <v>12H Day</v>
      </c>
      <c r="L576" s="12" t="n">
        <f aca="false">((INT(E576)+MOD(F576,1))-(INT(C576)+MOD(D576,1)))*24</f>
        <v>10.0000000009895</v>
      </c>
      <c r="M576" s="1" t="n">
        <f aca="false">IFERROR(INDEX(Sheet3!$B$2:$B$500,MATCH(1,(INT(C576)+MOD(D576,1)&lt;INT(Sheet3!$A$2:$A$500)+TIME(18,0,0))*(INT(E576)+MOD(F576,1)&gt;=INT(Sheet3!$A$2:$A$500)),0)),0)</f>
        <v>0</v>
      </c>
      <c r="N576" s="1" t="n">
        <f aca="false">IF(OR( AND(Q576=6,D576&gt;=TIME(17,0,0),OR(K576="12H Night",K576="Couple Half Night",K576="24H Night",K576="Couple Full Night")), AND(Q576=7,D576&gt;=TIME(6,0,0),D576&lt;TIME(12,0,0),OR(K576="12H Day",K576="Couple Half Day",K576="24H Day",K576="Couple Full Day")) ),1,0)</f>
        <v>0</v>
      </c>
      <c r="O576" s="1" t="n">
        <f aca="false">IF(OR( AND(MONTH(C576)=12,DAY(C576)&gt;=26), AND(MONTH(C576)=4,DAY(C576)&gt;=15), MONTH(C576)=5, AND(MONTH(C576)=6,DAY(C576)&lt;=10) ),1,0)</f>
        <v>0</v>
      </c>
      <c r="P576" s="1" t="str">
        <f aca="false">IF(OR(MONTH(C576)=3,MONTH(C576)=4,MONTH(C576)=5,MONTH(C576)=6), "Summer", IF(OR(MONTH(C576)=7,MONTH(C576)=8,MONTH(C576)=9,MONTH(C576)=10), "Monsoon", "Winter"))</f>
        <v>Winter</v>
      </c>
      <c r="Q576" s="1" t="n">
        <f aca="false">WEEKDAY(C576,2)</f>
        <v>7</v>
      </c>
      <c r="R576" s="0" t="n">
        <f aca="false">ROUNDDOWN(((INT(C576)+MOD(D576,1))-(INT(I576)+MOD(J576,1))),0)</f>
        <v>10</v>
      </c>
      <c r="S576" s="10"/>
    </row>
    <row r="577" customFormat="false" ht="146.45" hidden="false" customHeight="false" outlineLevel="0" collapsed="false">
      <c r="A577" s="8" t="s">
        <v>1034</v>
      </c>
      <c r="B577" s="22" t="s">
        <v>1035</v>
      </c>
      <c r="C577" s="18" t="n">
        <v>45999.375</v>
      </c>
      <c r="D577" s="19" t="n">
        <v>45999.375</v>
      </c>
      <c r="E577" s="18" t="n">
        <v>45999.75</v>
      </c>
      <c r="F577" s="19" t="n">
        <v>45999.75</v>
      </c>
      <c r="G577" s="20" t="n">
        <v>1500</v>
      </c>
      <c r="H577" s="8" t="n">
        <v>2</v>
      </c>
      <c r="I577" s="10" t="n">
        <v>45998</v>
      </c>
      <c r="J577" s="11" t="n">
        <v>0.769942129627454</v>
      </c>
      <c r="K577" s="1" t="str">
        <f aca="false">IF(L577&gt;24,     IF(H577=2,"Couple Extended Day","Extended Day"), IF(L577&lt;=12,     IF(AND(MOD(D577,1)&gt;=TIME(6,0,0),MOD(D577,1)&lt;TIME(18,0,0)),         IF(H577=2,"Couple Half Day","12H Day"),         IF(H577=2,"Couple Half Night","12H Night")), IF(L577&lt;=24,     IF(AND(MOD(D577,1)&gt;=TIME(6,0,0),MOD(D577,1)&lt;TIME(18,0,0)),         IF(H577=2,"Couple Full Day","24H Day"),         IF(H577=2,"Couple Full Night","24H Night")), "Check Data")))</f>
        <v>Couple Half Day</v>
      </c>
      <c r="L577" s="12" t="n">
        <f aca="false">((INT(E577)+MOD(F577,1))-(INT(C577)+MOD(D577,1)))*24</f>
        <v>9</v>
      </c>
      <c r="M577" s="1" t="n">
        <f aca="false">IFERROR(INDEX(Sheet3!$B$2:$B$500,MATCH(1,(INT(C577)+MOD(D577,1)&lt;INT(Sheet3!$A$2:$A$500)+TIME(18,0,0))*(INT(E577)+MOD(F577,1)&gt;=INT(Sheet3!$A$2:$A$500)),0)),0)</f>
        <v>0</v>
      </c>
      <c r="N577" s="1" t="n">
        <f aca="false">IF(OR( AND(Q577=6,D577&gt;=TIME(17,0,0),OR(K577="12H Night",K577="Couple Half Night",K577="24H Night",K577="Couple Full Night")), AND(Q577=7,D577&gt;=TIME(6,0,0),D577&lt;TIME(12,0,0),OR(K577="12H Day",K577="Couple Half Day",K577="24H Day",K577="Couple Full Day")) ),1,0)</f>
        <v>0</v>
      </c>
      <c r="O577" s="1" t="n">
        <f aca="false">IF(OR( AND(MONTH(C577)=12,DAY(C577)&gt;=26), AND(MONTH(C577)=4,DAY(C577)&gt;=15), MONTH(C577)=5, AND(MONTH(C577)=6,DAY(C577)&lt;=10) ),1,0)</f>
        <v>0</v>
      </c>
      <c r="P577" s="1" t="str">
        <f aca="false">IF(OR(MONTH(C577)=3,MONTH(C577)=4,MONTH(C577)=5,MONTH(C577)=6), "Summer", IF(OR(MONTH(C577)=7,MONTH(C577)=8,MONTH(C577)=9,MONTH(C577)=10), "Monsoon", "Winter"))</f>
        <v>Winter</v>
      </c>
      <c r="Q577" s="1" t="n">
        <f aca="false">WEEKDAY(C577,2)</f>
        <v>1</v>
      </c>
      <c r="R577" s="0" t="n">
        <f aca="false">ROUNDDOWN(((INT(C577)+MOD(D577,1))-(INT(I577)+MOD(J577,1))),0)</f>
        <v>0</v>
      </c>
      <c r="S577" s="10"/>
    </row>
    <row r="578" customFormat="false" ht="133.3" hidden="false" customHeight="false" outlineLevel="0" collapsed="false">
      <c r="A578" s="8" t="s">
        <v>1036</v>
      </c>
      <c r="B578" s="22" t="s">
        <v>1037</v>
      </c>
      <c r="C578" s="18" t="n">
        <v>46000.7916666667</v>
      </c>
      <c r="D578" s="19" t="n">
        <v>46000.7916666667</v>
      </c>
      <c r="E578" s="18" t="n">
        <v>46001.75</v>
      </c>
      <c r="F578" s="19" t="n">
        <v>46001.75</v>
      </c>
      <c r="G578" s="20" t="n">
        <v>3500</v>
      </c>
      <c r="H578" s="8" t="n">
        <v>9</v>
      </c>
      <c r="I578" s="10" t="n">
        <v>45999</v>
      </c>
      <c r="J578" s="11" t="n">
        <v>0.471458333333426</v>
      </c>
      <c r="K578" s="1" t="str">
        <f aca="false">IF(L578&gt;24,     IF(H578=2,"Couple Extended Day","Extended Day"), IF(L578&lt;=12,     IF(AND(MOD(D578,1)&gt;=TIME(6,0,0),MOD(D578,1)&lt;TIME(18,0,0)),         IF(H578=2,"Couple Half Day","12H Day"),         IF(H578=2,"Couple Half Night","12H Night")), IF(L578&lt;=24,     IF(AND(MOD(D578,1)&gt;=TIME(6,0,0),MOD(D578,1)&lt;TIME(18,0,0)),         IF(H578=2,"Couple Full Day","24H Day"),         IF(H578=2,"Couple Full Night","24H Night")), "Check Data")))</f>
        <v>24H Night</v>
      </c>
      <c r="L578" s="12" t="n">
        <f aca="false">((INT(E578)+MOD(F578,1))-(INT(C578)+MOD(D578,1)))*24</f>
        <v>22.9999999990105</v>
      </c>
      <c r="M578" s="1" t="n">
        <f aca="false">IFERROR(INDEX(Sheet3!$B$2:$B$500,MATCH(1,(INT(C578)+MOD(D578,1)&lt;INT(Sheet3!$A$2:$A$500)+TIME(18,0,0))*(INT(E578)+MOD(F578,1)&gt;=INT(Sheet3!$A$2:$A$500)),0)),0)</f>
        <v>0</v>
      </c>
      <c r="N578" s="1" t="n">
        <f aca="false">IF(OR( AND(Q578=6,D578&gt;=TIME(17,0,0),OR(K578="12H Night",K578="Couple Half Night",K578="24H Night",K578="Couple Full Night")), AND(Q578=7,D578&gt;=TIME(6,0,0),D578&lt;TIME(12,0,0),OR(K578="12H Day",K578="Couple Half Day",K578="24H Day",K578="Couple Full Day")) ),1,0)</f>
        <v>0</v>
      </c>
      <c r="O578" s="1" t="n">
        <f aca="false">IF(OR( AND(MONTH(C578)=12,DAY(C578)&gt;=26), AND(MONTH(C578)=4,DAY(C578)&gt;=15), MONTH(C578)=5, AND(MONTH(C578)=6,DAY(C578)&lt;=10) ),1,0)</f>
        <v>0</v>
      </c>
      <c r="P578" s="1" t="str">
        <f aca="false">IF(OR(MONTH(C578)=3,MONTH(C578)=4,MONTH(C578)=5,MONTH(C578)=6), "Summer", IF(OR(MONTH(C578)=7,MONTH(C578)=8,MONTH(C578)=9,MONTH(C578)=10), "Monsoon", "Winter"))</f>
        <v>Winter</v>
      </c>
      <c r="Q578" s="1" t="n">
        <f aca="false">WEEKDAY(C578,2)</f>
        <v>2</v>
      </c>
      <c r="R578" s="0" t="n">
        <f aca="false">ROUNDDOWN(((INT(C578)+MOD(D578,1))-(INT(I578)+MOD(J578,1))),0)</f>
        <v>1</v>
      </c>
      <c r="S578" s="10"/>
    </row>
    <row r="579" customFormat="false" ht="159.6" hidden="false" customHeight="false" outlineLevel="0" collapsed="false">
      <c r="A579" s="8" t="s">
        <v>1038</v>
      </c>
      <c r="B579" s="22" t="s">
        <v>1039</v>
      </c>
      <c r="C579" s="18" t="n">
        <v>46001.7916666667</v>
      </c>
      <c r="D579" s="19" t="n">
        <v>46001.7916666667</v>
      </c>
      <c r="E579" s="18" t="n">
        <v>46002.75</v>
      </c>
      <c r="F579" s="19" t="n">
        <v>46002.75</v>
      </c>
      <c r="G579" s="20" t="n">
        <v>2000</v>
      </c>
      <c r="H579" s="8" t="n">
        <v>10</v>
      </c>
      <c r="I579" s="10" t="n">
        <v>45998</v>
      </c>
      <c r="J579" s="11" t="n">
        <v>0.692951388889919</v>
      </c>
      <c r="K579" s="1" t="str">
        <f aca="false">IF(L579&gt;24,     IF(H579=2,"Couple Extended Day","Extended Day"), IF(L579&lt;=12,     IF(AND(MOD(D579,1)&gt;=TIME(6,0,0),MOD(D579,1)&lt;TIME(18,0,0)),         IF(H579=2,"Couple Half Day","12H Day"),         IF(H579=2,"Couple Half Night","12H Night")), IF(L579&lt;=24,     IF(AND(MOD(D579,1)&gt;=TIME(6,0,0),MOD(D579,1)&lt;TIME(18,0,0)),         IF(H579=2,"Couple Full Day","24H Day"),         IF(H579=2,"Couple Full Night","24H Night")), "Check Data")))</f>
        <v>24H Night</v>
      </c>
      <c r="L579" s="12" t="n">
        <f aca="false">((INT(E579)+MOD(F579,1))-(INT(C579)+MOD(D579,1)))*24</f>
        <v>22.9999999990105</v>
      </c>
      <c r="M579" s="1" t="n">
        <f aca="false">IFERROR(INDEX(Sheet3!$B$2:$B$500,MATCH(1,(INT(C579)+MOD(D579,1)&lt;INT(Sheet3!$A$2:$A$500)+TIME(18,0,0))*(INT(E579)+MOD(F579,1)&gt;=INT(Sheet3!$A$2:$A$500)),0)),0)</f>
        <v>0</v>
      </c>
      <c r="N579" s="1" t="n">
        <f aca="false">IF(OR( AND(Q579=6,D579&gt;=TIME(17,0,0),OR(K579="12H Night",K579="Couple Half Night",K579="24H Night",K579="Couple Full Night")), AND(Q579=7,D579&gt;=TIME(6,0,0),D579&lt;TIME(12,0,0),OR(K579="12H Day",K579="Couple Half Day",K579="24H Day",K579="Couple Full Day")) ),1,0)</f>
        <v>0</v>
      </c>
      <c r="O579" s="1" t="n">
        <f aca="false">IF(OR( AND(MONTH(C579)=12,DAY(C579)&gt;=26), AND(MONTH(C579)=4,DAY(C579)&gt;=15), MONTH(C579)=5, AND(MONTH(C579)=6,DAY(C579)&lt;=10) ),1,0)</f>
        <v>0</v>
      </c>
      <c r="P579" s="1" t="str">
        <f aca="false">IF(OR(MONTH(C579)=3,MONTH(C579)=4,MONTH(C579)=5,MONTH(C579)=6), "Summer", IF(OR(MONTH(C579)=7,MONTH(C579)=8,MONTH(C579)=9,MONTH(C579)=10), "Monsoon", "Winter"))</f>
        <v>Winter</v>
      </c>
      <c r="Q579" s="1" t="n">
        <f aca="false">WEEKDAY(C579,2)</f>
        <v>3</v>
      </c>
      <c r="R579" s="0" t="n">
        <f aca="false">ROUNDDOWN(((INT(C579)+MOD(D579,1))-(INT(I579)+MOD(J579,1))),0)</f>
        <v>3</v>
      </c>
      <c r="S579" s="10"/>
    </row>
    <row r="580" customFormat="false" ht="146.45" hidden="false" customHeight="false" outlineLevel="0" collapsed="false">
      <c r="A580" s="8" t="s">
        <v>1040</v>
      </c>
      <c r="B580" s="22" t="s">
        <v>1041</v>
      </c>
      <c r="C580" s="18" t="n">
        <v>46004.7916666667</v>
      </c>
      <c r="D580" s="19" t="n">
        <v>46004.7916666667</v>
      </c>
      <c r="E580" s="18" t="n">
        <v>46005.75</v>
      </c>
      <c r="F580" s="19" t="n">
        <v>46005.75</v>
      </c>
      <c r="G580" s="20" t="n">
        <v>4500</v>
      </c>
      <c r="H580" s="8" t="n">
        <v>10</v>
      </c>
      <c r="I580" s="10" t="n">
        <v>46003</v>
      </c>
      <c r="J580" s="11" t="n">
        <v>0.906435185184815</v>
      </c>
      <c r="K580" s="1" t="str">
        <f aca="false">IF(L580&gt;24,     IF(H580=2,"Couple Extended Day","Extended Day"), IF(L580&lt;=12,     IF(AND(MOD(D580,1)&gt;=TIME(6,0,0),MOD(D580,1)&lt;TIME(18,0,0)),         IF(H580=2,"Couple Half Day","12H Day"),         IF(H580=2,"Couple Half Night","12H Night")), IF(L580&lt;=24,     IF(AND(MOD(D580,1)&gt;=TIME(6,0,0),MOD(D580,1)&lt;TIME(18,0,0)),         IF(H580=2,"Couple Full Day","24H Day"),         IF(H580=2,"Couple Full Night","24H Night")), "Check Data")))</f>
        <v>24H Night</v>
      </c>
      <c r="L580" s="12" t="n">
        <f aca="false">((INT(E580)+MOD(F580,1))-(INT(C580)+MOD(D580,1)))*24</f>
        <v>22.9999999990105</v>
      </c>
      <c r="M580" s="1" t="n">
        <f aca="false">IFERROR(INDEX(Sheet3!$B$2:$B$500,MATCH(1,(INT(C580)+MOD(D580,1)&lt;INT(Sheet3!$A$2:$A$500)+TIME(18,0,0))*(INT(E580)+MOD(F580,1)&gt;=INT(Sheet3!$A$2:$A$500)),0)),0)</f>
        <v>0</v>
      </c>
      <c r="N580" s="1" t="n">
        <f aca="false">IF(OR( AND(Q580=6,D580&gt;=TIME(17,0,0),OR(K580="12H Night",K580="Couple Half Night",K580="24H Night",K580="Couple Full Night")), AND(Q580=7,D580&gt;=TIME(6,0,0),D580&lt;TIME(12,0,0),OR(K580="12H Day",K580="Couple Half Day",K580="24H Day",K580="Couple Full Day")) ),1,0)</f>
        <v>1</v>
      </c>
      <c r="O580" s="1" t="n">
        <f aca="false">IF(OR( AND(MONTH(C580)=12,DAY(C580)&gt;=26), AND(MONTH(C580)=4,DAY(C580)&gt;=15), MONTH(C580)=5, AND(MONTH(C580)=6,DAY(C580)&lt;=10) ),1,0)</f>
        <v>0</v>
      </c>
      <c r="P580" s="1" t="str">
        <f aca="false">IF(OR(MONTH(C580)=3,MONTH(C580)=4,MONTH(C580)=5,MONTH(C580)=6), "Summer", IF(OR(MONTH(C580)=7,MONTH(C580)=8,MONTH(C580)=9,MONTH(C580)=10), "Monsoon", "Winter"))</f>
        <v>Winter</v>
      </c>
      <c r="Q580" s="1" t="n">
        <f aca="false">WEEKDAY(C580,2)</f>
        <v>6</v>
      </c>
      <c r="R580" s="0" t="n">
        <f aca="false">ROUNDDOWN(((INT(C580)+MOD(D580,1))-(INT(I580)+MOD(J580,1))),0)</f>
        <v>0</v>
      </c>
      <c r="S580" s="10"/>
    </row>
    <row r="581" customFormat="false" ht="212.2" hidden="false" customHeight="false" outlineLevel="0" collapsed="false">
      <c r="A581" s="8" t="s">
        <v>268</v>
      </c>
      <c r="B581" s="22" t="s">
        <v>1042</v>
      </c>
      <c r="C581" s="18" t="n">
        <v>46008.375</v>
      </c>
      <c r="D581" s="19" t="n">
        <v>46008.375</v>
      </c>
      <c r="E581" s="18" t="n">
        <v>46008.75</v>
      </c>
      <c r="F581" s="19" t="n">
        <v>46008.75</v>
      </c>
      <c r="G581" s="20" t="n">
        <v>2000</v>
      </c>
      <c r="H581" s="8" t="n">
        <v>2</v>
      </c>
      <c r="I581" s="10" t="n">
        <v>46007</v>
      </c>
      <c r="J581" s="11" t="n">
        <v>0.640046296291979</v>
      </c>
      <c r="K581" s="1" t="str">
        <f aca="false">IF(L581&gt;24,     IF(H581=2,"Couple Extended Day","Extended Day"), IF(L581&lt;=12,     IF(AND(MOD(D581,1)&gt;=TIME(6,0,0),MOD(D581,1)&lt;TIME(18,0,0)),         IF(H581=2,"Couple Half Day","12H Day"),         IF(H581=2,"Couple Half Night","12H Night")), IF(L581&lt;=24,     IF(AND(MOD(D581,1)&gt;=TIME(6,0,0),MOD(D581,1)&lt;TIME(18,0,0)),         IF(H581=2,"Couple Full Day","24H Day"),         IF(H581=2,"Couple Full Night","24H Night")), "Check Data")))</f>
        <v>Couple Half Day</v>
      </c>
      <c r="L581" s="12" t="n">
        <f aca="false">((INT(E581)+MOD(F581,1))-(INT(C581)+MOD(D581,1)))*24</f>
        <v>9</v>
      </c>
      <c r="M581" s="1" t="n">
        <f aca="false">IFERROR(INDEX(Sheet3!$B$2:$B$500,MATCH(1,(INT(C581)+MOD(D581,1)&lt;INT(Sheet3!$A$2:$A$500)+TIME(18,0,0))*(INT(E581)+MOD(F581,1)&gt;=INT(Sheet3!$A$2:$A$500)),0)),0)</f>
        <v>0</v>
      </c>
      <c r="N581" s="1" t="n">
        <f aca="false">IF(OR( AND(Q581=6,D581&gt;=TIME(17,0,0),OR(K581="12H Night",K581="Couple Half Night",K581="24H Night",K581="Couple Full Night")), AND(Q581=7,D581&gt;=TIME(6,0,0),D581&lt;TIME(12,0,0),OR(K581="12H Day",K581="Couple Half Day",K581="24H Day",K581="Couple Full Day")) ),1,0)</f>
        <v>0</v>
      </c>
      <c r="O581" s="1" t="n">
        <f aca="false">IF(OR( AND(MONTH(C581)=12,DAY(C581)&gt;=26), AND(MONTH(C581)=4,DAY(C581)&gt;=15), MONTH(C581)=5, AND(MONTH(C581)=6,DAY(C581)&lt;=10) ),1,0)</f>
        <v>0</v>
      </c>
      <c r="P581" s="1" t="str">
        <f aca="false">IF(OR(MONTH(C581)=3,MONTH(C581)=4,MONTH(C581)=5,MONTH(C581)=6), "Summer", IF(OR(MONTH(C581)=7,MONTH(C581)=8,MONTH(C581)=9,MONTH(C581)=10), "Monsoon", "Winter"))</f>
        <v>Winter</v>
      </c>
      <c r="Q581" s="1" t="n">
        <f aca="false">WEEKDAY(C581,2)</f>
        <v>3</v>
      </c>
      <c r="R581" s="0" t="n">
        <f aca="false">ROUNDDOWN(((INT(C581)+MOD(D581,1))-(INT(I581)+MOD(J581,1))),0)</f>
        <v>0</v>
      </c>
      <c r="S581" s="10"/>
    </row>
    <row r="582" customFormat="false" ht="159.6" hidden="false" customHeight="false" outlineLevel="0" collapsed="false">
      <c r="A582" s="8" t="s">
        <v>383</v>
      </c>
      <c r="B582" s="22" t="s">
        <v>1043</v>
      </c>
      <c r="C582" s="18" t="n">
        <v>46009.375</v>
      </c>
      <c r="D582" s="19" t="n">
        <v>46009.375</v>
      </c>
      <c r="E582" s="18" t="n">
        <v>46009.7083333333</v>
      </c>
      <c r="F582" s="19" t="n">
        <v>0</v>
      </c>
      <c r="G582" s="20" t="n">
        <v>1500</v>
      </c>
      <c r="H582" s="8" t="n">
        <v>2</v>
      </c>
      <c r="I582" s="10" t="n">
        <v>46008</v>
      </c>
      <c r="J582" s="11" t="n">
        <v>0.67465277777956</v>
      </c>
      <c r="K582" s="1" t="str">
        <f aca="false">IF(L582&gt;24,     IF(H582=2,"Couple Extended Day","Extended Day"), IF(L582&lt;=12,     IF(AND(MOD(D582,1)&gt;=TIME(6,0,0),MOD(D582,1)&lt;TIME(18,0,0)),         IF(H582=2,"Couple Half Day","12H Day"),         IF(H582=2,"Couple Half Night","12H Night")), IF(L582&lt;=24,     IF(AND(MOD(D582,1)&gt;=TIME(6,0,0),MOD(D582,1)&lt;TIME(18,0,0)),         IF(H582=2,"Couple Full Day","24H Day"),         IF(H582=2,"Couple Full Night","24H Night")), "Check Data")))</f>
        <v>Couple Half Day</v>
      </c>
      <c r="L582" s="12" t="n">
        <f aca="false">((INT(E582)+MOD(F582,1))-(INT(C582)+MOD(D582,1)))*24</f>
        <v>-9</v>
      </c>
      <c r="M582" s="1" t="n">
        <f aca="false">IFERROR(INDEX(Sheet3!$B$2:$B$500,MATCH(1,(INT(C582)+MOD(D582,1)&lt;INT(Sheet3!$A$2:$A$500)+TIME(18,0,0))*(INT(E582)+MOD(F582,1)&gt;=INT(Sheet3!$A$2:$A$500)),0)),0)</f>
        <v>0</v>
      </c>
      <c r="N582" s="1" t="n">
        <f aca="false">IF(OR( AND(Q582=6,D582&gt;=TIME(17,0,0),OR(K582="12H Night",K582="Couple Half Night",K582="24H Night",K582="Couple Full Night")), AND(Q582=7,D582&gt;=TIME(6,0,0),D582&lt;TIME(12,0,0),OR(K582="12H Day",K582="Couple Half Day",K582="24H Day",K582="Couple Full Day")) ),1,0)</f>
        <v>0</v>
      </c>
      <c r="O582" s="1" t="n">
        <f aca="false">IF(OR( AND(MONTH(C582)=12,DAY(C582)&gt;=26), AND(MONTH(C582)=4,DAY(C582)&gt;=15), MONTH(C582)=5, AND(MONTH(C582)=6,DAY(C582)&lt;=10) ),1,0)</f>
        <v>0</v>
      </c>
      <c r="P582" s="1" t="str">
        <f aca="false">IF(OR(MONTH(C582)=3,MONTH(C582)=4,MONTH(C582)=5,MONTH(C582)=6), "Summer", IF(OR(MONTH(C582)=7,MONTH(C582)=8,MONTH(C582)=9,MONTH(C582)=10), "Monsoon", "Winter"))</f>
        <v>Winter</v>
      </c>
      <c r="Q582" s="1" t="n">
        <f aca="false">WEEKDAY(C582,2)</f>
        <v>4</v>
      </c>
      <c r="R582" s="0" t="n">
        <f aca="false">ROUNDDOWN(((INT(C582)+MOD(D582,1))-(INT(I582)+MOD(J582,1))),0)</f>
        <v>0</v>
      </c>
      <c r="S582" s="10"/>
    </row>
    <row r="583" customFormat="false" ht="212.2" hidden="false" customHeight="false" outlineLevel="0" collapsed="false">
      <c r="A583" s="8" t="s">
        <v>656</v>
      </c>
      <c r="B583" s="22" t="s">
        <v>1044</v>
      </c>
      <c r="C583" s="18" t="n">
        <v>46010.375</v>
      </c>
      <c r="D583" s="19" t="n">
        <v>46010.375</v>
      </c>
      <c r="E583" s="18" t="n">
        <v>46010.75</v>
      </c>
      <c r="F583" s="19" t="n">
        <v>46010.75</v>
      </c>
      <c r="G583" s="20" t="n">
        <v>2000</v>
      </c>
      <c r="H583" s="8" t="n">
        <v>2</v>
      </c>
      <c r="I583" s="10" t="n">
        <v>46010</v>
      </c>
      <c r="J583" s="11" t="n">
        <v>0.360416666662789</v>
      </c>
      <c r="K583" s="1" t="str">
        <f aca="false">IF(L583&gt;24,     IF(H583=2,"Couple Extended Day","Extended Day"), IF(L583&lt;=12,     IF(AND(MOD(D583,1)&gt;=TIME(6,0,0),MOD(D583,1)&lt;TIME(18,0,0)),         IF(H583=2,"Couple Half Day","12H Day"),         IF(H583=2,"Couple Half Night","12H Night")), IF(L583&lt;=24,     IF(AND(MOD(D583,1)&gt;=TIME(6,0,0),MOD(D583,1)&lt;TIME(18,0,0)),         IF(H583=2,"Couple Full Day","24H Day"),         IF(H583=2,"Couple Full Night","24H Night")), "Check Data")))</f>
        <v>Couple Half Day</v>
      </c>
      <c r="L583" s="12" t="n">
        <f aca="false">((INT(E583)+MOD(F583,1))-(INT(C583)+MOD(D583,1)))*24</f>
        <v>9</v>
      </c>
      <c r="M583" s="1" t="n">
        <f aca="false">IFERROR(INDEX(Sheet3!$B$2:$B$500,MATCH(1,(INT(C583)+MOD(D583,1)&lt;INT(Sheet3!$A$2:$A$500)+TIME(18,0,0))*(INT(E583)+MOD(F583,1)&gt;=INT(Sheet3!$A$2:$A$500)),0)),0)</f>
        <v>0</v>
      </c>
      <c r="N583" s="1" t="n">
        <f aca="false">IF(OR( AND(Q583=6,D583&gt;=TIME(17,0,0),OR(K583="12H Night",K583="Couple Half Night",K583="24H Night",K583="Couple Full Night")), AND(Q583=7,D583&gt;=TIME(6,0,0),D583&lt;TIME(12,0,0),OR(K583="12H Day",K583="Couple Half Day",K583="24H Day",K583="Couple Full Day")) ),1,0)</f>
        <v>0</v>
      </c>
      <c r="O583" s="1" t="n">
        <f aca="false">IF(OR( AND(MONTH(C583)=12,DAY(C583)&gt;=26), AND(MONTH(C583)=4,DAY(C583)&gt;=15), MONTH(C583)=5, AND(MONTH(C583)=6,DAY(C583)&lt;=10) ),1,0)</f>
        <v>0</v>
      </c>
      <c r="P583" s="1" t="str">
        <f aca="false">IF(OR(MONTH(C583)=3,MONTH(C583)=4,MONTH(C583)=5,MONTH(C583)=6), "Summer", IF(OR(MONTH(C583)=7,MONTH(C583)=8,MONTH(C583)=9,MONTH(C583)=10), "Monsoon", "Winter"))</f>
        <v>Winter</v>
      </c>
      <c r="Q583" s="1" t="n">
        <f aca="false">WEEKDAY(C583,2)</f>
        <v>5</v>
      </c>
      <c r="R583" s="0" t="n">
        <f aca="false">ROUNDDOWN(((INT(C583)+MOD(D583,1))-(INT(I583)+MOD(J583,1))),0)</f>
        <v>0</v>
      </c>
      <c r="S583" s="10"/>
    </row>
    <row r="584" customFormat="false" ht="146.45" hidden="false" customHeight="false" outlineLevel="0" collapsed="false">
      <c r="A584" s="8" t="s">
        <v>1045</v>
      </c>
      <c r="B584" s="22" t="s">
        <v>922</v>
      </c>
      <c r="C584" s="18" t="n">
        <v>46011.375</v>
      </c>
      <c r="D584" s="19" t="n">
        <v>46011.375</v>
      </c>
      <c r="E584" s="18" t="n">
        <v>46011.7916666667</v>
      </c>
      <c r="F584" s="19" t="n">
        <v>46011.7916666667</v>
      </c>
      <c r="G584" s="20" t="n">
        <v>2000</v>
      </c>
      <c r="H584" s="8" t="n">
        <v>2</v>
      </c>
      <c r="I584" s="10" t="n">
        <v>46010</v>
      </c>
      <c r="J584" s="11" t="n">
        <v>0.810046296297512</v>
      </c>
      <c r="K584" s="1" t="str">
        <f aca="false">IF(L584&gt;24,     IF(H584=2,"Couple Extended Day","Extended Day"), IF(L584&lt;=12,     IF(AND(MOD(D584,1)&gt;=TIME(6,0,0),MOD(D584,1)&lt;TIME(18,0,0)),         IF(H584=2,"Couple Half Day","12H Day"),         IF(H584=2,"Couple Half Night","12H Night")), IF(L584&lt;=24,     IF(AND(MOD(D584,1)&gt;=TIME(6,0,0),MOD(D584,1)&lt;TIME(18,0,0)),         IF(H584=2,"Couple Full Day","24H Day"),         IF(H584=2,"Couple Full Night","24H Night")), "Check Data")))</f>
        <v>Couple Half Day</v>
      </c>
      <c r="L584" s="12" t="n">
        <f aca="false">((INT(E584)+MOD(F584,1))-(INT(C584)+MOD(D584,1)))*24</f>
        <v>10.0000000009895</v>
      </c>
      <c r="M584" s="1" t="n">
        <f aca="false">IFERROR(INDEX(Sheet3!$B$2:$B$500,MATCH(1,(INT(C584)+MOD(D584,1)&lt;INT(Sheet3!$A$2:$A$500)+TIME(18,0,0))*(INT(E584)+MOD(F584,1)&gt;=INT(Sheet3!$A$2:$A$500)),0)),0)</f>
        <v>0</v>
      </c>
      <c r="N584" s="1" t="n">
        <f aca="false">IF(OR( AND(Q584=6,D584&gt;=TIME(17,0,0),OR(K584="12H Night",K584="Couple Half Night",K584="24H Night",K584="Couple Full Night")), AND(Q584=7,D584&gt;=TIME(6,0,0),D584&lt;TIME(12,0,0),OR(K584="12H Day",K584="Couple Half Day",K584="24H Day",K584="Couple Full Day")) ),1,0)</f>
        <v>0</v>
      </c>
      <c r="O584" s="1" t="n">
        <f aca="false">IF(OR( AND(MONTH(C584)=12,DAY(C584)&gt;=26), AND(MONTH(C584)=4,DAY(C584)&gt;=15), MONTH(C584)=5, AND(MONTH(C584)=6,DAY(C584)&lt;=10) ),1,0)</f>
        <v>0</v>
      </c>
      <c r="P584" s="1" t="str">
        <f aca="false">IF(OR(MONTH(C584)=3,MONTH(C584)=4,MONTH(C584)=5,MONTH(C584)=6), "Summer", IF(OR(MONTH(C584)=7,MONTH(C584)=8,MONTH(C584)=9,MONTH(C584)=10), "Monsoon", "Winter"))</f>
        <v>Winter</v>
      </c>
      <c r="Q584" s="1" t="n">
        <f aca="false">WEEKDAY(C584,2)</f>
        <v>6</v>
      </c>
      <c r="R584" s="0" t="n">
        <f aca="false">ROUNDDOWN(((INT(C584)+MOD(D584,1))-(INT(I584)+MOD(J584,1))),0)</f>
        <v>0</v>
      </c>
      <c r="S584" s="10"/>
    </row>
    <row r="585" customFormat="false" ht="159.6" hidden="false" customHeight="false" outlineLevel="0" collapsed="false">
      <c r="A585" s="8" t="s">
        <v>1046</v>
      </c>
      <c r="B585" s="22" t="s">
        <v>1047</v>
      </c>
      <c r="C585" s="18" t="n">
        <v>46013.375</v>
      </c>
      <c r="D585" s="19" t="n">
        <v>46013.375</v>
      </c>
      <c r="E585" s="18" t="n">
        <v>46013.75</v>
      </c>
      <c r="F585" s="19" t="n">
        <v>46013.75</v>
      </c>
      <c r="G585" s="20" t="n">
        <v>1500</v>
      </c>
      <c r="H585" s="8" t="n">
        <v>2</v>
      </c>
      <c r="I585" s="10" t="n">
        <v>46012</v>
      </c>
      <c r="J585" s="11" t="n">
        <v>0.579837962963206</v>
      </c>
      <c r="K585" s="1" t="str">
        <f aca="false">IF(L585&gt;24,     IF(H585=2,"Couple Extended Day","Extended Day"), IF(L585&lt;=12,     IF(AND(MOD(D585,1)&gt;=TIME(6,0,0),MOD(D585,1)&lt;TIME(18,0,0)),         IF(H585=2,"Couple Half Day","12H Day"),         IF(H585=2,"Couple Half Night","12H Night")), IF(L585&lt;=24,     IF(AND(MOD(D585,1)&gt;=TIME(6,0,0),MOD(D585,1)&lt;TIME(18,0,0)),         IF(H585=2,"Couple Full Day","24H Day"),         IF(H585=2,"Couple Full Night","24H Night")), "Check Data")))</f>
        <v>Couple Half Day</v>
      </c>
      <c r="L585" s="12" t="n">
        <f aca="false">((INT(E585)+MOD(F585,1))-(INT(C585)+MOD(D585,1)))*24</f>
        <v>9</v>
      </c>
      <c r="M585" s="1" t="n">
        <f aca="false">IFERROR(INDEX(Sheet3!$B$2:$B$500,MATCH(1,(INT(C585)+MOD(D585,1)&lt;INT(Sheet3!$A$2:$A$500)+TIME(18,0,0))*(INT(E585)+MOD(F585,1)&gt;=INT(Sheet3!$A$2:$A$500)),0)),0)</f>
        <v>0</v>
      </c>
      <c r="N585" s="1" t="n">
        <f aca="false">IF(OR( AND(Q585=6,D585&gt;=TIME(17,0,0),OR(K585="12H Night",K585="Couple Half Night",K585="24H Night",K585="Couple Full Night")), AND(Q585=7,D585&gt;=TIME(6,0,0),D585&lt;TIME(12,0,0),OR(K585="12H Day",K585="Couple Half Day",K585="24H Day",K585="Couple Full Day")) ),1,0)</f>
        <v>0</v>
      </c>
      <c r="O585" s="1" t="n">
        <f aca="false">IF(OR( AND(MONTH(C585)=12,DAY(C585)&gt;=26), AND(MONTH(C585)=4,DAY(C585)&gt;=15), MONTH(C585)=5, AND(MONTH(C585)=6,DAY(C585)&lt;=10) ),1,0)</f>
        <v>0</v>
      </c>
      <c r="P585" s="1" t="str">
        <f aca="false">IF(OR(MONTH(C585)=3,MONTH(C585)=4,MONTH(C585)=5,MONTH(C585)=6), "Summer", IF(OR(MONTH(C585)=7,MONTH(C585)=8,MONTH(C585)=9,MONTH(C585)=10), "Monsoon", "Winter"))</f>
        <v>Winter</v>
      </c>
      <c r="Q585" s="1" t="n">
        <f aca="false">WEEKDAY(C585,2)</f>
        <v>1</v>
      </c>
      <c r="R585" s="0" t="n">
        <f aca="false">ROUNDDOWN(((INT(C585)+MOD(D585,1))-(INT(I585)+MOD(J585,1))),0)</f>
        <v>0</v>
      </c>
      <c r="S585" s="10"/>
    </row>
    <row r="586" customFormat="false" ht="172.75" hidden="false" customHeight="false" outlineLevel="0" collapsed="false">
      <c r="A586" s="8" t="s">
        <v>1048</v>
      </c>
      <c r="B586" s="22" t="s">
        <v>1049</v>
      </c>
      <c r="C586" s="18" t="n">
        <v>46017.375</v>
      </c>
      <c r="D586" s="19" t="n">
        <v>46017.375</v>
      </c>
      <c r="E586" s="18" t="n">
        <v>46017.75</v>
      </c>
      <c r="F586" s="19" t="n">
        <v>46017.75</v>
      </c>
      <c r="G586" s="20" t="n">
        <v>2500</v>
      </c>
      <c r="H586" s="8" t="n">
        <v>4</v>
      </c>
      <c r="I586" s="10" t="n">
        <v>46016</v>
      </c>
      <c r="J586" s="11" t="n">
        <v>0.981874999997674</v>
      </c>
      <c r="K586" s="1" t="str">
        <f aca="false">IF(L586&gt;24,     IF(H586=2,"Couple Extended Day","Extended Day"), IF(L586&lt;=12,     IF(AND(MOD(D586,1)&gt;=TIME(6,0,0),MOD(D586,1)&lt;TIME(18,0,0)),         IF(H586=2,"Couple Half Day","12H Day"),         IF(H586=2,"Couple Half Night","12H Night")), IF(L586&lt;=24,     IF(AND(MOD(D586,1)&gt;=TIME(6,0,0),MOD(D586,1)&lt;TIME(18,0,0)),         IF(H586=2,"Couple Full Day","24H Day"),         IF(H586=2,"Couple Full Night","24H Night")), "Check Data")))</f>
        <v>12H Day</v>
      </c>
      <c r="L586" s="12" t="n">
        <f aca="false">((INT(E586)+MOD(F586,1))-(INT(C586)+MOD(D586,1)))*24</f>
        <v>9</v>
      </c>
      <c r="M586" s="1" t="n">
        <f aca="false">IFERROR(INDEX(Sheet3!$B$2:$B$500,MATCH(1,(INT(C586)+MOD(D586,1)&lt;INT(Sheet3!$A$2:$A$500)+TIME(18,0,0))*(INT(E586)+MOD(F586,1)&gt;=INT(Sheet3!$A$2:$A$500)),0)),0)</f>
        <v>0</v>
      </c>
      <c r="N586" s="1" t="n">
        <f aca="false">IF(OR( AND(Q586=6,D586&gt;=TIME(17,0,0),OR(K586="12H Night",K586="Couple Half Night",K586="24H Night",K586="Couple Full Night")), AND(Q586=7,D586&gt;=TIME(6,0,0),D586&lt;TIME(12,0,0),OR(K586="12H Day",K586="Couple Half Day",K586="24H Day",K586="Couple Full Day")) ),1,0)</f>
        <v>0</v>
      </c>
      <c r="O586" s="1" t="n">
        <f aca="false">IF(OR( AND(MONTH(C586)=12,DAY(C586)&gt;=26), AND(MONTH(C586)=4,DAY(C586)&gt;=15), MONTH(C586)=5, AND(MONTH(C586)=6,DAY(C586)&lt;=10) ),1,0)</f>
        <v>1</v>
      </c>
      <c r="P586" s="1" t="str">
        <f aca="false">IF(OR(MONTH(C586)=3,MONTH(C586)=4,MONTH(C586)=5,MONTH(C586)=6), "Summer", IF(OR(MONTH(C586)=7,MONTH(C586)=8,MONTH(C586)=9,MONTH(C586)=10), "Monsoon", "Winter"))</f>
        <v>Winter</v>
      </c>
      <c r="Q586" s="1" t="n">
        <f aca="false">WEEKDAY(C586,2)</f>
        <v>5</v>
      </c>
      <c r="R586" s="0" t="n">
        <f aca="false">ROUNDDOWN(((INT(C586)+MOD(D586,1))-(INT(I586)+MOD(J586,1))),0)</f>
        <v>0</v>
      </c>
      <c r="S586" s="10"/>
    </row>
    <row r="587" customFormat="false" ht="146.45" hidden="false" customHeight="false" outlineLevel="0" collapsed="false">
      <c r="A587" s="8" t="s">
        <v>1050</v>
      </c>
      <c r="B587" s="22" t="s">
        <v>1051</v>
      </c>
      <c r="C587" s="18" t="n">
        <v>46018.7916666667</v>
      </c>
      <c r="D587" s="19" t="n">
        <v>46018.7916666667</v>
      </c>
      <c r="E587" s="18" t="n">
        <v>46019.75</v>
      </c>
      <c r="F587" s="19" t="n">
        <v>46019.75</v>
      </c>
      <c r="G587" s="20" t="n">
        <v>500</v>
      </c>
      <c r="H587" s="8" t="n">
        <v>10</v>
      </c>
      <c r="I587" s="10" t="n">
        <v>45994</v>
      </c>
      <c r="J587" s="11" t="n">
        <v>0.422164351854005</v>
      </c>
      <c r="K587" s="1" t="str">
        <f aca="false">IF(L587&gt;24,     IF(H587=2,"Couple Extended Day","Extended Day"), IF(L587&lt;=12,     IF(AND(MOD(D587,1)&gt;=TIME(6,0,0),MOD(D587,1)&lt;TIME(18,0,0)),         IF(H587=2,"Couple Half Day","12H Day"),         IF(H587=2,"Couple Half Night","12H Night")), IF(L587&lt;=24,     IF(AND(MOD(D587,1)&gt;=TIME(6,0,0),MOD(D587,1)&lt;TIME(18,0,0)),         IF(H587=2,"Couple Full Day","24H Day"),         IF(H587=2,"Couple Full Night","24H Night")), "Check Data")))</f>
        <v>24H Night</v>
      </c>
      <c r="L587" s="12" t="n">
        <f aca="false">((INT(E587)+MOD(F587,1))-(INT(C587)+MOD(D587,1)))*24</f>
        <v>22.9999999990105</v>
      </c>
      <c r="M587" s="1" t="n">
        <f aca="false">IFERROR(INDEX(Sheet3!$B$2:$B$500,MATCH(1,(INT(C587)+MOD(D587,1)&lt;INT(Sheet3!$A$2:$A$500)+TIME(18,0,0))*(INT(E587)+MOD(F587,1)&gt;=INT(Sheet3!$A$2:$A$500)),0)),0)</f>
        <v>0</v>
      </c>
      <c r="N587" s="1" t="n">
        <f aca="false">IF(OR( AND(Q587=6,D587&gt;=TIME(17,0,0),OR(K587="12H Night",K587="Couple Half Night",K587="24H Night",K587="Couple Full Night")), AND(Q587=7,D587&gt;=TIME(6,0,0),D587&lt;TIME(12,0,0),OR(K587="12H Day",K587="Couple Half Day",K587="24H Day",K587="Couple Full Day")) ),1,0)</f>
        <v>1</v>
      </c>
      <c r="O587" s="1" t="n">
        <f aca="false">IF(OR( AND(MONTH(C587)=12,DAY(C587)&gt;=26), AND(MONTH(C587)=4,DAY(C587)&gt;=15), MONTH(C587)=5, AND(MONTH(C587)=6,DAY(C587)&lt;=10) ),1,0)</f>
        <v>1</v>
      </c>
      <c r="P587" s="1" t="str">
        <f aca="false">IF(OR(MONTH(C587)=3,MONTH(C587)=4,MONTH(C587)=5,MONTH(C587)=6), "Summer", IF(OR(MONTH(C587)=7,MONTH(C587)=8,MONTH(C587)=9,MONTH(C587)=10), "Monsoon", "Winter"))</f>
        <v>Winter</v>
      </c>
      <c r="Q587" s="1" t="n">
        <f aca="false">WEEKDAY(C587,2)</f>
        <v>6</v>
      </c>
      <c r="R587" s="0" t="n">
        <f aca="false">ROUNDDOWN(((INT(C587)+MOD(D587,1))-(INT(I587)+MOD(J587,1))),0)</f>
        <v>24</v>
      </c>
      <c r="S587" s="10"/>
    </row>
    <row r="588" customFormat="false" ht="133.3" hidden="false" customHeight="false" outlineLevel="0" collapsed="false">
      <c r="A588" s="8" t="s">
        <v>1052</v>
      </c>
      <c r="B588" s="22" t="s">
        <v>1053</v>
      </c>
      <c r="C588" s="18" t="n">
        <v>46018.7916666667</v>
      </c>
      <c r="D588" s="19" t="n">
        <v>46018.7916666667</v>
      </c>
      <c r="E588" s="18" t="n">
        <v>46023.7916666667</v>
      </c>
      <c r="F588" s="19" t="n">
        <v>46023.7916666667</v>
      </c>
      <c r="G588" s="20" t="n">
        <v>23500</v>
      </c>
      <c r="H588" s="8" t="n">
        <v>6</v>
      </c>
      <c r="I588" s="10" t="n">
        <v>46017</v>
      </c>
      <c r="J588" s="11" t="n">
        <v>0.0368402777821759</v>
      </c>
      <c r="K588" s="1" t="str">
        <f aca="false">IF(L588&gt;24,     IF(H588=2,"Couple Extended Day","Extended Day"), IF(L588&lt;=12,     IF(AND(MOD(D588,1)&gt;=TIME(6,0,0),MOD(D588,1)&lt;TIME(18,0,0)),         IF(H588=2,"Couple Half Day","12H Day"),         IF(H588=2,"Couple Half Night","12H Night")), IF(L588&lt;=24,     IF(AND(MOD(D588,1)&gt;=TIME(6,0,0),MOD(D588,1)&lt;TIME(18,0,0)),         IF(H588=2,"Couple Full Day","24H Day"),         IF(H588=2,"Couple Full Night","24H Night")), "Check Data")))</f>
        <v>Extended Day</v>
      </c>
      <c r="L588" s="12" t="n">
        <f aca="false">((INT(E588)+MOD(F588,1))-(INT(C588)+MOD(D588,1)))*24</f>
        <v>120</v>
      </c>
      <c r="M588" s="1" t="str">
        <f aca="false">IFERROR(INDEX(Sheet3!$B$2:$B$500,MATCH(1,(INT(C588)+MOD(D588,1)&lt;INT(Sheet3!$A$2:$A$500)+TIME(18,0,0))*(INT(E588)+MOD(F588,1)&gt;=INT(Sheet3!$A$2:$A$500)),0)),0)</f>
        <v>New Year's Eve</v>
      </c>
      <c r="N588" s="1" t="n">
        <f aca="false">IF(OR( AND(Q588=6,D588&gt;=TIME(17,0,0),OR(K588="12H Night",K588="Couple Half Night",K588="24H Night",K588="Couple Full Night")), AND(Q588=7,D588&gt;=TIME(6,0,0),D588&lt;TIME(12,0,0),OR(K588="12H Day",K588="Couple Half Day",K588="24H Day",K588="Couple Full Day")) ),1,0)</f>
        <v>0</v>
      </c>
      <c r="O588" s="1" t="n">
        <f aca="false">IF(OR( AND(MONTH(C588)=12,DAY(C588)&gt;=26), AND(MONTH(C588)=4,DAY(C588)&gt;=15), MONTH(C588)=5, AND(MONTH(C588)=6,DAY(C588)&lt;=10) ),1,0)</f>
        <v>1</v>
      </c>
      <c r="P588" s="1" t="str">
        <f aca="false">IF(OR(MONTH(C588)=3,MONTH(C588)=4,MONTH(C588)=5,MONTH(C588)=6), "Summer", IF(OR(MONTH(C588)=7,MONTH(C588)=8,MONTH(C588)=9,MONTH(C588)=10), "Monsoon", "Winter"))</f>
        <v>Winter</v>
      </c>
      <c r="Q588" s="1" t="n">
        <f aca="false">WEEKDAY(C588,2)</f>
        <v>6</v>
      </c>
      <c r="R588" s="0" t="n">
        <f aca="false">ROUNDDOWN(((INT(C588)+MOD(D588,1))-(INT(I588)+MOD(J588,1))),0)</f>
        <v>1</v>
      </c>
      <c r="S588" s="10"/>
    </row>
    <row r="589" customFormat="false" ht="159.6" hidden="false" customHeight="false" outlineLevel="0" collapsed="false">
      <c r="A589" s="8" t="s">
        <v>1054</v>
      </c>
      <c r="B589" s="22" t="s">
        <v>1055</v>
      </c>
      <c r="C589" s="18" t="n">
        <v>46024.4166666667</v>
      </c>
      <c r="D589" s="19" t="n">
        <v>46024.4166666667</v>
      </c>
      <c r="E589" s="18" t="n">
        <v>46024.75</v>
      </c>
      <c r="F589" s="19" t="n">
        <v>46024.75</v>
      </c>
      <c r="G589" s="20" t="n">
        <v>2000</v>
      </c>
      <c r="H589" s="8" t="n">
        <v>2</v>
      </c>
      <c r="I589" s="10" t="n">
        <v>46017</v>
      </c>
      <c r="J589" s="11" t="n">
        <v>0.422280092592697</v>
      </c>
      <c r="K589" s="1" t="str">
        <f aca="false">IF(L589&gt;24,     IF(H589=2,"Couple Extended Day","Extended Day"), IF(L589&lt;=12,     IF(AND(MOD(D589,1)&gt;=TIME(6,0,0),MOD(D589,1)&lt;TIME(18,0,0)),         IF(H589=2,"Couple Half Day","12H Day"),         IF(H589=2,"Couple Half Night","12H Night")), IF(L589&lt;=24,     IF(AND(MOD(D589,1)&gt;=TIME(6,0,0),MOD(D589,1)&lt;TIME(18,0,0)),         IF(H589=2,"Couple Full Day","24H Day"),         IF(H589=2,"Couple Full Night","24H Night")), "Check Data")))</f>
        <v>Couple Half Day</v>
      </c>
      <c r="L589" s="12" t="n">
        <f aca="false">((INT(E589)+MOD(F589,1))-(INT(C589)+MOD(D589,1)))*24</f>
        <v>7.99999999901047</v>
      </c>
      <c r="M589" s="1" t="n">
        <f aca="false">IFERROR(INDEX(Sheet3!$B$2:$B$500,MATCH(1,(INT(C589)+MOD(D589,1)&lt;INT(Sheet3!$A$2:$A$500)+TIME(18,0,0))*(INT(E589)+MOD(F589,1)&gt;=INT(Sheet3!$A$2:$A$500)),0)),0)</f>
        <v>0</v>
      </c>
      <c r="N589" s="1" t="n">
        <f aca="false">IF(OR( AND(Q589=6,D589&gt;=TIME(17,0,0),OR(K589="12H Night",K589="Couple Half Night",K589="24H Night",K589="Couple Full Night")), AND(Q589=7,D589&gt;=TIME(6,0,0),D589&lt;TIME(12,0,0),OR(K589="12H Day",K589="Couple Half Day",K589="24H Day",K589="Couple Full Day")) ),1,0)</f>
        <v>0</v>
      </c>
      <c r="O589" s="1" t="n">
        <f aca="false">IF(OR( AND(MONTH(C589)=12,DAY(C589)&gt;=26), AND(MONTH(C589)=4,DAY(C589)&gt;=15), MONTH(C589)=5, AND(MONTH(C589)=6,DAY(C589)&lt;=10) ),1,0)</f>
        <v>0</v>
      </c>
      <c r="P589" s="1" t="str">
        <f aca="false">IF(OR(MONTH(C589)=3,MONTH(C589)=4,MONTH(C589)=5,MONTH(C589)=6), "Summer", IF(OR(MONTH(C589)=7,MONTH(C589)=8,MONTH(C589)=9,MONTH(C589)=10), "Monsoon", "Winter"))</f>
        <v>Winter</v>
      </c>
      <c r="Q589" s="1" t="n">
        <f aca="false">WEEKDAY(C589,2)</f>
        <v>5</v>
      </c>
      <c r="R589" s="0" t="n">
        <f aca="false">ROUNDDOWN(((INT(C589)+MOD(D589,1))-(INT(I589)+MOD(J589,1))),0)</f>
        <v>6</v>
      </c>
      <c r="S589" s="10"/>
    </row>
    <row r="590" customFormat="false" ht="133.3" hidden="false" customHeight="false" outlineLevel="0" collapsed="false">
      <c r="A590" s="8" t="s">
        <v>1056</v>
      </c>
      <c r="B590" s="22" t="s">
        <v>1057</v>
      </c>
      <c r="C590" s="18" t="n">
        <v>46025.5833333333</v>
      </c>
      <c r="D590" s="19" t="n">
        <v>0</v>
      </c>
      <c r="E590" s="18" t="n">
        <v>46026.8333333333</v>
      </c>
      <c r="F590" s="19" t="n">
        <v>0</v>
      </c>
      <c r="G590" s="20" t="n">
        <v>6000</v>
      </c>
      <c r="H590" s="8" t="n">
        <v>10</v>
      </c>
      <c r="I590" s="10" t="n">
        <v>46025</v>
      </c>
      <c r="J590" s="11" t="n">
        <v>0.907256944439722</v>
      </c>
      <c r="K590" s="1" t="str">
        <f aca="false">IF(L590&gt;24,     IF(H590=2,"Couple Extended Day","Extended Day"), IF(L590&lt;=12,     IF(AND(MOD(D590,1)&gt;=TIME(6,0,0),MOD(D590,1)&lt;TIME(18,0,0)),         IF(H590=2,"Couple Half Day","12H Day"),         IF(H590=2,"Couple Half Night","12H Night")), IF(L590&lt;=24,     IF(AND(MOD(D590,1)&gt;=TIME(6,0,0),MOD(D590,1)&lt;TIME(18,0,0)),         IF(H590=2,"Couple Full Day","24H Day"),         IF(H590=2,"Couple Full Night","24H Night")), "Check Data")))</f>
        <v>24H Night</v>
      </c>
      <c r="L590" s="12" t="n">
        <f aca="false">((INT(E590)+MOD(F590,1))-(INT(C590)+MOD(D590,1)))*24</f>
        <v>24</v>
      </c>
      <c r="M590" s="1" t="n">
        <f aca="false">IFERROR(INDEX(Sheet3!$B$2:$B$500,MATCH(1,(INT(C590)+MOD(D590,1)&lt;INT(Sheet3!$A$2:$A$500)+TIME(18,0,0))*(INT(E590)+MOD(F590,1)&gt;=INT(Sheet3!$A$2:$A$500)),0)),0)</f>
        <v>0</v>
      </c>
      <c r="N590" s="1" t="n">
        <f aca="false">IF(OR( AND(Q590=6,D590&gt;=TIME(17,0,0),OR(K590="12H Night",K590="Couple Half Night",K590="24H Night",K590="Couple Full Night")), AND(Q590=7,D590&gt;=TIME(6,0,0),D590&lt;TIME(12,0,0),OR(K590="12H Day",K590="Couple Half Day",K590="24H Day",K590="Couple Full Day")) ),1,0)</f>
        <v>0</v>
      </c>
      <c r="O590" s="1" t="n">
        <f aca="false">IF(OR( AND(MONTH(C590)=12,DAY(C590)&gt;=26), AND(MONTH(C590)=4,DAY(C590)&gt;=15), MONTH(C590)=5, AND(MONTH(C590)=6,DAY(C590)&lt;=10) ),1,0)</f>
        <v>0</v>
      </c>
      <c r="P590" s="1" t="str">
        <f aca="false">IF(OR(MONTH(C590)=3,MONTH(C590)=4,MONTH(C590)=5,MONTH(C590)=6), "Summer", IF(OR(MONTH(C590)=7,MONTH(C590)=8,MONTH(C590)=9,MONTH(C590)=10), "Monsoon", "Winter"))</f>
        <v>Winter</v>
      </c>
      <c r="Q590" s="1" t="n">
        <f aca="false">WEEKDAY(C590,2)</f>
        <v>6</v>
      </c>
      <c r="R590" s="0" t="n">
        <f aca="false">ROUNDDOWN(((INT(C590)+MOD(D590,1))-(INT(I590)+MOD(J590,1))),0)</f>
        <v>-0</v>
      </c>
      <c r="S590" s="10"/>
    </row>
    <row r="591" customFormat="false" ht="133.05" hidden="false" customHeight="false" outlineLevel="0" collapsed="false">
      <c r="A591" s="8" t="s">
        <v>1058</v>
      </c>
      <c r="B591" s="22" t="s">
        <v>1059</v>
      </c>
      <c r="C591" s="18" t="n">
        <v>46028.375</v>
      </c>
      <c r="D591" s="19" t="n">
        <v>46028.375</v>
      </c>
      <c r="E591" s="18" t="n">
        <v>46028.75</v>
      </c>
      <c r="F591" s="19" t="n">
        <v>46028.75</v>
      </c>
      <c r="G591" s="20" t="n">
        <v>2000</v>
      </c>
      <c r="H591" s="8" t="n">
        <v>2</v>
      </c>
      <c r="I591" s="10" t="n">
        <v>46027</v>
      </c>
      <c r="J591" s="11" t="n">
        <v>0.473993055551551</v>
      </c>
      <c r="K591" s="1" t="str">
        <f aca="false">IF(L591&gt;24,     IF(H591=2,"Couple Extended Day","Extended Day"), IF(L591&lt;=12,     IF(AND(MOD(D591,1)&gt;=TIME(6,0,0),MOD(D591,1)&lt;TIME(18,0,0)),         IF(H591=2,"Couple Half Day","12H Day"),         IF(H591=2,"Couple Half Night","12H Night")), IF(L591&lt;=24,     IF(AND(MOD(D591,1)&gt;=TIME(6,0,0),MOD(D591,1)&lt;TIME(18,0,0)),         IF(H591=2,"Couple Full Day","24H Day"),         IF(H591=2,"Couple Full Night","24H Night")), "Check Data")))</f>
        <v>Couple Half Day</v>
      </c>
      <c r="L591" s="12" t="n">
        <f aca="false">((INT(E591)+MOD(F591,1))-(INT(C591)+MOD(D591,1)))*24</f>
        <v>9</v>
      </c>
      <c r="M591" s="1" t="n">
        <f aca="false">IFERROR(INDEX(Sheet3!$B$2:$B$500,MATCH(1,(INT(C591)+MOD(D591,1)&lt;INT(Sheet3!$A$2:$A$500)+TIME(18,0,0))*(INT(E591)+MOD(F591,1)&gt;=INT(Sheet3!$A$2:$A$500)),0)),0)</f>
        <v>0</v>
      </c>
      <c r="N591" s="1" t="n">
        <f aca="false">IF(OR( AND(Q591=6,D591&gt;=TIME(17,0,0),OR(K591="12H Night",K591="Couple Half Night",K591="24H Night",K591="Couple Full Night")), AND(Q591=7,D591&gt;=TIME(6,0,0),D591&lt;TIME(12,0,0),OR(K591="12H Day",K591="Couple Half Day",K591="24H Day",K591="Couple Full Day")) ),1,0)</f>
        <v>0</v>
      </c>
      <c r="O591" s="1" t="n">
        <f aca="false">IF(OR( AND(MONTH(C591)=12,DAY(C591)&gt;=26), AND(MONTH(C591)=4,DAY(C591)&gt;=15), MONTH(C591)=5, AND(MONTH(C591)=6,DAY(C591)&lt;=10) ),1,0)</f>
        <v>0</v>
      </c>
      <c r="P591" s="1" t="str">
        <f aca="false">IF(OR(MONTH(C591)=3,MONTH(C591)=4,MONTH(C591)=5,MONTH(C591)=6), "Summer", IF(OR(MONTH(C591)=7,MONTH(C591)=8,MONTH(C591)=9,MONTH(C591)=10), "Monsoon", "Winter"))</f>
        <v>Winter</v>
      </c>
      <c r="Q591" s="1" t="n">
        <f aca="false">WEEKDAY(C591,2)</f>
        <v>2</v>
      </c>
      <c r="R591" s="0" t="n">
        <f aca="false">ROUNDDOWN(((INT(C591)+MOD(D591,1))-(INT(I591)+MOD(J591,1))),0)</f>
        <v>0</v>
      </c>
      <c r="S591" s="10"/>
    </row>
    <row r="592" customFormat="false" ht="133.05" hidden="false" customHeight="false" outlineLevel="0" collapsed="false">
      <c r="A592" s="8" t="s">
        <v>1060</v>
      </c>
      <c r="B592" s="22" t="s">
        <v>1061</v>
      </c>
      <c r="C592" s="18" t="n">
        <v>46031.7916666667</v>
      </c>
      <c r="D592" s="19" t="n">
        <v>46031.7916666667</v>
      </c>
      <c r="E592" s="18" t="n">
        <v>46032.75</v>
      </c>
      <c r="F592" s="19" t="n">
        <v>46032.75</v>
      </c>
      <c r="G592" s="20" t="n">
        <v>3500</v>
      </c>
      <c r="H592" s="8" t="n">
        <v>10</v>
      </c>
      <c r="I592" s="10" t="n">
        <v>46031</v>
      </c>
      <c r="J592" s="11" t="n">
        <v>0.680868055555035</v>
      </c>
      <c r="K592" s="1" t="str">
        <f aca="false">IF(L592&gt;24,     IF(H592=2,"Couple Extended Day","Extended Day"), IF(L592&lt;=12,     IF(AND(MOD(D592,1)&gt;=TIME(6,0,0),MOD(D592,1)&lt;TIME(18,0,0)),         IF(H592=2,"Couple Half Day","12H Day"),         IF(H592=2,"Couple Half Night","12H Night")), IF(L592&lt;=24,     IF(AND(MOD(D592,1)&gt;=TIME(6,0,0),MOD(D592,1)&lt;TIME(18,0,0)),         IF(H592=2,"Couple Full Day","24H Day"),         IF(H592=2,"Couple Full Night","24H Night")), "Check Data")))</f>
        <v>24H Night</v>
      </c>
      <c r="L592" s="12" t="n">
        <f aca="false">((INT(E592)+MOD(F592,1))-(INT(C592)+MOD(D592,1)))*24</f>
        <v>22.9999999990105</v>
      </c>
      <c r="M592" s="1" t="n">
        <f aca="false">IFERROR(INDEX(Sheet3!$B$2:$B$500,MATCH(1,(INT(C592)+MOD(D592,1)&lt;INT(Sheet3!$A$2:$A$500)+TIME(18,0,0))*(INT(E592)+MOD(F592,1)&gt;=INT(Sheet3!$A$2:$A$500)),0)),0)</f>
        <v>0</v>
      </c>
      <c r="N592" s="1" t="n">
        <f aca="false">IF(OR( AND(Q592=6,D592&gt;=TIME(17,0,0),OR(K592="12H Night",K592="Couple Half Night",K592="24H Night",K592="Couple Full Night")), AND(Q592=7,D592&gt;=TIME(6,0,0),D592&lt;TIME(12,0,0),OR(K592="12H Day",K592="Couple Half Day",K592="24H Day",K592="Couple Full Day")) ),1,0)</f>
        <v>0</v>
      </c>
      <c r="O592" s="1" t="n">
        <f aca="false">IF(OR( AND(MONTH(C592)=12,DAY(C592)&gt;=26), AND(MONTH(C592)=4,DAY(C592)&gt;=15), MONTH(C592)=5, AND(MONTH(C592)=6,DAY(C592)&lt;=10) ),1,0)</f>
        <v>0</v>
      </c>
      <c r="P592" s="1" t="str">
        <f aca="false">IF(OR(MONTH(C592)=3,MONTH(C592)=4,MONTH(C592)=5,MONTH(C592)=6), "Summer", IF(OR(MONTH(C592)=7,MONTH(C592)=8,MONTH(C592)=9,MONTH(C592)=10), "Monsoon", "Winter"))</f>
        <v>Winter</v>
      </c>
      <c r="Q592" s="1" t="n">
        <f aca="false">WEEKDAY(C592,2)</f>
        <v>5</v>
      </c>
      <c r="R592" s="0" t="n">
        <f aca="false">ROUNDDOWN(((INT(C592)+MOD(D592,1))-(INT(I592)+MOD(J592,1))),0)</f>
        <v>0</v>
      </c>
      <c r="S592" s="10"/>
    </row>
    <row r="593" customFormat="false" ht="133.3" hidden="false" customHeight="false" outlineLevel="0" collapsed="false">
      <c r="A593" s="8" t="s">
        <v>1062</v>
      </c>
      <c r="B593" s="22" t="s">
        <v>1063</v>
      </c>
      <c r="C593" s="18" t="n">
        <v>46032.7916666667</v>
      </c>
      <c r="D593" s="19" t="n">
        <v>46032.7916666667</v>
      </c>
      <c r="E593" s="18" t="n">
        <v>46033.3333333333</v>
      </c>
      <c r="F593" s="19" t="n">
        <v>0</v>
      </c>
      <c r="G593" s="20" t="n">
        <v>1000</v>
      </c>
      <c r="H593" s="8" t="n">
        <v>12</v>
      </c>
      <c r="I593" s="10" t="n">
        <v>46031</v>
      </c>
      <c r="J593" s="11" t="n">
        <v>0.444201388891088</v>
      </c>
      <c r="K593" s="1" t="str">
        <f aca="false">IF(L593&gt;24,     IF(H593=2,"Couple Extended Day","Extended Day"), IF(L593&lt;=12,     IF(AND(MOD(D593,1)&gt;=TIME(6,0,0),MOD(D593,1)&lt;TIME(18,0,0)),         IF(H593=2,"Couple Half Day","12H Day"),         IF(H593=2,"Couple Half Night","12H Night")), IF(L593&lt;=24,     IF(AND(MOD(D593,1)&gt;=TIME(6,0,0),MOD(D593,1)&lt;TIME(18,0,0)),         IF(H593=2,"Couple Full Day","24H Day"),         IF(H593=2,"Couple Full Night","24H Night")), "Check Data")))</f>
        <v>12H Night</v>
      </c>
      <c r="L593" s="12" t="n">
        <f aca="false">((INT(E593)+MOD(F593,1))-(INT(C593)+MOD(D593,1)))*24</f>
        <v>4.99999999901047</v>
      </c>
      <c r="M593" s="1" t="n">
        <f aca="false">IFERROR(INDEX(Sheet3!$B$2:$B$500,MATCH(1,(INT(C593)+MOD(D593,1)&lt;INT(Sheet3!$A$2:$A$500)+TIME(18,0,0))*(INT(E593)+MOD(F593,1)&gt;=INT(Sheet3!$A$2:$A$500)),0)),0)</f>
        <v>0</v>
      </c>
      <c r="N593" s="1" t="n">
        <f aca="false">IF(OR( AND(Q593=6,D593&gt;=TIME(17,0,0),OR(K593="12H Night",K593="Couple Half Night",K593="24H Night",K593="Couple Full Night")), AND(Q593=7,D593&gt;=TIME(6,0,0),D593&lt;TIME(12,0,0),OR(K593="12H Day",K593="Couple Half Day",K593="24H Day",K593="Couple Full Day")) ),1,0)</f>
        <v>1</v>
      </c>
      <c r="O593" s="1" t="n">
        <f aca="false">IF(OR( AND(MONTH(C593)=12,DAY(C593)&gt;=26), AND(MONTH(C593)=4,DAY(C593)&gt;=15), MONTH(C593)=5, AND(MONTH(C593)=6,DAY(C593)&lt;=10) ),1,0)</f>
        <v>0</v>
      </c>
      <c r="P593" s="1" t="str">
        <f aca="false">IF(OR(MONTH(C593)=3,MONTH(C593)=4,MONTH(C593)=5,MONTH(C593)=6), "Summer", IF(OR(MONTH(C593)=7,MONTH(C593)=8,MONTH(C593)=9,MONTH(C593)=10), "Monsoon", "Winter"))</f>
        <v>Winter</v>
      </c>
      <c r="Q593" s="1" t="n">
        <f aca="false">WEEKDAY(C593,2)</f>
        <v>6</v>
      </c>
      <c r="R593" s="0" t="n">
        <f aca="false">ROUNDDOWN(((INT(C593)+MOD(D593,1))-(INT(I593)+MOD(J593,1))),0)</f>
        <v>1</v>
      </c>
      <c r="S593" s="10"/>
    </row>
    <row r="594" customFormat="false" ht="146.45" hidden="false" customHeight="false" outlineLevel="0" collapsed="false">
      <c r="A594" s="8" t="s">
        <v>1064</v>
      </c>
      <c r="B594" s="22" t="s">
        <v>1065</v>
      </c>
      <c r="C594" s="18" t="n">
        <v>46032.7916666667</v>
      </c>
      <c r="D594" s="19" t="n">
        <v>46032.7916666667</v>
      </c>
      <c r="E594" s="18" t="n">
        <v>46033.75</v>
      </c>
      <c r="F594" s="19" t="n">
        <v>46033.75</v>
      </c>
      <c r="G594" s="20" t="n">
        <v>5000</v>
      </c>
      <c r="H594" s="8" t="n">
        <v>12</v>
      </c>
      <c r="I594" s="10" t="n">
        <v>46028</v>
      </c>
      <c r="J594" s="11" t="n">
        <v>0.547430555554456</v>
      </c>
      <c r="K594" s="1" t="str">
        <f aca="false">IF(L594&gt;24,     IF(H594=2,"Couple Extended Day","Extended Day"), IF(L594&lt;=12,     IF(AND(MOD(D594,1)&gt;=TIME(6,0,0),MOD(D594,1)&lt;TIME(18,0,0)),         IF(H594=2,"Couple Half Day","12H Day"),         IF(H594=2,"Couple Half Night","12H Night")), IF(L594&lt;=24,     IF(AND(MOD(D594,1)&gt;=TIME(6,0,0),MOD(D594,1)&lt;TIME(18,0,0)),         IF(H594=2,"Couple Full Day","24H Day"),         IF(H594=2,"Couple Full Night","24H Night")), "Check Data")))</f>
        <v>24H Night</v>
      </c>
      <c r="L594" s="12" t="n">
        <f aca="false">((INT(E594)+MOD(F594,1))-(INT(C594)+MOD(D594,1)))*24</f>
        <v>22.9999999990105</v>
      </c>
      <c r="M594" s="1" t="n">
        <f aca="false">IFERROR(INDEX(Sheet3!$B$2:$B$500,MATCH(1,(INT(C594)+MOD(D594,1)&lt;INT(Sheet3!$A$2:$A$500)+TIME(18,0,0))*(INT(E594)+MOD(F594,1)&gt;=INT(Sheet3!$A$2:$A$500)),0)),0)</f>
        <v>0</v>
      </c>
      <c r="N594" s="1" t="n">
        <f aca="false">IF(OR( AND(Q594=6,D594&gt;=TIME(17,0,0),OR(K594="12H Night",K594="Couple Half Night",K594="24H Night",K594="Couple Full Night")), AND(Q594=7,D594&gt;=TIME(6,0,0),D594&lt;TIME(12,0,0),OR(K594="12H Day",K594="Couple Half Day",K594="24H Day",K594="Couple Full Day")) ),1,0)</f>
        <v>1</v>
      </c>
      <c r="O594" s="1" t="n">
        <f aca="false">IF(OR( AND(MONTH(C594)=12,DAY(C594)&gt;=26), AND(MONTH(C594)=4,DAY(C594)&gt;=15), MONTH(C594)=5, AND(MONTH(C594)=6,DAY(C594)&lt;=10) ),1,0)</f>
        <v>0</v>
      </c>
      <c r="P594" s="1" t="str">
        <f aca="false">IF(OR(MONTH(C594)=3,MONTH(C594)=4,MONTH(C594)=5,MONTH(C594)=6), "Summer", IF(OR(MONTH(C594)=7,MONTH(C594)=8,MONTH(C594)=9,MONTH(C594)=10), "Monsoon", "Winter"))</f>
        <v>Winter</v>
      </c>
      <c r="Q594" s="1" t="n">
        <f aca="false">WEEKDAY(C594,2)</f>
        <v>6</v>
      </c>
      <c r="R594" s="0" t="n">
        <f aca="false">ROUNDDOWN(((INT(C594)+MOD(D594,1))-(INT(I594)+MOD(J594,1))),0)</f>
        <v>4</v>
      </c>
      <c r="S594" s="10"/>
    </row>
    <row r="595" customFormat="false" ht="133.3" hidden="false" customHeight="false" outlineLevel="0" collapsed="false">
      <c r="A595" s="8" t="s">
        <v>1066</v>
      </c>
      <c r="B595" s="22" t="s">
        <v>1067</v>
      </c>
      <c r="C595" s="18" t="n">
        <v>46033.375</v>
      </c>
      <c r="D595" s="19" t="n">
        <v>46033.375</v>
      </c>
      <c r="E595" s="18" t="n">
        <v>46034.3333333333</v>
      </c>
      <c r="F595" s="19" t="n">
        <v>0</v>
      </c>
      <c r="G595" s="20" t="n">
        <v>1000</v>
      </c>
      <c r="H595" s="8" t="n">
        <v>10</v>
      </c>
      <c r="I595" s="10" t="n">
        <v>46032</v>
      </c>
      <c r="J595" s="11" t="n">
        <v>0.641250000000579</v>
      </c>
      <c r="K595" s="1" t="str">
        <f aca="false">IF(L595&gt;24,     IF(H595=2,"Couple Extended Day","Extended Day"), IF(L595&lt;=12,     IF(AND(MOD(D595,1)&gt;=TIME(6,0,0),MOD(D595,1)&lt;TIME(18,0,0)),         IF(H595=2,"Couple Half Day","12H Day"),         IF(H595=2,"Couple Half Night","12H Night")), IF(L595&lt;=24,     IF(AND(MOD(D595,1)&gt;=TIME(6,0,0),MOD(D595,1)&lt;TIME(18,0,0)),         IF(H595=2,"Couple Full Day","24H Day"),         IF(H595=2,"Couple Full Night","24H Night")), "Check Data")))</f>
        <v>24H Day</v>
      </c>
      <c r="L595" s="12" t="n">
        <f aca="false">((INT(E595)+MOD(F595,1))-(INT(C595)+MOD(D595,1)))*24</f>
        <v>15</v>
      </c>
      <c r="M595" s="1" t="n">
        <f aca="false">IFERROR(INDEX(Sheet3!$B$2:$B$500,MATCH(1,(INT(C595)+MOD(D595,1)&lt;INT(Sheet3!$A$2:$A$500)+TIME(18,0,0))*(INT(E595)+MOD(F595,1)&gt;=INT(Sheet3!$A$2:$A$500)),0)),0)</f>
        <v>0</v>
      </c>
      <c r="N595" s="1" t="n">
        <f aca="false">IF(OR( AND(Q595=6,D595&gt;=TIME(17,0,0),OR(K595="12H Night",K595="Couple Half Night",K595="24H Night",K595="Couple Full Night")), AND(Q595=7,D595&gt;=TIME(6,0,0),D595&lt;TIME(12,0,0),OR(K595="12H Day",K595="Couple Half Day",K595="24H Day",K595="Couple Full Day")) ),1,0)</f>
        <v>0</v>
      </c>
      <c r="O595" s="1" t="n">
        <f aca="false">IF(OR( AND(MONTH(C595)=12,DAY(C595)&gt;=26), AND(MONTH(C595)=4,DAY(C595)&gt;=15), MONTH(C595)=5, AND(MONTH(C595)=6,DAY(C595)&lt;=10) ),1,0)</f>
        <v>0</v>
      </c>
      <c r="P595" s="1" t="str">
        <f aca="false">IF(OR(MONTH(C595)=3,MONTH(C595)=4,MONTH(C595)=5,MONTH(C595)=6), "Summer", IF(OR(MONTH(C595)=7,MONTH(C595)=8,MONTH(C595)=9,MONTH(C595)=10), "Monsoon", "Winter"))</f>
        <v>Winter</v>
      </c>
      <c r="Q595" s="1" t="n">
        <f aca="false">WEEKDAY(C595,2)</f>
        <v>7</v>
      </c>
      <c r="R595" s="0" t="n">
        <f aca="false">ROUNDDOWN(((INT(C595)+MOD(D595,1))-(INT(I595)+MOD(J595,1))),0)</f>
        <v>0</v>
      </c>
      <c r="S595" s="10"/>
    </row>
    <row r="596" customFormat="false" ht="133.3" hidden="false" customHeight="false" outlineLevel="0" collapsed="false">
      <c r="A596" s="8" t="s">
        <v>474</v>
      </c>
      <c r="B596" s="22" t="s">
        <v>1068</v>
      </c>
      <c r="C596" s="18" t="n">
        <v>46033.7916666667</v>
      </c>
      <c r="D596" s="19" t="n">
        <v>46033.7916666667</v>
      </c>
      <c r="E596" s="18" t="n">
        <v>46034.3333333333</v>
      </c>
      <c r="F596" s="19" t="n">
        <v>0</v>
      </c>
      <c r="G596" s="20" t="n">
        <v>2500</v>
      </c>
      <c r="H596" s="8" t="n">
        <v>8</v>
      </c>
      <c r="I596" s="10" t="n">
        <v>46032</v>
      </c>
      <c r="J596" s="11" t="n">
        <v>0.65446759259794</v>
      </c>
      <c r="K596" s="1" t="str">
        <f aca="false">IF(L596&gt;24,     IF(H596=2,"Couple Extended Day","Extended Day"), IF(L596&lt;=12,     IF(AND(MOD(D596,1)&gt;=TIME(6,0,0),MOD(D596,1)&lt;TIME(18,0,0)),         IF(H596=2,"Couple Half Day","12H Day"),         IF(H596=2,"Couple Half Night","12H Night")), IF(L596&lt;=24,     IF(AND(MOD(D596,1)&gt;=TIME(6,0,0),MOD(D596,1)&lt;TIME(18,0,0)),         IF(H596=2,"Couple Full Day","24H Day"),         IF(H596=2,"Couple Full Night","24H Night")), "Check Data")))</f>
        <v>12H Night</v>
      </c>
      <c r="L596" s="12" t="n">
        <f aca="false">((INT(E596)+MOD(F596,1))-(INT(C596)+MOD(D596,1)))*24</f>
        <v>4.99999999901047</v>
      </c>
      <c r="M596" s="1" t="n">
        <f aca="false">IFERROR(INDEX(Sheet3!$B$2:$B$500,MATCH(1,(INT(C596)+MOD(D596,1)&lt;INT(Sheet3!$A$2:$A$500)+TIME(18,0,0))*(INT(E596)+MOD(F596,1)&gt;=INT(Sheet3!$A$2:$A$500)),0)),0)</f>
        <v>0</v>
      </c>
      <c r="N596" s="1" t="n">
        <f aca="false">IF(OR( AND(Q596=6,D596&gt;=TIME(17,0,0),OR(K596="12H Night",K596="Couple Half Night",K596="24H Night",K596="Couple Full Night")), AND(Q596=7,D596&gt;=TIME(6,0,0),D596&lt;TIME(12,0,0),OR(K596="12H Day",K596="Couple Half Day",K596="24H Day",K596="Couple Full Day")) ),1,0)</f>
        <v>0</v>
      </c>
      <c r="O596" s="1" t="n">
        <f aca="false">IF(OR( AND(MONTH(C596)=12,DAY(C596)&gt;=26), AND(MONTH(C596)=4,DAY(C596)&gt;=15), MONTH(C596)=5, AND(MONTH(C596)=6,DAY(C596)&lt;=10) ),1,0)</f>
        <v>0</v>
      </c>
      <c r="P596" s="1" t="str">
        <f aca="false">IF(OR(MONTH(C596)=3,MONTH(C596)=4,MONTH(C596)=5,MONTH(C596)=6), "Summer", IF(OR(MONTH(C596)=7,MONTH(C596)=8,MONTH(C596)=9,MONTH(C596)=10), "Monsoon", "Winter"))</f>
        <v>Winter</v>
      </c>
      <c r="Q596" s="1" t="n">
        <f aca="false">WEEKDAY(C596,2)</f>
        <v>7</v>
      </c>
      <c r="R596" s="0" t="n">
        <f aca="false">ROUNDDOWN(((INT(C596)+MOD(D596,1))-(INT(I596)+MOD(J596,1))),0)</f>
        <v>1</v>
      </c>
      <c r="S596" s="10"/>
    </row>
    <row r="597" customFormat="false" ht="133.05" hidden="false" customHeight="false" outlineLevel="0" collapsed="false">
      <c r="A597" s="8" t="s">
        <v>1069</v>
      </c>
      <c r="B597" s="22" t="s">
        <v>1070</v>
      </c>
      <c r="C597" s="18" t="n">
        <v>46034.375</v>
      </c>
      <c r="D597" s="19" t="n">
        <v>46034.375</v>
      </c>
      <c r="E597" s="18" t="n">
        <v>46034.75</v>
      </c>
      <c r="F597" s="19" t="n">
        <v>46034.75</v>
      </c>
      <c r="G597" s="20" t="n">
        <v>2500</v>
      </c>
      <c r="H597" s="8" t="n">
        <v>3</v>
      </c>
      <c r="I597" s="10" t="n">
        <v>46028</v>
      </c>
      <c r="J597" s="11" t="n">
        <v>0.452858796299549</v>
      </c>
      <c r="K597" s="1" t="str">
        <f aca="false">IF(L597&gt;24,     IF(H597=2,"Couple Extended Day","Extended Day"), IF(L597&lt;=12,     IF(AND(MOD(D597,1)&gt;=TIME(6,0,0),MOD(D597,1)&lt;TIME(18,0,0)),         IF(H597=2,"Couple Half Day","12H Day"),         IF(H597=2,"Couple Half Night","12H Night")), IF(L597&lt;=24,     IF(AND(MOD(D597,1)&gt;=TIME(6,0,0),MOD(D597,1)&lt;TIME(18,0,0)),         IF(H597=2,"Couple Full Day","24H Day"),         IF(H597=2,"Couple Full Night","24H Night")), "Check Data")))</f>
        <v>12H Day</v>
      </c>
      <c r="L597" s="12" t="n">
        <f aca="false">((INT(E597)+MOD(F597,1))-(INT(C597)+MOD(D597,1)))*24</f>
        <v>9</v>
      </c>
      <c r="M597" s="1" t="n">
        <f aca="false">IFERROR(INDEX(Sheet3!$B$2:$B$500,MATCH(1,(INT(C597)+MOD(D597,1)&lt;INT(Sheet3!$A$2:$A$500)+TIME(18,0,0))*(INT(E597)+MOD(F597,1)&gt;=INT(Sheet3!$A$2:$A$500)),0)),0)</f>
        <v>0</v>
      </c>
      <c r="N597" s="1" t="n">
        <f aca="false">IF(OR( AND(Q597=6,D597&gt;=TIME(17,0,0),OR(K597="12H Night",K597="Couple Half Night",K597="24H Night",K597="Couple Full Night")), AND(Q597=7,D597&gt;=TIME(6,0,0),D597&lt;TIME(12,0,0),OR(K597="12H Day",K597="Couple Half Day",K597="24H Day",K597="Couple Full Day")) ),1,0)</f>
        <v>0</v>
      </c>
      <c r="O597" s="1" t="n">
        <f aca="false">IF(OR( AND(MONTH(C597)=12,DAY(C597)&gt;=26), AND(MONTH(C597)=4,DAY(C597)&gt;=15), MONTH(C597)=5, AND(MONTH(C597)=6,DAY(C597)&lt;=10) ),1,0)</f>
        <v>0</v>
      </c>
      <c r="P597" s="1" t="str">
        <f aca="false">IF(OR(MONTH(C597)=3,MONTH(C597)=4,MONTH(C597)=5,MONTH(C597)=6), "Summer", IF(OR(MONTH(C597)=7,MONTH(C597)=8,MONTH(C597)=9,MONTH(C597)=10), "Monsoon", "Winter"))</f>
        <v>Winter</v>
      </c>
      <c r="Q597" s="1" t="n">
        <f aca="false">WEEKDAY(C597,2)</f>
        <v>1</v>
      </c>
      <c r="R597" s="0" t="n">
        <f aca="false">ROUNDDOWN(((INT(C597)+MOD(D597,1))-(INT(I597)+MOD(J597,1))),0)</f>
        <v>5</v>
      </c>
      <c r="S597" s="10"/>
    </row>
    <row r="598" customFormat="false" ht="133.05" hidden="false" customHeight="false" outlineLevel="0" collapsed="false">
      <c r="A598" s="8" t="s">
        <v>1071</v>
      </c>
      <c r="B598" s="22" t="s">
        <v>1072</v>
      </c>
      <c r="C598" s="18" t="n">
        <v>46036.375</v>
      </c>
      <c r="D598" s="19" t="n">
        <v>46036.375</v>
      </c>
      <c r="E598" s="18" t="n">
        <v>46036.75</v>
      </c>
      <c r="F598" s="19" t="n">
        <v>46036.75</v>
      </c>
      <c r="G598" s="20" t="n">
        <v>4000</v>
      </c>
      <c r="H598" s="8" t="n">
        <v>10</v>
      </c>
      <c r="I598" s="10" t="n">
        <v>46035</v>
      </c>
      <c r="J598" s="11" t="n">
        <v>0.708831018520868</v>
      </c>
      <c r="K598" s="1" t="str">
        <f aca="false">IF(L598&gt;24,     IF(H598=2,"Couple Extended Day","Extended Day"), IF(L598&lt;=12,     IF(AND(MOD(D598,1)&gt;=TIME(6,0,0),MOD(D598,1)&lt;TIME(18,0,0)),         IF(H598=2,"Couple Half Day","12H Day"),         IF(H598=2,"Couple Half Night","12H Night")), IF(L598&lt;=24,     IF(AND(MOD(D598,1)&gt;=TIME(6,0,0),MOD(D598,1)&lt;TIME(18,0,0)),         IF(H598=2,"Couple Full Day","24H Day"),         IF(H598=2,"Couple Full Night","24H Night")), "Check Data")))</f>
        <v>12H Day</v>
      </c>
      <c r="L598" s="12" t="n">
        <f aca="false">((INT(E598)+MOD(F598,1))-(INT(C598)+MOD(D598,1)))*24</f>
        <v>9</v>
      </c>
      <c r="M598" s="1" t="str">
        <f aca="false">IFERROR(INDEX(Sheet3!$B$2:$B$500,MATCH(1,(INT(C598)+MOD(D598,1)&lt;INT(Sheet3!$A$2:$A$500)+TIME(18,0,0))*(INT(E598)+MOD(F598,1)&gt;=INT(Sheet3!$A$2:$A$500)),0)),0)</f>
        <v>Makar Sankranti</v>
      </c>
      <c r="N598" s="1" t="n">
        <f aca="false">IF(OR( AND(Q598=6,D598&gt;=TIME(17,0,0),OR(K598="12H Night",K598="Couple Half Night",K598="24H Night",K598="Couple Full Night")), AND(Q598=7,D598&gt;=TIME(6,0,0),D598&lt;TIME(12,0,0),OR(K598="12H Day",K598="Couple Half Day",K598="24H Day",K598="Couple Full Day")) ),1,0)</f>
        <v>0</v>
      </c>
      <c r="O598" s="1" t="n">
        <f aca="false">IF(OR( AND(MONTH(C598)=12,DAY(C598)&gt;=26), AND(MONTH(C598)=4,DAY(C598)&gt;=15), MONTH(C598)=5, AND(MONTH(C598)=6,DAY(C598)&lt;=10) ),1,0)</f>
        <v>0</v>
      </c>
      <c r="P598" s="1" t="str">
        <f aca="false">IF(OR(MONTH(C598)=3,MONTH(C598)=4,MONTH(C598)=5,MONTH(C598)=6), "Summer", IF(OR(MONTH(C598)=7,MONTH(C598)=8,MONTH(C598)=9,MONTH(C598)=10), "Monsoon", "Winter"))</f>
        <v>Winter</v>
      </c>
      <c r="Q598" s="1" t="n">
        <f aca="false">WEEKDAY(C598,2)</f>
        <v>3</v>
      </c>
      <c r="R598" s="0" t="n">
        <f aca="false">ROUNDDOWN(((INT(C598)+MOD(D598,1))-(INT(I598)+MOD(J598,1))),0)</f>
        <v>0</v>
      </c>
      <c r="S598" s="10"/>
    </row>
    <row r="599" customFormat="false" ht="133.3" hidden="false" customHeight="false" outlineLevel="0" collapsed="false">
      <c r="A599" s="8" t="s">
        <v>1073</v>
      </c>
      <c r="B599" s="22" t="s">
        <v>1074</v>
      </c>
      <c r="C599" s="18" t="n">
        <v>46038.375</v>
      </c>
      <c r="D599" s="19" t="n">
        <v>46038.375</v>
      </c>
      <c r="E599" s="18" t="n">
        <v>46038.7083333333</v>
      </c>
      <c r="F599" s="19" t="n">
        <v>0</v>
      </c>
      <c r="G599" s="20" t="n">
        <v>2500</v>
      </c>
      <c r="H599" s="8" t="n">
        <v>2</v>
      </c>
      <c r="I599" s="10" t="n">
        <v>46037</v>
      </c>
      <c r="J599" s="11" t="n">
        <v>0.518182870371678</v>
      </c>
      <c r="K599" s="1" t="str">
        <f aca="false">IF(L599&gt;24,     IF(H599=2,"Couple Extended Day","Extended Day"), IF(L599&lt;=12,     IF(AND(MOD(D599,1)&gt;=TIME(6,0,0),MOD(D599,1)&lt;TIME(18,0,0)),         IF(H599=2,"Couple Half Day","12H Day"),         IF(H599=2,"Couple Half Night","12H Night")), IF(L599&lt;=24,     IF(AND(MOD(D599,1)&gt;=TIME(6,0,0),MOD(D599,1)&lt;TIME(18,0,0)),         IF(H599=2,"Couple Full Day","24H Day"),         IF(H599=2,"Couple Full Night","24H Night")), "Check Data")))</f>
        <v>Couple Half Day</v>
      </c>
      <c r="L599" s="12" t="n">
        <f aca="false">((INT(E599)+MOD(F599,1))-(INT(C599)+MOD(D599,1)))*24</f>
        <v>-9</v>
      </c>
      <c r="M599" s="1" t="n">
        <f aca="false">IFERROR(INDEX(Sheet3!$B$2:$B$500,MATCH(1,(INT(C599)+MOD(D599,1)&lt;INT(Sheet3!$A$2:$A$500)+TIME(18,0,0))*(INT(E599)+MOD(F599,1)&gt;=INT(Sheet3!$A$2:$A$500)),0)),0)</f>
        <v>0</v>
      </c>
      <c r="N599" s="1" t="n">
        <f aca="false">IF(OR( AND(Q599=6,D599&gt;=TIME(17,0,0),OR(K599="12H Night",K599="Couple Half Night",K599="24H Night",K599="Couple Full Night")), AND(Q599=7,D599&gt;=TIME(6,0,0),D599&lt;TIME(12,0,0),OR(K599="12H Day",K599="Couple Half Day",K599="24H Day",K599="Couple Full Day")) ),1,0)</f>
        <v>0</v>
      </c>
      <c r="O599" s="1" t="n">
        <f aca="false">IF(OR( AND(MONTH(C599)=12,DAY(C599)&gt;=26), AND(MONTH(C599)=4,DAY(C599)&gt;=15), MONTH(C599)=5, AND(MONTH(C599)=6,DAY(C599)&lt;=10) ),1,0)</f>
        <v>0</v>
      </c>
      <c r="P599" s="1" t="str">
        <f aca="false">IF(OR(MONTH(C599)=3,MONTH(C599)=4,MONTH(C599)=5,MONTH(C599)=6), "Summer", IF(OR(MONTH(C599)=7,MONTH(C599)=8,MONTH(C599)=9,MONTH(C599)=10), "Monsoon", "Winter"))</f>
        <v>Winter</v>
      </c>
      <c r="Q599" s="1" t="n">
        <f aca="false">WEEKDAY(C599,2)</f>
        <v>5</v>
      </c>
      <c r="R599" s="0" t="n">
        <f aca="false">ROUNDDOWN(((INT(C599)+MOD(D599,1))-(INT(I599)+MOD(J599,1))),0)</f>
        <v>0</v>
      </c>
      <c r="S599" s="10"/>
    </row>
    <row r="600" customFormat="false" ht="133.05" hidden="false" customHeight="false" outlineLevel="0" collapsed="false">
      <c r="A600" s="8" t="s">
        <v>1075</v>
      </c>
      <c r="B600" s="22" t="s">
        <v>1076</v>
      </c>
      <c r="C600" s="18" t="n">
        <v>46039.7916666667</v>
      </c>
      <c r="D600" s="19" t="n">
        <v>46039.7916666667</v>
      </c>
      <c r="E600" s="18" t="n">
        <v>46040.75</v>
      </c>
      <c r="F600" s="19" t="n">
        <v>46040.75</v>
      </c>
      <c r="G600" s="20" t="n">
        <v>5000</v>
      </c>
      <c r="H600" s="8" t="n">
        <v>10</v>
      </c>
      <c r="I600" s="10" t="n">
        <v>46039</v>
      </c>
      <c r="J600" s="11" t="n">
        <v>0.594756944439722</v>
      </c>
      <c r="K600" s="1" t="str">
        <f aca="false">IF(L600&gt;24,     IF(H600=2,"Couple Extended Day","Extended Day"), IF(L600&lt;=12,     IF(AND(MOD(D600,1)&gt;=TIME(6,0,0),MOD(D600,1)&lt;TIME(18,0,0)),         IF(H600=2,"Couple Half Day","12H Day"),         IF(H600=2,"Couple Half Night","12H Night")), IF(L600&lt;=24,     IF(AND(MOD(D600,1)&gt;=TIME(6,0,0),MOD(D600,1)&lt;TIME(18,0,0)),         IF(H600=2,"Couple Full Day","24H Day"),         IF(H600=2,"Couple Full Night","24H Night")), "Check Data")))</f>
        <v>24H Night</v>
      </c>
      <c r="L600" s="12" t="n">
        <f aca="false">((INT(E600)+MOD(F600,1))-(INT(C600)+MOD(D600,1)))*24</f>
        <v>22.9999999990105</v>
      </c>
      <c r="M600" s="1" t="n">
        <f aca="false">IFERROR(INDEX(Sheet3!$B$2:$B$500,MATCH(1,(INT(C600)+MOD(D600,1)&lt;INT(Sheet3!$A$2:$A$500)+TIME(18,0,0))*(INT(E600)+MOD(F600,1)&gt;=INT(Sheet3!$A$2:$A$500)),0)),0)</f>
        <v>0</v>
      </c>
      <c r="N600" s="1" t="n">
        <f aca="false">IF(OR( AND(Q600=6,D600&gt;=TIME(17,0,0),OR(K600="12H Night",K600="Couple Half Night",K600="24H Night",K600="Couple Full Night")), AND(Q600=7,D600&gt;=TIME(6,0,0),D600&lt;TIME(12,0,0),OR(K600="12H Day",K600="Couple Half Day",K600="24H Day",K600="Couple Full Day")) ),1,0)</f>
        <v>1</v>
      </c>
      <c r="O600" s="1" t="n">
        <f aca="false">IF(OR( AND(MONTH(C600)=12,DAY(C600)&gt;=26), AND(MONTH(C600)=4,DAY(C600)&gt;=15), MONTH(C600)=5, AND(MONTH(C600)=6,DAY(C600)&lt;=10) ),1,0)</f>
        <v>0</v>
      </c>
      <c r="P600" s="1" t="str">
        <f aca="false">IF(OR(MONTH(C600)=3,MONTH(C600)=4,MONTH(C600)=5,MONTH(C600)=6), "Summer", IF(OR(MONTH(C600)=7,MONTH(C600)=8,MONTH(C600)=9,MONTH(C600)=10), "Monsoon", "Winter"))</f>
        <v>Winter</v>
      </c>
      <c r="Q600" s="1" t="n">
        <f aca="false">WEEKDAY(C600,2)</f>
        <v>6</v>
      </c>
      <c r="R600" s="0" t="n">
        <f aca="false">ROUNDDOWN(((INT(C600)+MOD(D600,1))-(INT(I600)+MOD(J600,1))),0)</f>
        <v>0</v>
      </c>
      <c r="S600" s="10"/>
    </row>
    <row r="601" customFormat="false" ht="133.05" hidden="false" customHeight="false" outlineLevel="0" collapsed="false">
      <c r="A601" s="8" t="s">
        <v>1014</v>
      </c>
      <c r="B601" s="22" t="s">
        <v>1077</v>
      </c>
      <c r="C601" s="18" t="n">
        <v>46045.4166666667</v>
      </c>
      <c r="D601" s="19" t="n">
        <v>46045.4166666667</v>
      </c>
      <c r="E601" s="18" t="n">
        <v>46045.7083333333</v>
      </c>
      <c r="F601" s="19" t="n">
        <v>0</v>
      </c>
      <c r="G601" s="20" t="n">
        <v>1500</v>
      </c>
      <c r="H601" s="8" t="n">
        <v>2</v>
      </c>
      <c r="I601" s="10" t="n">
        <v>46044</v>
      </c>
      <c r="J601" s="11" t="n">
        <v>0.834884259260428</v>
      </c>
      <c r="K601" s="1" t="str">
        <f aca="false">IF(L601&gt;24,     IF(H601=2,"Couple Extended Day","Extended Day"), IF(L601&lt;=12,     IF(AND(MOD(D601,1)&gt;=TIME(6,0,0),MOD(D601,1)&lt;TIME(18,0,0)),         IF(H601=2,"Couple Half Day","12H Day"),         IF(H601=2,"Couple Half Night","12H Night")), IF(L601&lt;=24,     IF(AND(MOD(D601,1)&gt;=TIME(6,0,0),MOD(D601,1)&lt;TIME(18,0,0)),         IF(H601=2,"Couple Full Day","24H Day"),         IF(H601=2,"Couple Full Night","24H Night")), "Check Data")))</f>
        <v>Couple Half Day</v>
      </c>
      <c r="L601" s="12" t="n">
        <f aca="false">((INT(E601)+MOD(F601,1))-(INT(C601)+MOD(D601,1)))*24</f>
        <v>-10.0000000009895</v>
      </c>
      <c r="M601" s="1" t="n">
        <f aca="false">IFERROR(INDEX(Sheet3!$B$2:$B$500,MATCH(1,(INT(C601)+MOD(D601,1)&lt;INT(Sheet3!$A$2:$A$500)+TIME(18,0,0))*(INT(E601)+MOD(F601,1)&gt;=INT(Sheet3!$A$2:$A$500)),0)),0)</f>
        <v>0</v>
      </c>
      <c r="N601" s="1" t="n">
        <f aca="false">IF(OR( AND(Q601=6,D601&gt;=TIME(17,0,0),OR(K601="12H Night",K601="Couple Half Night",K601="24H Night",K601="Couple Full Night")), AND(Q601=7,D601&gt;=TIME(6,0,0),D601&lt;TIME(12,0,0),OR(K601="12H Day",K601="Couple Half Day",K601="24H Day",K601="Couple Full Day")) ),1,0)</f>
        <v>0</v>
      </c>
      <c r="O601" s="1" t="n">
        <f aca="false">IF(OR( AND(MONTH(C601)=12,DAY(C601)&gt;=26), AND(MONTH(C601)=4,DAY(C601)&gt;=15), MONTH(C601)=5, AND(MONTH(C601)=6,DAY(C601)&lt;=10) ),1,0)</f>
        <v>0</v>
      </c>
      <c r="P601" s="1" t="str">
        <f aca="false">IF(OR(MONTH(C601)=3,MONTH(C601)=4,MONTH(C601)=5,MONTH(C601)=6), "Summer", IF(OR(MONTH(C601)=7,MONTH(C601)=8,MONTH(C601)=9,MONTH(C601)=10), "Monsoon", "Winter"))</f>
        <v>Winter</v>
      </c>
      <c r="Q601" s="1" t="n">
        <f aca="false">WEEKDAY(C601,2)</f>
        <v>5</v>
      </c>
      <c r="R601" s="0" t="n">
        <f aca="false">ROUNDDOWN(((INT(C601)+MOD(D601,1))-(INT(I601)+MOD(J601,1))),0)</f>
        <v>0</v>
      </c>
      <c r="S601" s="10"/>
    </row>
    <row r="602" customFormat="false" ht="133.05" hidden="false" customHeight="false" outlineLevel="0" collapsed="false">
      <c r="A602" s="8" t="s">
        <v>1078</v>
      </c>
      <c r="B602" s="22" t="s">
        <v>1079</v>
      </c>
      <c r="C602" s="18" t="n">
        <v>46045.7916666667</v>
      </c>
      <c r="D602" s="19" t="n">
        <v>46045.7916666667</v>
      </c>
      <c r="E602" s="18" t="n">
        <v>46046.75</v>
      </c>
      <c r="F602" s="19" t="n">
        <v>46046.75</v>
      </c>
      <c r="G602" s="20" t="n">
        <v>1000</v>
      </c>
      <c r="H602" s="8" t="n">
        <v>10</v>
      </c>
      <c r="I602" s="10" t="n">
        <v>46038</v>
      </c>
      <c r="J602" s="11" t="n">
        <v>0.925729166665405</v>
      </c>
      <c r="K602" s="1" t="str">
        <f aca="false">IF(L602&gt;24,     IF(H602=2,"Couple Extended Day","Extended Day"), IF(L602&lt;=12,     IF(AND(MOD(D602,1)&gt;=TIME(6,0,0),MOD(D602,1)&lt;TIME(18,0,0)),         IF(H602=2,"Couple Half Day","12H Day"),         IF(H602=2,"Couple Half Night","12H Night")), IF(L602&lt;=24,     IF(AND(MOD(D602,1)&gt;=TIME(6,0,0),MOD(D602,1)&lt;TIME(18,0,0)),         IF(H602=2,"Couple Full Day","24H Day"),         IF(H602=2,"Couple Full Night","24H Night")), "Check Data")))</f>
        <v>24H Night</v>
      </c>
      <c r="L602" s="12" t="n">
        <f aca="false">((INT(E602)+MOD(F602,1))-(INT(C602)+MOD(D602,1)))*24</f>
        <v>22.9999999990105</v>
      </c>
      <c r="M602" s="1" t="n">
        <f aca="false">IFERROR(INDEX(Sheet3!$B$2:$B$500,MATCH(1,(INT(C602)+MOD(D602,1)&lt;INT(Sheet3!$A$2:$A$500)+TIME(18,0,0))*(INT(E602)+MOD(F602,1)&gt;=INT(Sheet3!$A$2:$A$500)),0)),0)</f>
        <v>0</v>
      </c>
      <c r="N602" s="1" t="n">
        <f aca="false">IF(OR( AND(Q602=6,D602&gt;=TIME(17,0,0),OR(K602="12H Night",K602="Couple Half Night",K602="24H Night",K602="Couple Full Night")), AND(Q602=7,D602&gt;=TIME(6,0,0),D602&lt;TIME(12,0,0),OR(K602="12H Day",K602="Couple Half Day",K602="24H Day",K602="Couple Full Day")) ),1,0)</f>
        <v>0</v>
      </c>
      <c r="O602" s="1" t="n">
        <f aca="false">IF(OR( AND(MONTH(C602)=12,DAY(C602)&gt;=26), AND(MONTH(C602)=4,DAY(C602)&gt;=15), MONTH(C602)=5, AND(MONTH(C602)=6,DAY(C602)&lt;=10) ),1,0)</f>
        <v>0</v>
      </c>
      <c r="P602" s="1" t="str">
        <f aca="false">IF(OR(MONTH(C602)=3,MONTH(C602)=4,MONTH(C602)=5,MONTH(C602)=6), "Summer", IF(OR(MONTH(C602)=7,MONTH(C602)=8,MONTH(C602)=9,MONTH(C602)=10), "Monsoon", "Winter"))</f>
        <v>Winter</v>
      </c>
      <c r="Q602" s="1" t="n">
        <f aca="false">WEEKDAY(C602,2)</f>
        <v>5</v>
      </c>
      <c r="R602" s="0" t="n">
        <f aca="false">ROUNDDOWN(((INT(C602)+MOD(D602,1))-(INT(I602)+MOD(J602,1))),0)</f>
        <v>6</v>
      </c>
      <c r="S602" s="10"/>
    </row>
    <row r="603" customFormat="false" ht="121.1" hidden="false" customHeight="false" outlineLevel="0" collapsed="false">
      <c r="A603" s="8" t="s">
        <v>1080</v>
      </c>
      <c r="B603" s="22" t="s">
        <v>1081</v>
      </c>
      <c r="C603" s="18" t="n">
        <v>46046.7916666667</v>
      </c>
      <c r="D603" s="19" t="n">
        <v>46046.7916666667</v>
      </c>
      <c r="E603" s="18" t="n">
        <v>46047.75</v>
      </c>
      <c r="F603" s="19" t="n">
        <v>46047.75</v>
      </c>
      <c r="G603" s="20" t="n">
        <v>5000</v>
      </c>
      <c r="H603" s="8" t="n">
        <v>6</v>
      </c>
      <c r="I603" s="10" t="n">
        <v>46043</v>
      </c>
      <c r="J603" s="11" t="n">
        <v>0.770428240735787</v>
      </c>
      <c r="K603" s="1" t="str">
        <f aca="false">IF(L603&gt;24,     IF(H603=2,"Couple Extended Day","Extended Day"), IF(L603&lt;=12,     IF(AND(MOD(D603,1)&gt;=TIME(6,0,0),MOD(D603,1)&lt;TIME(18,0,0)),         IF(H603=2,"Couple Half Day","12H Day"),         IF(H603=2,"Couple Half Night","12H Night")), IF(L603&lt;=24,     IF(AND(MOD(D603,1)&gt;=TIME(6,0,0),MOD(D603,1)&lt;TIME(18,0,0)),         IF(H603=2,"Couple Full Day","24H Day"),         IF(H603=2,"Couple Full Night","24H Night")), "Check Data")))</f>
        <v>24H Night</v>
      </c>
      <c r="L603" s="12" t="n">
        <f aca="false">((INT(E603)+MOD(F603,1))-(INT(C603)+MOD(D603,1)))*24</f>
        <v>22.9999999990105</v>
      </c>
      <c r="M603" s="1" t="n">
        <f aca="false">IFERROR(INDEX(Sheet3!$B$2:$B$500,MATCH(1,(INT(C603)+MOD(D603,1)&lt;INT(Sheet3!$A$2:$A$500)+TIME(18,0,0))*(INT(E603)+MOD(F603,1)&gt;=INT(Sheet3!$A$2:$A$500)),0)),0)</f>
        <v>0</v>
      </c>
      <c r="N603" s="1" t="n">
        <f aca="false">IF(OR( AND(Q603=6,D603&gt;=TIME(17,0,0),OR(K603="12H Night",K603="Couple Half Night",K603="24H Night",K603="Couple Full Night")), AND(Q603=7,D603&gt;=TIME(6,0,0),D603&lt;TIME(12,0,0),OR(K603="12H Day",K603="Couple Half Day",K603="24H Day",K603="Couple Full Day")) ),1,0)</f>
        <v>1</v>
      </c>
      <c r="O603" s="1" t="n">
        <f aca="false">IF(OR( AND(MONTH(C603)=12,DAY(C603)&gt;=26), AND(MONTH(C603)=4,DAY(C603)&gt;=15), MONTH(C603)=5, AND(MONTH(C603)=6,DAY(C603)&lt;=10) ),1,0)</f>
        <v>0</v>
      </c>
      <c r="P603" s="1" t="str">
        <f aca="false">IF(OR(MONTH(C603)=3,MONTH(C603)=4,MONTH(C603)=5,MONTH(C603)=6), "Summer", IF(OR(MONTH(C603)=7,MONTH(C603)=8,MONTH(C603)=9,MONTH(C603)=10), "Monsoon", "Winter"))</f>
        <v>Winter</v>
      </c>
      <c r="Q603" s="1" t="n">
        <f aca="false">WEEKDAY(C603,2)</f>
        <v>6</v>
      </c>
      <c r="R603" s="0" t="n">
        <f aca="false">ROUNDDOWN(((INT(C603)+MOD(D603,1))-(INT(I603)+MOD(J603,1))),0)</f>
        <v>3</v>
      </c>
      <c r="S603" s="10"/>
    </row>
    <row r="604" customFormat="false" ht="121.1" hidden="false" customHeight="false" outlineLevel="0" collapsed="false">
      <c r="A604" s="8" t="s">
        <v>1082</v>
      </c>
      <c r="B604" s="22" t="s">
        <v>1083</v>
      </c>
      <c r="C604" s="18" t="n">
        <v>46047.9583333333</v>
      </c>
      <c r="D604" s="19" t="n">
        <v>0</v>
      </c>
      <c r="E604" s="18" t="n">
        <v>46048.75</v>
      </c>
      <c r="F604" s="19" t="n">
        <v>46048.75</v>
      </c>
      <c r="G604" s="20" t="n">
        <v>4000</v>
      </c>
      <c r="H604" s="8" t="n">
        <v>8</v>
      </c>
      <c r="I604" s="10" t="n">
        <v>46047</v>
      </c>
      <c r="J604" s="11" t="n">
        <v>0.889374999998831</v>
      </c>
      <c r="K604" s="1" t="str">
        <f aca="false">IF(L604&gt;24,     IF(H604=2,"Couple Extended Day","Extended Day"), IF(L604&lt;=12,     IF(AND(MOD(D604,1)&gt;=TIME(6,0,0),MOD(D604,1)&lt;TIME(18,0,0)),         IF(H604=2,"Couple Half Day","12H Day"),         IF(H604=2,"Couple Half Night","12H Night")), IF(L604&lt;=24,     IF(AND(MOD(D604,1)&gt;=TIME(6,0,0),MOD(D604,1)&lt;TIME(18,0,0)),         IF(H604=2,"Couple Full Day","24H Day"),         IF(H604=2,"Couple Full Night","24H Night")), "Check Data")))</f>
        <v>Extended Day</v>
      </c>
      <c r="L604" s="12" t="n">
        <f aca="false">((INT(E604)+MOD(F604,1))-(INT(C604)+MOD(D604,1)))*24</f>
        <v>42</v>
      </c>
      <c r="M604" s="1" t="str">
        <f aca="false">IFERROR(INDEX(Sheet3!$B$2:$B$500,MATCH(1,(INT(C604)+MOD(D604,1)&lt;INT(Sheet3!$A$2:$A$500)+TIME(18,0,0))*(INT(E604)+MOD(F604,1)&gt;=INT(Sheet3!$A$2:$A$500)),0)),0)</f>
        <v>Republic Day</v>
      </c>
      <c r="N604" s="1" t="n">
        <f aca="false">IF(OR( AND(Q604=6,D604&gt;=TIME(17,0,0),OR(K604="12H Night",K604="Couple Half Night",K604="24H Night",K604="Couple Full Night")), AND(Q604=7,D604&gt;=TIME(6,0,0),D604&lt;TIME(12,0,0),OR(K604="12H Day",K604="Couple Half Day",K604="24H Day",K604="Couple Full Day")) ),1,0)</f>
        <v>0</v>
      </c>
      <c r="O604" s="1" t="n">
        <f aca="false">IF(OR( AND(MONTH(C604)=12,DAY(C604)&gt;=26), AND(MONTH(C604)=4,DAY(C604)&gt;=15), MONTH(C604)=5, AND(MONTH(C604)=6,DAY(C604)&lt;=10) ),1,0)</f>
        <v>0</v>
      </c>
      <c r="P604" s="1" t="str">
        <f aca="false">IF(OR(MONTH(C604)=3,MONTH(C604)=4,MONTH(C604)=5,MONTH(C604)=6), "Summer", IF(OR(MONTH(C604)=7,MONTH(C604)=8,MONTH(C604)=9,MONTH(C604)=10), "Monsoon", "Winter"))</f>
        <v>Winter</v>
      </c>
      <c r="Q604" s="1" t="n">
        <f aca="false">WEEKDAY(C604,2)</f>
        <v>7</v>
      </c>
      <c r="R604" s="0" t="n">
        <f aca="false">ROUNDDOWN(((INT(C604)+MOD(D604,1))-(INT(I604)+MOD(J604,1))),0)</f>
        <v>-0</v>
      </c>
      <c r="S604" s="10"/>
    </row>
    <row r="605" customFormat="false" ht="120.15" hidden="false" customHeight="false" outlineLevel="0" collapsed="false">
      <c r="A605" s="8" t="s">
        <v>1084</v>
      </c>
      <c r="B605" s="22" t="s">
        <v>1085</v>
      </c>
      <c r="C605" s="18" t="n">
        <v>46052.375</v>
      </c>
      <c r="D605" s="19" t="n">
        <v>46052.375</v>
      </c>
      <c r="E605" s="18" t="n">
        <v>46052.75</v>
      </c>
      <c r="F605" s="19" t="n">
        <v>46052.75</v>
      </c>
      <c r="G605" s="20" t="n">
        <v>2000</v>
      </c>
      <c r="H605" s="8" t="n">
        <v>2</v>
      </c>
      <c r="I605" s="10" t="n">
        <v>46050</v>
      </c>
      <c r="J605" s="11" t="n">
        <v>0.796168981483785</v>
      </c>
      <c r="K605" s="1" t="str">
        <f aca="false">IF(L605&gt;24,     IF(H605=2,"Couple Extended Day","Extended Day"), IF(L605&lt;=12,     IF(AND(MOD(D605,1)&gt;=TIME(6,0,0),MOD(D605,1)&lt;TIME(18,0,0)),         IF(H605=2,"Couple Half Day","12H Day"),         IF(H605=2,"Couple Half Night","12H Night")), IF(L605&lt;=24,     IF(AND(MOD(D605,1)&gt;=TIME(6,0,0),MOD(D605,1)&lt;TIME(18,0,0)),         IF(H605=2,"Couple Full Day","24H Day"),         IF(H605=2,"Couple Full Night","24H Night")), "Check Data")))</f>
        <v>Couple Half Day</v>
      </c>
      <c r="L605" s="12" t="n">
        <f aca="false">((INT(E605)+MOD(F605,1))-(INT(C605)+MOD(D605,1)))*24</f>
        <v>9</v>
      </c>
      <c r="M605" s="1" t="n">
        <f aca="false">IFERROR(INDEX(Sheet3!$B$2:$B$500,MATCH(1,(INT(C605)+MOD(D605,1)&lt;INT(Sheet3!$A$2:$A$500)+TIME(18,0,0))*(INT(E605)+MOD(F605,1)&gt;=INT(Sheet3!$A$2:$A$500)),0)),0)</f>
        <v>0</v>
      </c>
      <c r="N605" s="1" t="n">
        <f aca="false">IF(OR( AND(Q605=6,D605&gt;=TIME(17,0,0),OR(K605="12H Night",K605="Couple Half Night",K605="24H Night",K605="Couple Full Night")), AND(Q605=7,D605&gt;=TIME(6,0,0),D605&lt;TIME(12,0,0),OR(K605="12H Day",K605="Couple Half Day",K605="24H Day",K605="Couple Full Day")) ),1,0)</f>
        <v>0</v>
      </c>
      <c r="O605" s="1" t="n">
        <f aca="false">IF(OR( AND(MONTH(C605)=12,DAY(C605)&gt;=26), AND(MONTH(C605)=4,DAY(C605)&gt;=15), MONTH(C605)=5, AND(MONTH(C605)=6,DAY(C605)&lt;=10) ),1,0)</f>
        <v>0</v>
      </c>
      <c r="P605" s="1" t="str">
        <f aca="false">IF(OR(MONTH(C605)=3,MONTH(C605)=4,MONTH(C605)=5,MONTH(C605)=6), "Summer", IF(OR(MONTH(C605)=7,MONTH(C605)=8,MONTH(C605)=9,MONTH(C605)=10), "Monsoon", "Winter"))</f>
        <v>Winter</v>
      </c>
      <c r="Q605" s="1" t="n">
        <f aca="false">WEEKDAY(C605,2)</f>
        <v>5</v>
      </c>
      <c r="R605" s="0" t="n">
        <f aca="false">ROUNDDOWN(((INT(C605)+MOD(D605,1))-(INT(I605)+MOD(J605,1))),0)</f>
        <v>1</v>
      </c>
      <c r="S605" s="10"/>
    </row>
    <row r="606" customFormat="false" ht="15.75" hidden="false" customHeight="false" outlineLevel="0" collapsed="false">
      <c r="A606" s="8" t="s">
        <v>1086</v>
      </c>
      <c r="B606" s="8" t="s">
        <v>379</v>
      </c>
      <c r="C606" s="18" t="n">
        <v>46053.625</v>
      </c>
      <c r="D606" s="19" t="n">
        <v>46053.625</v>
      </c>
      <c r="E606" s="18" t="n">
        <v>46053.75</v>
      </c>
      <c r="F606" s="19" t="n">
        <v>46053.75</v>
      </c>
      <c r="G606" s="20" t="n">
        <v>1000</v>
      </c>
      <c r="I606" s="10" t="n">
        <v>46054</v>
      </c>
      <c r="J606" s="11" t="n">
        <v>0.787245370374873</v>
      </c>
      <c r="K606" s="1" t="str">
        <f aca="false">IF(L606&gt;24,     IF(H606=2,"Couple Extended Day","Extended Day"), IF(L606&lt;=12,     IF(AND(MOD(D606,1)&gt;=TIME(6,0,0),MOD(D606,1)&lt;TIME(18,0,0)),         IF(H606=2,"Couple Half Day","12H Day"),         IF(H606=2,"Couple Half Night","12H Night")), IF(L606&lt;=24,     IF(AND(MOD(D606,1)&gt;=TIME(6,0,0),MOD(D606,1)&lt;TIME(18,0,0)),         IF(H606=2,"Couple Full Day","24H Day"),         IF(H606=2,"Couple Full Night","24H Night")), "Check Data")))</f>
        <v>12H Day</v>
      </c>
      <c r="L606" s="12" t="n">
        <f aca="false">((INT(E606)+MOD(F606,1))-(INT(C606)+MOD(D606,1)))*24</f>
        <v>3</v>
      </c>
      <c r="M606" s="1" t="n">
        <f aca="false">IFERROR(INDEX(Sheet3!$B$2:$B$500,MATCH(1,(INT(C606)+MOD(D606,1)&lt;INT(Sheet3!$A$2:$A$500)+TIME(18,0,0))*(INT(E606)+MOD(F606,1)&gt;=INT(Sheet3!$A$2:$A$500)),0)),0)</f>
        <v>0</v>
      </c>
      <c r="N606" s="1" t="n">
        <f aca="false">IF(OR( AND(Q606=6,D606&gt;=TIME(17,0,0),OR(K606="12H Night",K606="Couple Half Night",K606="24H Night",K606="Couple Full Night")), AND(Q606=7,D606&gt;=TIME(6,0,0),D606&lt;TIME(12,0,0),OR(K606="12H Day",K606="Couple Half Day",K606="24H Day",K606="Couple Full Day")) ),1,0)</f>
        <v>0</v>
      </c>
      <c r="O606" s="1" t="n">
        <f aca="false">IF(OR( AND(MONTH(C606)=12,DAY(C606)&gt;=26), AND(MONTH(C606)=4,DAY(C606)&gt;=15), MONTH(C606)=5, AND(MONTH(C606)=6,DAY(C606)&lt;=10) ),1,0)</f>
        <v>0</v>
      </c>
      <c r="P606" s="1" t="str">
        <f aca="false">IF(OR(MONTH(C606)=3,MONTH(C606)=4,MONTH(C606)=5,MONTH(C606)=6), "Summer", IF(OR(MONTH(C606)=7,MONTH(C606)=8,MONTH(C606)=9,MONTH(C606)=10), "Monsoon", "Winter"))</f>
        <v>Winter</v>
      </c>
      <c r="Q606" s="1" t="n">
        <f aca="false">WEEKDAY(C606,2)</f>
        <v>6</v>
      </c>
      <c r="R606" s="0" t="n">
        <f aca="false">ROUNDDOWN(((INT(C606)+MOD(D606,1))-(INT(I606)+MOD(J606,1))),0)</f>
        <v>-1</v>
      </c>
      <c r="S606" s="10"/>
    </row>
    <row r="607" customFormat="false" ht="120.15" hidden="false" customHeight="false" outlineLevel="0" collapsed="false">
      <c r="A607" s="8" t="s">
        <v>1087</v>
      </c>
      <c r="B607" s="22" t="s">
        <v>1088</v>
      </c>
      <c r="C607" s="18" t="n">
        <v>46054.7916666667</v>
      </c>
      <c r="D607" s="19" t="n">
        <v>46054.7916666667</v>
      </c>
      <c r="E607" s="18" t="n">
        <v>46055.3333333333</v>
      </c>
      <c r="F607" s="19" t="n">
        <v>0</v>
      </c>
      <c r="G607" s="20" t="n">
        <v>3000</v>
      </c>
      <c r="H607" s="8" t="n">
        <v>10</v>
      </c>
      <c r="I607" s="10" t="n">
        <v>46056</v>
      </c>
      <c r="J607" s="11" t="n">
        <v>0.771597222221319</v>
      </c>
      <c r="K607" s="1" t="str">
        <f aca="false">IF(L607&gt;24,     IF(H607=2,"Couple Extended Day","Extended Day"), IF(L607&lt;=12,     IF(AND(MOD(D607,1)&gt;=TIME(6,0,0),MOD(D607,1)&lt;TIME(18,0,0)),         IF(H607=2,"Couple Half Day","12H Day"),         IF(H607=2,"Couple Half Night","12H Night")), IF(L607&lt;=24,     IF(AND(MOD(D607,1)&gt;=TIME(6,0,0),MOD(D607,1)&lt;TIME(18,0,0)),         IF(H607=2,"Couple Full Day","24H Day"),         IF(H607=2,"Couple Full Night","24H Night")), "Check Data")))</f>
        <v>12H Night</v>
      </c>
      <c r="L607" s="12" t="n">
        <f aca="false">((INT(E607)+MOD(F607,1))-(INT(C607)+MOD(D607,1)))*24</f>
        <v>4.99999999901047</v>
      </c>
      <c r="M607" s="1" t="n">
        <f aca="false">IFERROR(INDEX(Sheet3!$B$2:$B$500,MATCH(1,(INT(C607)+MOD(D607,1)&lt;INT(Sheet3!$A$2:$A$500)+TIME(18,0,0))*(INT(E607)+MOD(F607,1)&gt;=INT(Sheet3!$A$2:$A$500)),0)),0)</f>
        <v>0</v>
      </c>
      <c r="N607" s="1" t="n">
        <f aca="false">IF(OR( AND(Q607=6,D607&gt;=TIME(17,0,0),OR(K607="12H Night",K607="Couple Half Night",K607="24H Night",K607="Couple Full Night")), AND(Q607=7,D607&gt;=TIME(6,0,0),D607&lt;TIME(12,0,0),OR(K607="12H Day",K607="Couple Half Day",K607="24H Day",K607="Couple Full Day")) ),1,0)</f>
        <v>0</v>
      </c>
      <c r="O607" s="1" t="n">
        <f aca="false">IF(OR( AND(MONTH(C607)=12,DAY(C607)&gt;=26), AND(MONTH(C607)=4,DAY(C607)&gt;=15), MONTH(C607)=5, AND(MONTH(C607)=6,DAY(C607)&lt;=10) ),1,0)</f>
        <v>0</v>
      </c>
      <c r="P607" s="1" t="str">
        <f aca="false">IF(OR(MONTH(C607)=3,MONTH(C607)=4,MONTH(C607)=5,MONTH(C607)=6), "Summer", IF(OR(MONTH(C607)=7,MONTH(C607)=8,MONTH(C607)=9,MONTH(C607)=10), "Monsoon", "Winter"))</f>
        <v>Winter</v>
      </c>
      <c r="Q607" s="1" t="n">
        <f aca="false">WEEKDAY(C607,2)</f>
        <v>7</v>
      </c>
      <c r="R607" s="0" t="n">
        <f aca="false">ROUNDDOWN(((INT(C607)+MOD(D607,1))-(INT(I607)+MOD(J607,1))),0)</f>
        <v>-1</v>
      </c>
      <c r="S607" s="10"/>
    </row>
    <row r="608" customFormat="false" ht="133.05" hidden="false" customHeight="false" outlineLevel="0" collapsed="false">
      <c r="A608" s="8" t="s">
        <v>1089</v>
      </c>
      <c r="B608" s="22" t="s">
        <v>1090</v>
      </c>
      <c r="C608" s="18" t="n">
        <v>46055.7916666667</v>
      </c>
      <c r="D608" s="19" t="n">
        <v>46055.7916666667</v>
      </c>
      <c r="E608" s="18" t="n">
        <v>46056.75</v>
      </c>
      <c r="F608" s="19" t="n">
        <v>46056.75</v>
      </c>
      <c r="G608" s="20" t="n">
        <v>3500</v>
      </c>
      <c r="H608" s="8" t="n">
        <v>8</v>
      </c>
      <c r="I608" s="10" t="n">
        <v>46055</v>
      </c>
      <c r="J608" s="11" t="n">
        <v>0.937164351853426</v>
      </c>
      <c r="K608" s="1" t="str">
        <f aca="false">IF(L608&gt;24,     IF(H608=2,"Couple Extended Day","Extended Day"), IF(L608&lt;=12,     IF(AND(MOD(D608,1)&gt;=TIME(6,0,0),MOD(D608,1)&lt;TIME(18,0,0)),         IF(H608=2,"Couple Half Day","12H Day"),         IF(H608=2,"Couple Half Night","12H Night")), IF(L608&lt;=24,     IF(AND(MOD(D608,1)&gt;=TIME(6,0,0),MOD(D608,1)&lt;TIME(18,0,0)),         IF(H608=2,"Couple Full Day","24H Day"),         IF(H608=2,"Couple Full Night","24H Night")), "Check Data")))</f>
        <v>24H Night</v>
      </c>
      <c r="L608" s="12" t="n">
        <f aca="false">((INT(E608)+MOD(F608,1))-(INT(C608)+MOD(D608,1)))*24</f>
        <v>22.9999999990105</v>
      </c>
      <c r="M608" s="1" t="n">
        <f aca="false">IFERROR(INDEX(Sheet3!$B$2:$B$500,MATCH(1,(INT(C608)+MOD(D608,1)&lt;INT(Sheet3!$A$2:$A$500)+TIME(18,0,0))*(INT(E608)+MOD(F608,1)&gt;=INT(Sheet3!$A$2:$A$500)),0)),0)</f>
        <v>0</v>
      </c>
      <c r="N608" s="1" t="n">
        <f aca="false">IF(OR( AND(Q608=6,D608&gt;=TIME(17,0,0),OR(K608="12H Night",K608="Couple Half Night",K608="24H Night",K608="Couple Full Night")), AND(Q608=7,D608&gt;=TIME(6,0,0),D608&lt;TIME(12,0,0),OR(K608="12H Day",K608="Couple Half Day",K608="24H Day",K608="Couple Full Day")) ),1,0)</f>
        <v>0</v>
      </c>
      <c r="O608" s="1" t="n">
        <f aca="false">IF(OR( AND(MONTH(C608)=12,DAY(C608)&gt;=26), AND(MONTH(C608)=4,DAY(C608)&gt;=15), MONTH(C608)=5, AND(MONTH(C608)=6,DAY(C608)&lt;=10) ),1,0)</f>
        <v>0</v>
      </c>
      <c r="P608" s="1" t="str">
        <f aca="false">IF(OR(MONTH(C608)=3,MONTH(C608)=4,MONTH(C608)=5,MONTH(C608)=6), "Summer", IF(OR(MONTH(C608)=7,MONTH(C608)=8,MONTH(C608)=9,MONTH(C608)=10), "Monsoon", "Winter"))</f>
        <v>Winter</v>
      </c>
      <c r="Q608" s="1" t="n">
        <f aca="false">WEEKDAY(C608,2)</f>
        <v>1</v>
      </c>
      <c r="R608" s="0" t="n">
        <f aca="false">ROUNDDOWN(((INT(C608)+MOD(D608,1))-(INT(I608)+MOD(J608,1))),0)</f>
        <v>-0</v>
      </c>
      <c r="S608" s="10"/>
    </row>
    <row r="609" customFormat="false" ht="133.05" hidden="false" customHeight="false" outlineLevel="0" collapsed="false">
      <c r="A609" s="8" t="s">
        <v>1091</v>
      </c>
      <c r="B609" s="22" t="s">
        <v>1092</v>
      </c>
      <c r="C609" s="18" t="n">
        <v>46058.7916666667</v>
      </c>
      <c r="D609" s="19" t="n">
        <v>46058.7916666667</v>
      </c>
      <c r="E609" s="18" t="n">
        <v>46059.3333333333</v>
      </c>
      <c r="F609" s="19" t="n">
        <v>0</v>
      </c>
      <c r="G609" s="20" t="n">
        <v>3000</v>
      </c>
      <c r="H609" s="8" t="n">
        <v>12</v>
      </c>
      <c r="I609" s="10" t="n">
        <v>46052</v>
      </c>
      <c r="J609" s="11" t="n">
        <v>0.905381944445255</v>
      </c>
      <c r="K609" s="1" t="str">
        <f aca="false">IF(L609&gt;24,     IF(H609=2,"Couple Extended Day","Extended Day"), IF(L609&lt;=12,     IF(AND(MOD(D609,1)&gt;=TIME(6,0,0),MOD(D609,1)&lt;TIME(18,0,0)),         IF(H609=2,"Couple Half Day","12H Day"),         IF(H609=2,"Couple Half Night","12H Night")), IF(L609&lt;=24,     IF(AND(MOD(D609,1)&gt;=TIME(6,0,0),MOD(D609,1)&lt;TIME(18,0,0)),         IF(H609=2,"Couple Full Day","24H Day"),         IF(H609=2,"Couple Full Night","24H Night")), "Check Data")))</f>
        <v>12H Night</v>
      </c>
      <c r="L609" s="12" t="n">
        <f aca="false">((INT(E609)+MOD(F609,1))-(INT(C609)+MOD(D609,1)))*24</f>
        <v>4.99999999901047</v>
      </c>
      <c r="M609" s="1" t="n">
        <f aca="false">IFERROR(INDEX(Sheet3!$B$2:$B$500,MATCH(1,(INT(C609)+MOD(D609,1)&lt;INT(Sheet3!$A$2:$A$500)+TIME(18,0,0))*(INT(E609)+MOD(F609,1)&gt;=INT(Sheet3!$A$2:$A$500)),0)),0)</f>
        <v>0</v>
      </c>
      <c r="N609" s="1" t="n">
        <f aca="false">IF(OR( AND(Q609=6,D609&gt;=TIME(17,0,0),OR(K609="12H Night",K609="Couple Half Night",K609="24H Night",K609="Couple Full Night")), AND(Q609=7,D609&gt;=TIME(6,0,0),D609&lt;TIME(12,0,0),OR(K609="12H Day",K609="Couple Half Day",K609="24H Day",K609="Couple Full Day")) ),1,0)</f>
        <v>0</v>
      </c>
      <c r="O609" s="1" t="n">
        <f aca="false">IF(OR( AND(MONTH(C609)=12,DAY(C609)&gt;=26), AND(MONTH(C609)=4,DAY(C609)&gt;=15), MONTH(C609)=5, AND(MONTH(C609)=6,DAY(C609)&lt;=10) ),1,0)</f>
        <v>0</v>
      </c>
      <c r="P609" s="1" t="str">
        <f aca="false">IF(OR(MONTH(C609)=3,MONTH(C609)=4,MONTH(C609)=5,MONTH(C609)=6), "Summer", IF(OR(MONTH(C609)=7,MONTH(C609)=8,MONTH(C609)=9,MONTH(C609)=10), "Monsoon", "Winter"))</f>
        <v>Winter</v>
      </c>
      <c r="Q609" s="1" t="n">
        <f aca="false">WEEKDAY(C609,2)</f>
        <v>4</v>
      </c>
      <c r="R609" s="0" t="n">
        <f aca="false">ROUNDDOWN(((INT(C609)+MOD(D609,1))-(INT(I609)+MOD(J609,1))),0)</f>
        <v>5</v>
      </c>
      <c r="S609" s="10"/>
    </row>
    <row r="610" customFormat="false" ht="120.15" hidden="false" customHeight="false" outlineLevel="0" collapsed="false">
      <c r="A610" s="8" t="s">
        <v>1093</v>
      </c>
      <c r="B610" s="22" t="s">
        <v>1094</v>
      </c>
      <c r="C610" s="18" t="n">
        <v>46059.7916666667</v>
      </c>
      <c r="D610" s="19" t="n">
        <v>46059.7916666667</v>
      </c>
      <c r="E610" s="18" t="n">
        <v>46060.75</v>
      </c>
      <c r="F610" s="19" t="n">
        <v>46060.75</v>
      </c>
      <c r="G610" s="20" t="n">
        <v>3500</v>
      </c>
      <c r="H610" s="8" t="n">
        <v>10</v>
      </c>
      <c r="I610" s="10" t="n">
        <v>46056</v>
      </c>
      <c r="J610" s="11" t="n">
        <v>0.700358796297222</v>
      </c>
      <c r="K610" s="1" t="str">
        <f aca="false">IF(L610&gt;24,     IF(H610=2,"Couple Extended Day","Extended Day"), IF(L610&lt;=12,     IF(AND(MOD(D610,1)&gt;=TIME(6,0,0),MOD(D610,1)&lt;TIME(18,0,0)),         IF(H610=2,"Couple Half Day","12H Day"),         IF(H610=2,"Couple Half Night","12H Night")), IF(L610&lt;=24,     IF(AND(MOD(D610,1)&gt;=TIME(6,0,0),MOD(D610,1)&lt;TIME(18,0,0)),         IF(H610=2,"Couple Full Day","24H Day"),         IF(H610=2,"Couple Full Night","24H Night")), "Check Data")))</f>
        <v>24H Night</v>
      </c>
      <c r="L610" s="12" t="n">
        <f aca="false">((INT(E610)+MOD(F610,1))-(INT(C610)+MOD(D610,1)))*24</f>
        <v>22.9999999990105</v>
      </c>
      <c r="M610" s="1" t="n">
        <f aca="false">IFERROR(INDEX(Sheet3!$B$2:$B$500,MATCH(1,(INT(C610)+MOD(D610,1)&lt;INT(Sheet3!$A$2:$A$500)+TIME(18,0,0))*(INT(E610)+MOD(F610,1)&gt;=INT(Sheet3!$A$2:$A$500)),0)),0)</f>
        <v>0</v>
      </c>
      <c r="N610" s="1" t="n">
        <f aca="false">IF(OR( AND(Q610=6,D610&gt;=TIME(17,0,0),OR(K610="12H Night",K610="Couple Half Night",K610="24H Night",K610="Couple Full Night")), AND(Q610=7,D610&gt;=TIME(6,0,0),D610&lt;TIME(12,0,0),OR(K610="12H Day",K610="Couple Half Day",K610="24H Day",K610="Couple Full Day")) ),1,0)</f>
        <v>0</v>
      </c>
      <c r="O610" s="1" t="n">
        <f aca="false">IF(OR( AND(MONTH(C610)=12,DAY(C610)&gt;=26), AND(MONTH(C610)=4,DAY(C610)&gt;=15), MONTH(C610)=5, AND(MONTH(C610)=6,DAY(C610)&lt;=10) ),1,0)</f>
        <v>0</v>
      </c>
      <c r="P610" s="1" t="str">
        <f aca="false">IF(OR(MONTH(C610)=3,MONTH(C610)=4,MONTH(C610)=5,MONTH(C610)=6), "Summer", IF(OR(MONTH(C610)=7,MONTH(C610)=8,MONTH(C610)=9,MONTH(C610)=10), "Monsoon", "Winter"))</f>
        <v>Winter</v>
      </c>
      <c r="Q610" s="1" t="n">
        <f aca="false">WEEKDAY(C610,2)</f>
        <v>5</v>
      </c>
      <c r="R610" s="0" t="n">
        <f aca="false">ROUNDDOWN(((INT(C610)+MOD(D610,1))-(INT(I610)+MOD(J610,1))),0)</f>
        <v>3</v>
      </c>
      <c r="S610" s="10"/>
    </row>
    <row r="611" customFormat="false" ht="93.85" hidden="false" customHeight="false" outlineLevel="0" collapsed="false">
      <c r="A611" s="8" t="s">
        <v>592</v>
      </c>
      <c r="B611" s="22" t="s">
        <v>1095</v>
      </c>
      <c r="C611" s="18" t="n">
        <v>46061.625</v>
      </c>
      <c r="D611" s="19" t="n">
        <v>46061.625</v>
      </c>
      <c r="E611" s="18" t="n">
        <v>46061.75</v>
      </c>
      <c r="F611" s="19" t="n">
        <v>46061.75</v>
      </c>
      <c r="G611" s="20" t="n">
        <v>2500</v>
      </c>
      <c r="H611" s="8" t="n">
        <v>3</v>
      </c>
      <c r="I611" s="10" t="n">
        <v>46061</v>
      </c>
      <c r="J611" s="11" t="n">
        <v>0.624618055560857</v>
      </c>
      <c r="K611" s="1" t="str">
        <f aca="false">IF(L611&gt;24,     IF(H611=2,"Couple Extended Day","Extended Day"), IF(L611&lt;=12,     IF(AND(MOD(D611,1)&gt;=TIME(6,0,0),MOD(D611,1)&lt;TIME(18,0,0)),         IF(H611=2,"Couple Half Day","12H Day"),         IF(H611=2,"Couple Half Night","12H Night")), IF(L611&lt;=24,     IF(AND(MOD(D611,1)&gt;=TIME(6,0,0),MOD(D611,1)&lt;TIME(18,0,0)),         IF(H611=2,"Couple Full Day","24H Day"),         IF(H611=2,"Couple Full Night","24H Night")), "Check Data")))</f>
        <v>12H Day</v>
      </c>
      <c r="L611" s="12" t="n">
        <f aca="false">((INT(E611)+MOD(F611,1))-(INT(C611)+MOD(D611,1)))*24</f>
        <v>3</v>
      </c>
      <c r="M611" s="1" t="n">
        <f aca="false">IFERROR(INDEX(Sheet3!$B$2:$B$500,MATCH(1,(INT(C611)+MOD(D611,1)&lt;INT(Sheet3!$A$2:$A$500)+TIME(18,0,0))*(INT(E611)+MOD(F611,1)&gt;=INT(Sheet3!$A$2:$A$500)),0)),0)</f>
        <v>0</v>
      </c>
      <c r="N611" s="1" t="n">
        <f aca="false">IF(OR( AND(Q611=6,D611&gt;=TIME(17,0,0),OR(K611="12H Night",K611="Couple Half Night",K611="24H Night",K611="Couple Full Night")), AND(Q611=7,D611&gt;=TIME(6,0,0),D611&lt;TIME(12,0,0),OR(K611="12H Day",K611="Couple Half Day",K611="24H Day",K611="Couple Full Day")) ),1,0)</f>
        <v>0</v>
      </c>
      <c r="O611" s="1" t="n">
        <f aca="false">IF(OR( AND(MONTH(C611)=12,DAY(C611)&gt;=26), AND(MONTH(C611)=4,DAY(C611)&gt;=15), MONTH(C611)=5, AND(MONTH(C611)=6,DAY(C611)&lt;=10) ),1,0)</f>
        <v>0</v>
      </c>
      <c r="P611" s="1" t="str">
        <f aca="false">IF(OR(MONTH(C611)=3,MONTH(C611)=4,MONTH(C611)=5,MONTH(C611)=6), "Summer", IF(OR(MONTH(C611)=7,MONTH(C611)=8,MONTH(C611)=9,MONTH(C611)=10), "Monsoon", "Winter"))</f>
        <v>Winter</v>
      </c>
      <c r="Q611" s="1" t="n">
        <f aca="false">WEEKDAY(C611,2)</f>
        <v>7</v>
      </c>
      <c r="R611" s="0" t="n">
        <f aca="false">ROUNDDOWN(((INT(C611)+MOD(D611,1))-(INT(I611)+MOD(J611,1))),0)</f>
        <v>0</v>
      </c>
      <c r="S611" s="10"/>
    </row>
    <row r="612" customFormat="false" ht="121.1" hidden="false" customHeight="false" outlineLevel="0" collapsed="false">
      <c r="A612" s="8" t="s">
        <v>1096</v>
      </c>
      <c r="B612" s="22" t="s">
        <v>1097</v>
      </c>
      <c r="C612" s="18" t="n">
        <v>46063.5</v>
      </c>
      <c r="D612" s="19" t="n">
        <v>46063.5</v>
      </c>
      <c r="E612" s="18" t="n">
        <v>46063.75</v>
      </c>
      <c r="F612" s="19" t="n">
        <v>46063.75</v>
      </c>
      <c r="G612" s="20" t="n">
        <v>1500</v>
      </c>
      <c r="H612" s="8" t="n">
        <v>2</v>
      </c>
      <c r="I612" s="10" t="n">
        <v>46062</v>
      </c>
      <c r="J612" s="11" t="n">
        <v>0.552187499997674</v>
      </c>
      <c r="K612" s="1" t="str">
        <f aca="false">IF(L612&gt;24,     IF(H612=2,"Couple Extended Day","Extended Day"), IF(L612&lt;=12,     IF(AND(MOD(D612,1)&gt;=TIME(6,0,0),MOD(D612,1)&lt;TIME(18,0,0)),         IF(H612=2,"Couple Half Day","12H Day"),         IF(H612=2,"Couple Half Night","12H Night")), IF(L612&lt;=24,     IF(AND(MOD(D612,1)&gt;=TIME(6,0,0),MOD(D612,1)&lt;TIME(18,0,0)),         IF(H612=2,"Couple Full Day","24H Day"),         IF(H612=2,"Couple Full Night","24H Night")), "Check Data")))</f>
        <v>Couple Half Day</v>
      </c>
      <c r="L612" s="12" t="n">
        <f aca="false">((INT(E612)+MOD(F612,1))-(INT(C612)+MOD(D612,1)))*24</f>
        <v>6</v>
      </c>
      <c r="M612" s="1" t="n">
        <f aca="false">IFERROR(INDEX(Sheet3!$B$2:$B$500,MATCH(1,(INT(C612)+MOD(D612,1)&lt;INT(Sheet3!$A$2:$A$500)+TIME(18,0,0))*(INT(E612)+MOD(F612,1)&gt;=INT(Sheet3!$A$2:$A$500)),0)),0)</f>
        <v>0</v>
      </c>
      <c r="N612" s="1" t="n">
        <f aca="false">IF(OR( AND(Q612=6,D612&gt;=TIME(17,0,0),OR(K612="12H Night",K612="Couple Half Night",K612="24H Night",K612="Couple Full Night")), AND(Q612=7,D612&gt;=TIME(6,0,0),D612&lt;TIME(12,0,0),OR(K612="12H Day",K612="Couple Half Day",K612="24H Day",K612="Couple Full Day")) ),1,0)</f>
        <v>0</v>
      </c>
      <c r="O612" s="1" t="n">
        <f aca="false">IF(OR( AND(MONTH(C612)=12,DAY(C612)&gt;=26), AND(MONTH(C612)=4,DAY(C612)&gt;=15), MONTH(C612)=5, AND(MONTH(C612)=6,DAY(C612)&lt;=10) ),1,0)</f>
        <v>0</v>
      </c>
      <c r="P612" s="1" t="str">
        <f aca="false">IF(OR(MONTH(C612)=3,MONTH(C612)=4,MONTH(C612)=5,MONTH(C612)=6), "Summer", IF(OR(MONTH(C612)=7,MONTH(C612)=8,MONTH(C612)=9,MONTH(C612)=10), "Monsoon", "Winter"))</f>
        <v>Winter</v>
      </c>
      <c r="Q612" s="1" t="n">
        <f aca="false">WEEKDAY(C612,2)</f>
        <v>2</v>
      </c>
      <c r="R612" s="0" t="n">
        <f aca="false">ROUNDDOWN(((INT(C612)+MOD(D612,1))-(INT(I612)+MOD(J612,1))),0)</f>
        <v>0</v>
      </c>
      <c r="S612" s="10"/>
    </row>
    <row r="613" customFormat="false" ht="121.1" hidden="false" customHeight="false" outlineLevel="0" collapsed="false">
      <c r="A613" s="8" t="s">
        <v>224</v>
      </c>
      <c r="B613" s="22" t="s">
        <v>1098</v>
      </c>
      <c r="C613" s="18" t="n">
        <v>46066.375</v>
      </c>
      <c r="D613" s="19" t="n">
        <v>46066.375</v>
      </c>
      <c r="E613" s="18" t="n">
        <v>46066.75</v>
      </c>
      <c r="F613" s="19" t="n">
        <v>46066.75</v>
      </c>
      <c r="G613" s="20" t="n">
        <v>1500</v>
      </c>
      <c r="H613" s="8" t="n">
        <v>2</v>
      </c>
      <c r="I613" s="10" t="n">
        <v>46064</v>
      </c>
      <c r="J613" s="11" t="n">
        <v>0.440324074079398</v>
      </c>
      <c r="K613" s="1" t="str">
        <f aca="false">IF(L613&gt;24,     IF(H613=2,"Couple Extended Day","Extended Day"), IF(L613&lt;=12,     IF(AND(MOD(D613,1)&gt;=TIME(6,0,0),MOD(D613,1)&lt;TIME(18,0,0)),         IF(H613=2,"Couple Half Day","12H Day"),         IF(H613=2,"Couple Half Night","12H Night")), IF(L613&lt;=24,     IF(AND(MOD(D613,1)&gt;=TIME(6,0,0),MOD(D613,1)&lt;TIME(18,0,0)),         IF(H613=2,"Couple Full Day","24H Day"),         IF(H613=2,"Couple Full Night","24H Night")), "Check Data")))</f>
        <v>Couple Half Day</v>
      </c>
      <c r="L613" s="12" t="n">
        <f aca="false">((INT(E613)+MOD(F613,1))-(INT(C613)+MOD(D613,1)))*24</f>
        <v>9</v>
      </c>
      <c r="M613" s="1" t="n">
        <f aca="false">IFERROR(INDEX(Sheet3!$B$2:$B$500,MATCH(1,(INT(C613)+MOD(D613,1)&lt;INT(Sheet3!$A$2:$A$500)+TIME(18,0,0))*(INT(E613)+MOD(F613,1)&gt;=INT(Sheet3!$A$2:$A$500)),0)),0)</f>
        <v>0</v>
      </c>
      <c r="N613" s="1" t="n">
        <f aca="false">IF(OR( AND(Q613=6,D613&gt;=TIME(17,0,0),OR(K613="12H Night",K613="Couple Half Night",K613="24H Night",K613="Couple Full Night")), AND(Q613=7,D613&gt;=TIME(6,0,0),D613&lt;TIME(12,0,0),OR(K613="12H Day",K613="Couple Half Day",K613="24H Day",K613="Couple Full Day")) ),1,0)</f>
        <v>0</v>
      </c>
      <c r="O613" s="1" t="n">
        <f aca="false">IF(OR( AND(MONTH(C613)=12,DAY(C613)&gt;=26), AND(MONTH(C613)=4,DAY(C613)&gt;=15), MONTH(C613)=5, AND(MONTH(C613)=6,DAY(C613)&lt;=10) ),1,0)</f>
        <v>0</v>
      </c>
      <c r="P613" s="1" t="str">
        <f aca="false">IF(OR(MONTH(C613)=3,MONTH(C613)=4,MONTH(C613)=5,MONTH(C613)=6), "Summer", IF(OR(MONTH(C613)=7,MONTH(C613)=8,MONTH(C613)=9,MONTH(C613)=10), "Monsoon", "Winter"))</f>
        <v>Winter</v>
      </c>
      <c r="Q613" s="1" t="n">
        <f aca="false">WEEKDAY(C613,2)</f>
        <v>5</v>
      </c>
      <c r="R613" s="0" t="n">
        <f aca="false">ROUNDDOWN(((INT(C613)+MOD(D613,1))-(INT(I613)+MOD(J613,1))),0)</f>
        <v>1</v>
      </c>
      <c r="S613" s="10"/>
    </row>
    <row r="614" customFormat="false" ht="109.15" hidden="false" customHeight="false" outlineLevel="0" collapsed="false">
      <c r="A614" s="8" t="s">
        <v>1099</v>
      </c>
      <c r="B614" s="22" t="s">
        <v>1100</v>
      </c>
      <c r="C614" s="18" t="n">
        <v>46067.7916666667</v>
      </c>
      <c r="D614" s="19" t="n">
        <v>46067.7916666667</v>
      </c>
      <c r="E614" s="18" t="n">
        <v>46068.75</v>
      </c>
      <c r="F614" s="19" t="n">
        <v>46068.75</v>
      </c>
      <c r="G614" s="20" t="n">
        <v>4500</v>
      </c>
      <c r="H614" s="8" t="n">
        <v>5</v>
      </c>
      <c r="I614" s="10" t="n">
        <v>46066</v>
      </c>
      <c r="J614" s="11" t="n">
        <v>0.888715277775197</v>
      </c>
      <c r="K614" s="1" t="str">
        <f aca="false">IF(L614&gt;24,     IF(H614=2,"Couple Extended Day","Extended Day"), IF(L614&lt;=12,     IF(AND(MOD(D614,1)&gt;=TIME(6,0,0),MOD(D614,1)&lt;TIME(18,0,0)),         IF(H614=2,"Couple Half Day","12H Day"),         IF(H614=2,"Couple Half Night","12H Night")), IF(L614&lt;=24,     IF(AND(MOD(D614,1)&gt;=TIME(6,0,0),MOD(D614,1)&lt;TIME(18,0,0)),         IF(H614=2,"Couple Full Day","24H Day"),         IF(H614=2,"Couple Full Night","24H Night")), "Check Data")))</f>
        <v>24H Night</v>
      </c>
      <c r="L614" s="12" t="n">
        <f aca="false">((INT(E614)+MOD(F614,1))-(INT(C614)+MOD(D614,1)))*24</f>
        <v>22.9999999990105</v>
      </c>
      <c r="M614" s="1" t="n">
        <f aca="false">IFERROR(INDEX(Sheet3!$B$2:$B$500,MATCH(1,(INT(C614)+MOD(D614,1)&lt;INT(Sheet3!$A$2:$A$500)+TIME(18,0,0))*(INT(E614)+MOD(F614,1)&gt;=INT(Sheet3!$A$2:$A$500)),0)),0)</f>
        <v>0</v>
      </c>
      <c r="N614" s="1" t="n">
        <f aca="false">IF(OR( AND(Q614=6,D614&gt;=TIME(17,0,0),OR(K614="12H Night",K614="Couple Half Night",K614="24H Night",K614="Couple Full Night")), AND(Q614=7,D614&gt;=TIME(6,0,0),D614&lt;TIME(12,0,0),OR(K614="12H Day",K614="Couple Half Day",K614="24H Day",K614="Couple Full Day")) ),1,0)</f>
        <v>1</v>
      </c>
      <c r="O614" s="1" t="n">
        <f aca="false">IF(OR( AND(MONTH(C614)=12,DAY(C614)&gt;=26), AND(MONTH(C614)=4,DAY(C614)&gt;=15), MONTH(C614)=5, AND(MONTH(C614)=6,DAY(C614)&lt;=10) ),1,0)</f>
        <v>0</v>
      </c>
      <c r="P614" s="1" t="str">
        <f aca="false">IF(OR(MONTH(C614)=3,MONTH(C614)=4,MONTH(C614)=5,MONTH(C614)=6), "Summer", IF(OR(MONTH(C614)=7,MONTH(C614)=8,MONTH(C614)=9,MONTH(C614)=10), "Monsoon", "Winter"))</f>
        <v>Winter</v>
      </c>
      <c r="Q614" s="1" t="n">
        <f aca="false">WEEKDAY(C614,2)</f>
        <v>6</v>
      </c>
      <c r="R614" s="0" t="n">
        <f aca="false">ROUNDDOWN(((INT(C614)+MOD(D614,1))-(INT(I614)+MOD(J614,1))),0)</f>
        <v>0</v>
      </c>
      <c r="S614" s="10"/>
    </row>
    <row r="615" customFormat="false" ht="109.15" hidden="false" customHeight="false" outlineLevel="0" collapsed="false">
      <c r="A615" s="8" t="s">
        <v>836</v>
      </c>
      <c r="B615" s="22" t="s">
        <v>1101</v>
      </c>
      <c r="C615" s="18" t="n">
        <v>46069.375</v>
      </c>
      <c r="D615" s="19" t="n">
        <v>46069.375</v>
      </c>
      <c r="E615" s="18" t="n">
        <v>46069.75</v>
      </c>
      <c r="F615" s="19" t="n">
        <v>46069.75</v>
      </c>
      <c r="G615" s="20" t="n">
        <v>2500</v>
      </c>
      <c r="H615" s="8" t="n">
        <v>4</v>
      </c>
      <c r="I615" s="10" t="n">
        <v>46056</v>
      </c>
      <c r="J615" s="11" t="n">
        <v>0.897800925929919</v>
      </c>
      <c r="K615" s="1" t="str">
        <f aca="false">IF(L615&gt;24,     IF(H615=2,"Couple Extended Day","Extended Day"), IF(L615&lt;=12,     IF(AND(MOD(D615,1)&gt;=TIME(6,0,0),MOD(D615,1)&lt;TIME(18,0,0)),         IF(H615=2,"Couple Half Day","12H Day"),         IF(H615=2,"Couple Half Night","12H Night")), IF(L615&lt;=24,     IF(AND(MOD(D615,1)&gt;=TIME(6,0,0),MOD(D615,1)&lt;TIME(18,0,0)),         IF(H615=2,"Couple Full Day","24H Day"),         IF(H615=2,"Couple Full Night","24H Night")), "Check Data")))</f>
        <v>12H Day</v>
      </c>
      <c r="L615" s="12" t="n">
        <f aca="false">((INT(E615)+MOD(F615,1))-(INT(C615)+MOD(D615,1)))*24</f>
        <v>9</v>
      </c>
      <c r="M615" s="1" t="n">
        <f aca="false">IFERROR(INDEX(Sheet3!$B$2:$B$500,MATCH(1,(INT(C615)+MOD(D615,1)&lt;INT(Sheet3!$A$2:$A$500)+TIME(18,0,0))*(INT(E615)+MOD(F615,1)&gt;=INT(Sheet3!$A$2:$A$500)),0)),0)</f>
        <v>0</v>
      </c>
      <c r="N615" s="1" t="n">
        <f aca="false">IF(OR( AND(Q615=6,D615&gt;=TIME(17,0,0),OR(K615="12H Night",K615="Couple Half Night",K615="24H Night",K615="Couple Full Night")), AND(Q615=7,D615&gt;=TIME(6,0,0),D615&lt;TIME(12,0,0),OR(K615="12H Day",K615="Couple Half Day",K615="24H Day",K615="Couple Full Day")) ),1,0)</f>
        <v>0</v>
      </c>
      <c r="O615" s="1" t="n">
        <f aca="false">IF(OR( AND(MONTH(C615)=12,DAY(C615)&gt;=26), AND(MONTH(C615)=4,DAY(C615)&gt;=15), MONTH(C615)=5, AND(MONTH(C615)=6,DAY(C615)&lt;=10) ),1,0)</f>
        <v>0</v>
      </c>
      <c r="P615" s="1" t="str">
        <f aca="false">IF(OR(MONTH(C615)=3,MONTH(C615)=4,MONTH(C615)=5,MONTH(C615)=6), "Summer", IF(OR(MONTH(C615)=7,MONTH(C615)=8,MONTH(C615)=9,MONTH(C615)=10), "Monsoon", "Winter"))</f>
        <v>Winter</v>
      </c>
      <c r="Q615" s="1" t="n">
        <f aca="false">WEEKDAY(C615,2)</f>
        <v>1</v>
      </c>
      <c r="R615" s="0" t="n">
        <f aca="false">ROUNDDOWN(((INT(C615)+MOD(D615,1))-(INT(I615)+MOD(J615,1))),0)</f>
        <v>12</v>
      </c>
      <c r="S615" s="10"/>
    </row>
    <row r="616" customFormat="false" ht="133.05" hidden="false" customHeight="false" outlineLevel="0" collapsed="false">
      <c r="A616" s="8" t="s">
        <v>1102</v>
      </c>
      <c r="B616" s="22" t="s">
        <v>1077</v>
      </c>
      <c r="C616" s="18" t="n">
        <v>46071.375</v>
      </c>
      <c r="D616" s="19" t="n">
        <v>46071.375</v>
      </c>
      <c r="E616" s="18" t="n">
        <v>46071.75</v>
      </c>
      <c r="F616" s="19" t="n">
        <v>46071.75</v>
      </c>
      <c r="G616" s="20" t="n">
        <v>1500</v>
      </c>
      <c r="H616" s="8" t="n">
        <v>2</v>
      </c>
      <c r="I616" s="10" t="n">
        <v>46070</v>
      </c>
      <c r="J616" s="11" t="n">
        <v>0.900335648148033</v>
      </c>
      <c r="K616" s="1" t="str">
        <f aca="false">IF(L616&gt;24,     IF(H616=2,"Couple Extended Day","Extended Day"), IF(L616&lt;=12,     IF(AND(MOD(D616,1)&gt;=TIME(6,0,0),MOD(D616,1)&lt;TIME(18,0,0)),         IF(H616=2,"Couple Half Day","12H Day"),         IF(H616=2,"Couple Half Night","12H Night")), IF(L616&lt;=24,     IF(AND(MOD(D616,1)&gt;=TIME(6,0,0),MOD(D616,1)&lt;TIME(18,0,0)),         IF(H616=2,"Couple Full Day","24H Day"),         IF(H616=2,"Couple Full Night","24H Night")), "Check Data")))</f>
        <v>Couple Half Day</v>
      </c>
      <c r="L616" s="12" t="n">
        <f aca="false">((INT(E616)+MOD(F616,1))-(INT(C616)+MOD(D616,1)))*24</f>
        <v>9</v>
      </c>
      <c r="M616" s="1" t="n">
        <f aca="false">IFERROR(INDEX(Sheet3!$B$2:$B$500,MATCH(1,(INT(C616)+MOD(D616,1)&lt;INT(Sheet3!$A$2:$A$500)+TIME(18,0,0))*(INT(E616)+MOD(F616,1)&gt;=INT(Sheet3!$A$2:$A$500)),0)),0)</f>
        <v>0</v>
      </c>
      <c r="N616" s="1" t="n">
        <f aca="false">IF(OR( AND(Q616=6,D616&gt;=TIME(17,0,0),OR(K616="12H Night",K616="Couple Half Night",K616="24H Night",K616="Couple Full Night")), AND(Q616=7,D616&gt;=TIME(6,0,0),D616&lt;TIME(12,0,0),OR(K616="12H Day",K616="Couple Half Day",K616="24H Day",K616="Couple Full Day")) ),1,0)</f>
        <v>0</v>
      </c>
      <c r="O616" s="1" t="n">
        <f aca="false">IF(OR( AND(MONTH(C616)=12,DAY(C616)&gt;=26), AND(MONTH(C616)=4,DAY(C616)&gt;=15), MONTH(C616)=5, AND(MONTH(C616)=6,DAY(C616)&lt;=10) ),1,0)</f>
        <v>0</v>
      </c>
      <c r="P616" s="1" t="str">
        <f aca="false">IF(OR(MONTH(C616)=3,MONTH(C616)=4,MONTH(C616)=5,MONTH(C616)=6), "Summer", IF(OR(MONTH(C616)=7,MONTH(C616)=8,MONTH(C616)=9,MONTH(C616)=10), "Monsoon", "Winter"))</f>
        <v>Winter</v>
      </c>
      <c r="Q616" s="1" t="n">
        <f aca="false">WEEKDAY(C616,2)</f>
        <v>3</v>
      </c>
      <c r="R616" s="0" t="n">
        <f aca="false">ROUNDDOWN(((INT(C616)+MOD(D616,1))-(INT(I616)+MOD(J616,1))),0)</f>
        <v>0</v>
      </c>
      <c r="S616" s="10"/>
    </row>
    <row r="617" customFormat="false" ht="133.05" hidden="false" customHeight="false" outlineLevel="0" collapsed="false">
      <c r="A617" s="8" t="s">
        <v>1103</v>
      </c>
      <c r="B617" s="22" t="s">
        <v>1077</v>
      </c>
      <c r="C617" s="18" t="n">
        <v>46074.375</v>
      </c>
      <c r="D617" s="19" t="n">
        <v>46074.375</v>
      </c>
      <c r="E617" s="18" t="n">
        <v>46074.75</v>
      </c>
      <c r="F617" s="19" t="n">
        <v>46074.75</v>
      </c>
      <c r="G617" s="20" t="n">
        <v>1500</v>
      </c>
      <c r="H617" s="8" t="n">
        <v>2</v>
      </c>
      <c r="I617" s="10" t="n">
        <v>46069</v>
      </c>
      <c r="J617" s="11" t="n">
        <v>0.757731481484375</v>
      </c>
      <c r="K617" s="1" t="str">
        <f aca="false">IF(L617&gt;24,     IF(H617=2,"Couple Extended Day","Extended Day"), IF(L617&lt;=12,     IF(AND(MOD(D617,1)&gt;=TIME(6,0,0),MOD(D617,1)&lt;TIME(18,0,0)),         IF(H617=2,"Couple Half Day","12H Day"),         IF(H617=2,"Couple Half Night","12H Night")), IF(L617&lt;=24,     IF(AND(MOD(D617,1)&gt;=TIME(6,0,0),MOD(D617,1)&lt;TIME(18,0,0)),         IF(H617=2,"Couple Full Day","24H Day"),         IF(H617=2,"Couple Full Night","24H Night")), "Check Data")))</f>
        <v>Couple Half Day</v>
      </c>
      <c r="L617" s="12" t="n">
        <f aca="false">((INT(E617)+MOD(F617,1))-(INT(C617)+MOD(D617,1)))*24</f>
        <v>9</v>
      </c>
      <c r="M617" s="1" t="n">
        <f aca="false">IFERROR(INDEX(Sheet3!$B$2:$B$500,MATCH(1,(INT(C617)+MOD(D617,1)&lt;INT(Sheet3!$A$2:$A$500)+TIME(18,0,0))*(INT(E617)+MOD(F617,1)&gt;=INT(Sheet3!$A$2:$A$500)),0)),0)</f>
        <v>0</v>
      </c>
      <c r="N617" s="1" t="n">
        <f aca="false">IF(OR( AND(Q617=6,D617&gt;=TIME(17,0,0),OR(K617="12H Night",K617="Couple Half Night",K617="24H Night",K617="Couple Full Night")), AND(Q617=7,D617&gt;=TIME(6,0,0),D617&lt;TIME(12,0,0),OR(K617="12H Day",K617="Couple Half Day",K617="24H Day",K617="Couple Full Day")) ),1,0)</f>
        <v>0</v>
      </c>
      <c r="O617" s="1" t="n">
        <f aca="false">IF(OR( AND(MONTH(C617)=12,DAY(C617)&gt;=26), AND(MONTH(C617)=4,DAY(C617)&gt;=15), MONTH(C617)=5, AND(MONTH(C617)=6,DAY(C617)&lt;=10) ),1,0)</f>
        <v>0</v>
      </c>
      <c r="P617" s="1" t="str">
        <f aca="false">IF(OR(MONTH(C617)=3,MONTH(C617)=4,MONTH(C617)=5,MONTH(C617)=6), "Summer", IF(OR(MONTH(C617)=7,MONTH(C617)=8,MONTH(C617)=9,MONTH(C617)=10), "Monsoon", "Winter"))</f>
        <v>Winter</v>
      </c>
      <c r="Q617" s="1" t="n">
        <f aca="false">WEEKDAY(C617,2)</f>
        <v>6</v>
      </c>
      <c r="R617" s="0" t="n">
        <f aca="false">ROUNDDOWN(((INT(C617)+MOD(D617,1))-(INT(I617)+MOD(J617,1))),0)</f>
        <v>4</v>
      </c>
      <c r="S617" s="10"/>
    </row>
    <row r="618" customFormat="false" ht="120.15" hidden="false" customHeight="false" outlineLevel="0" collapsed="false">
      <c r="A618" s="8" t="s">
        <v>1104</v>
      </c>
      <c r="B618" s="22" t="s">
        <v>1105</v>
      </c>
      <c r="C618" s="18" t="n">
        <v>46077.4583333333</v>
      </c>
      <c r="D618" s="19" t="n">
        <v>0</v>
      </c>
      <c r="E618" s="18" t="n">
        <v>46077.625</v>
      </c>
      <c r="F618" s="19" t="n">
        <v>46077.625</v>
      </c>
      <c r="G618" s="20" t="n">
        <v>1500</v>
      </c>
      <c r="H618" s="8" t="n">
        <v>2</v>
      </c>
      <c r="I618" s="10" t="n">
        <v>46077</v>
      </c>
      <c r="J618" s="11" t="n">
        <v>0.417037037041157</v>
      </c>
      <c r="K618" s="1" t="str">
        <f aca="false">IF(L618&gt;24,     IF(H618=2,"Couple Extended Day","Extended Day"), IF(L618&lt;=12,     IF(AND(MOD(D618,1)&gt;=TIME(6,0,0),MOD(D618,1)&lt;TIME(18,0,0)),         IF(H618=2,"Couple Half Day","12H Day"),         IF(H618=2,"Couple Half Night","12H Night")), IF(L618&lt;=24,     IF(AND(MOD(D618,1)&gt;=TIME(6,0,0),MOD(D618,1)&lt;TIME(18,0,0)),         IF(H618=2,"Couple Full Day","24H Day"),         IF(H618=2,"Couple Full Night","24H Night")), "Check Data")))</f>
        <v>Couple Full Night</v>
      </c>
      <c r="L618" s="12" t="n">
        <f aca="false">((INT(E618)+MOD(F618,1))-(INT(C618)+MOD(D618,1)))*24</f>
        <v>15</v>
      </c>
      <c r="M618" s="1" t="n">
        <f aca="false">IFERROR(INDEX(Sheet3!$B$2:$B$500,MATCH(1,(INT(C618)+MOD(D618,1)&lt;INT(Sheet3!$A$2:$A$500)+TIME(18,0,0))*(INT(E618)+MOD(F618,1)&gt;=INT(Sheet3!$A$2:$A$500)),0)),0)</f>
        <v>0</v>
      </c>
      <c r="N618" s="1" t="n">
        <f aca="false">IF(OR( AND(Q618=6,D618&gt;=TIME(17,0,0),OR(K618="12H Night",K618="Couple Half Night",K618="24H Night",K618="Couple Full Night")), AND(Q618=7,D618&gt;=TIME(6,0,0),D618&lt;TIME(12,0,0),OR(K618="12H Day",K618="Couple Half Day",K618="24H Day",K618="Couple Full Day")) ),1,0)</f>
        <v>0</v>
      </c>
      <c r="O618" s="1" t="n">
        <f aca="false">IF(OR( AND(MONTH(C618)=12,DAY(C618)&gt;=26), AND(MONTH(C618)=4,DAY(C618)&gt;=15), MONTH(C618)=5, AND(MONTH(C618)=6,DAY(C618)&lt;=10) ),1,0)</f>
        <v>0</v>
      </c>
      <c r="P618" s="1" t="str">
        <f aca="false">IF(OR(MONTH(C618)=3,MONTH(C618)=4,MONTH(C618)=5,MONTH(C618)=6), "Summer", IF(OR(MONTH(C618)=7,MONTH(C618)=8,MONTH(C618)=9,MONTH(C618)=10), "Monsoon", "Winter"))</f>
        <v>Winter</v>
      </c>
      <c r="Q618" s="1" t="n">
        <f aca="false">WEEKDAY(C618,2)</f>
        <v>2</v>
      </c>
      <c r="R618" s="0" t="n">
        <f aca="false">ROUNDDOWN(((INT(C618)+MOD(D618,1))-(INT(I618)+MOD(J618,1))),0)</f>
        <v>-0</v>
      </c>
      <c r="S618" s="10"/>
    </row>
    <row r="619" customFormat="false" ht="172.75" hidden="false" customHeight="false" outlineLevel="0" collapsed="false">
      <c r="A619" s="8" t="s">
        <v>1106</v>
      </c>
      <c r="B619" s="22" t="s">
        <v>1107</v>
      </c>
      <c r="C619" s="18" t="n">
        <v>46078.375</v>
      </c>
      <c r="D619" s="19" t="n">
        <v>46078.375</v>
      </c>
      <c r="E619" s="18" t="n">
        <v>46078.75</v>
      </c>
      <c r="F619" s="19" t="n">
        <v>46078.75</v>
      </c>
      <c r="G619" s="20" t="n">
        <v>2000</v>
      </c>
      <c r="H619" s="8" t="n">
        <v>2</v>
      </c>
      <c r="I619" s="10" t="n">
        <v>46077</v>
      </c>
      <c r="J619" s="11" t="n">
        <v>0.87887731481169</v>
      </c>
      <c r="K619" s="1" t="str">
        <f aca="false">IF(L619&gt;24,     IF(H619=2,"Couple Extended Day","Extended Day"), IF(L619&lt;=12,     IF(AND(MOD(D619,1)&gt;=TIME(6,0,0),MOD(D619,1)&lt;TIME(18,0,0)),         IF(H619=2,"Couple Half Day","12H Day"),         IF(H619=2,"Couple Half Night","12H Night")), IF(L619&lt;=24,     IF(AND(MOD(D619,1)&gt;=TIME(6,0,0),MOD(D619,1)&lt;TIME(18,0,0)),         IF(H619=2,"Couple Full Day","24H Day"),         IF(H619=2,"Couple Full Night","24H Night")), "Check Data")))</f>
        <v>Couple Half Day</v>
      </c>
      <c r="L619" s="12" t="n">
        <f aca="false">((INT(E619)+MOD(F619,1))-(INT(C619)+MOD(D619,1)))*24</f>
        <v>9</v>
      </c>
      <c r="M619" s="1" t="n">
        <f aca="false">IFERROR(INDEX(Sheet3!$B$2:$B$500,MATCH(1,(INT(C619)+MOD(D619,1)&lt;INT(Sheet3!$A$2:$A$500)+TIME(18,0,0))*(INT(E619)+MOD(F619,1)&gt;=INT(Sheet3!$A$2:$A$500)),0)),0)</f>
        <v>0</v>
      </c>
      <c r="N619" s="1" t="n">
        <f aca="false">IF(OR( AND(Q619=6,D619&gt;=TIME(17,0,0),OR(K619="12H Night",K619="Couple Half Night",K619="24H Night",K619="Couple Full Night")), AND(Q619=7,D619&gt;=TIME(6,0,0),D619&lt;TIME(12,0,0),OR(K619="12H Day",K619="Couple Half Day",K619="24H Day",K619="Couple Full Day")) ),1,0)</f>
        <v>0</v>
      </c>
      <c r="O619" s="1" t="n">
        <f aca="false">IF(OR( AND(MONTH(C619)=12,DAY(C619)&gt;=26), AND(MONTH(C619)=4,DAY(C619)&gt;=15), MONTH(C619)=5, AND(MONTH(C619)=6,DAY(C619)&lt;=10) ),1,0)</f>
        <v>0</v>
      </c>
      <c r="P619" s="1" t="str">
        <f aca="false">IF(OR(MONTH(C619)=3,MONTH(C619)=4,MONTH(C619)=5,MONTH(C619)=6), "Summer", IF(OR(MONTH(C619)=7,MONTH(C619)=8,MONTH(C619)=9,MONTH(C619)=10), "Monsoon", "Winter"))</f>
        <v>Winter</v>
      </c>
      <c r="Q619" s="1" t="n">
        <f aca="false">WEEKDAY(C619,2)</f>
        <v>3</v>
      </c>
      <c r="R619" s="0" t="n">
        <f aca="false">ROUNDDOWN(((INT(C619)+MOD(D619,1))-(INT(I619)+MOD(J619,1))),0)</f>
        <v>0</v>
      </c>
      <c r="S619" s="10"/>
    </row>
    <row r="620" customFormat="false" ht="80.75" hidden="false" customHeight="false" outlineLevel="0" collapsed="false">
      <c r="A620" s="8" t="s">
        <v>1108</v>
      </c>
      <c r="B620" s="22" t="s">
        <v>1109</v>
      </c>
      <c r="C620" s="18" t="n">
        <v>46080.7916666667</v>
      </c>
      <c r="D620" s="19" t="n">
        <v>46080.7916666667</v>
      </c>
      <c r="E620" s="18" t="n">
        <v>46081.75</v>
      </c>
      <c r="F620" s="19" t="n">
        <v>46081.75</v>
      </c>
      <c r="G620" s="20" t="n">
        <v>3500</v>
      </c>
      <c r="H620" s="8" t="n">
        <v>9</v>
      </c>
      <c r="I620" s="10" t="n">
        <v>46066</v>
      </c>
      <c r="J620" s="11" t="n">
        <v>0.5859375</v>
      </c>
      <c r="K620" s="1" t="str">
        <f aca="false">IF(L620&gt;24,     IF(H620=2,"Couple Extended Day","Extended Day"), IF(L620&lt;=12,     IF(AND(MOD(D620,1)&gt;=TIME(6,0,0),MOD(D620,1)&lt;TIME(18,0,0)),         IF(H620=2,"Couple Half Day","12H Day"),         IF(H620=2,"Couple Half Night","12H Night")), IF(L620&lt;=24,     IF(AND(MOD(D620,1)&gt;=TIME(6,0,0),MOD(D620,1)&lt;TIME(18,0,0)),         IF(H620=2,"Couple Full Day","24H Day"),         IF(H620=2,"Couple Full Night","24H Night")), "Check Data")))</f>
        <v>24H Night</v>
      </c>
      <c r="L620" s="12" t="n">
        <f aca="false">((INT(E620)+MOD(F620,1))-(INT(C620)+MOD(D620,1)))*24</f>
        <v>22.9999999990105</v>
      </c>
      <c r="M620" s="1" t="n">
        <f aca="false">IFERROR(INDEX(Sheet3!$B$2:$B$500,MATCH(1,(INT(C620)+MOD(D620,1)&lt;INT(Sheet3!$A$2:$A$500)+TIME(18,0,0))*(INT(E620)+MOD(F620,1)&gt;=INT(Sheet3!$A$2:$A$500)),0)),0)</f>
        <v>0</v>
      </c>
      <c r="N620" s="1" t="n">
        <f aca="false">IF(OR( AND(Q620=6,D620&gt;=TIME(17,0,0),OR(K620="12H Night",K620="Couple Half Night",K620="24H Night",K620="Couple Full Night")), AND(Q620=7,D620&gt;=TIME(6,0,0),D620&lt;TIME(12,0,0),OR(K620="12H Day",K620="Couple Half Day",K620="24H Day",K620="Couple Full Day")) ),1,0)</f>
        <v>0</v>
      </c>
      <c r="O620" s="1" t="n">
        <f aca="false">IF(OR( AND(MONTH(C620)=12,DAY(C620)&gt;=26), AND(MONTH(C620)=4,DAY(C620)&gt;=15), MONTH(C620)=5, AND(MONTH(C620)=6,DAY(C620)&lt;=10) ),1,0)</f>
        <v>0</v>
      </c>
      <c r="P620" s="1" t="str">
        <f aca="false">IF(OR(MONTH(C620)=3,MONTH(C620)=4,MONTH(C620)=5,MONTH(C620)=6), "Summer", IF(OR(MONTH(C620)=7,MONTH(C620)=8,MONTH(C620)=9,MONTH(C620)=10), "Monsoon", "Winter"))</f>
        <v>Winter</v>
      </c>
      <c r="Q620" s="1" t="n">
        <f aca="false">WEEKDAY(C620,2)</f>
        <v>5</v>
      </c>
      <c r="R620" s="0" t="n">
        <f aca="false">ROUNDDOWN(((INT(C620)+MOD(D620,1))-(INT(I620)+MOD(J620,1))),0)</f>
        <v>14</v>
      </c>
      <c r="S620" s="10"/>
    </row>
    <row r="621" customFormat="false" ht="120.15" hidden="false" customHeight="false" outlineLevel="0" collapsed="false">
      <c r="A621" s="8" t="s">
        <v>1110</v>
      </c>
      <c r="B621" s="22" t="s">
        <v>1111</v>
      </c>
      <c r="C621" s="18" t="n">
        <v>46081.7916666667</v>
      </c>
      <c r="D621" s="19" t="n">
        <v>46081.7916666667</v>
      </c>
      <c r="E621" s="18" t="n">
        <v>46082.75</v>
      </c>
      <c r="F621" s="19" t="n">
        <v>46082.75</v>
      </c>
      <c r="G621" s="20" t="n">
        <v>5000</v>
      </c>
      <c r="H621" s="8" t="n">
        <v>12</v>
      </c>
      <c r="I621" s="10" t="n">
        <v>46069</v>
      </c>
      <c r="J621" s="11" t="n">
        <v>0.870972222226551</v>
      </c>
      <c r="K621" s="1" t="str">
        <f aca="false">IF(L621&gt;24,     IF(H621=2,"Couple Extended Day","Extended Day"), IF(L621&lt;=12,     IF(AND(MOD(D621,1)&gt;=TIME(6,0,0),MOD(D621,1)&lt;TIME(18,0,0)),         IF(H621=2,"Couple Half Day","12H Day"),         IF(H621=2,"Couple Half Night","12H Night")), IF(L621&lt;=24,     IF(AND(MOD(D621,1)&gt;=TIME(6,0,0),MOD(D621,1)&lt;TIME(18,0,0)),         IF(H621=2,"Couple Full Day","24H Day"),         IF(H621=2,"Couple Full Night","24H Night")), "Check Data")))</f>
        <v>24H Night</v>
      </c>
      <c r="L621" s="12" t="n">
        <f aca="false">((INT(E621)+MOD(F621,1))-(INT(C621)+MOD(D621,1)))*24</f>
        <v>22.9999999990105</v>
      </c>
      <c r="M621" s="1" t="n">
        <f aca="false">IFERROR(INDEX(Sheet3!$B$2:$B$500,MATCH(1,(INT(C621)+MOD(D621,1)&lt;INT(Sheet3!$A$2:$A$500)+TIME(18,0,0))*(INT(E621)+MOD(F621,1)&gt;=INT(Sheet3!$A$2:$A$500)),0)),0)</f>
        <v>0</v>
      </c>
      <c r="N621" s="1" t="n">
        <f aca="false">IF(OR( AND(Q621=6,D621&gt;=TIME(17,0,0),OR(K621="12H Night",K621="Couple Half Night",K621="24H Night",K621="Couple Full Night")), AND(Q621=7,D621&gt;=TIME(6,0,0),D621&lt;TIME(12,0,0),OR(K621="12H Day",K621="Couple Half Day",K621="24H Day",K621="Couple Full Day")) ),1,0)</f>
        <v>1</v>
      </c>
      <c r="O621" s="1" t="n">
        <f aca="false">IF(OR( AND(MONTH(C621)=12,DAY(C621)&gt;=26), AND(MONTH(C621)=4,DAY(C621)&gt;=15), MONTH(C621)=5, AND(MONTH(C621)=6,DAY(C621)&lt;=10) ),1,0)</f>
        <v>0</v>
      </c>
      <c r="P621" s="1" t="str">
        <f aca="false">IF(OR(MONTH(C621)=3,MONTH(C621)=4,MONTH(C621)=5,MONTH(C621)=6), "Summer", IF(OR(MONTH(C621)=7,MONTH(C621)=8,MONTH(C621)=9,MONTH(C621)=10), "Monsoon", "Winter"))</f>
        <v>Winter</v>
      </c>
      <c r="Q621" s="1" t="n">
        <f aca="false">WEEKDAY(C621,2)</f>
        <v>6</v>
      </c>
      <c r="R621" s="0" t="n">
        <f aca="false">ROUNDDOWN(((INT(C621)+MOD(D621,1))-(INT(I621)+MOD(J621,1))),0)</f>
        <v>11</v>
      </c>
      <c r="S621" s="10"/>
    </row>
    <row r="622" customFormat="false" ht="159.6" hidden="false" customHeight="false" outlineLevel="0" collapsed="false">
      <c r="A622" s="8" t="s">
        <v>1112</v>
      </c>
      <c r="B622" s="22" t="s">
        <v>1113</v>
      </c>
      <c r="C622" s="18" t="n">
        <v>46082.7916666667</v>
      </c>
      <c r="D622" s="19" t="n">
        <v>46082.7916666667</v>
      </c>
      <c r="E622" s="18" t="n">
        <v>46083.3333333333</v>
      </c>
      <c r="F622" s="19" t="n">
        <v>0</v>
      </c>
      <c r="G622" s="20" t="n">
        <v>3000</v>
      </c>
      <c r="H622" s="8" t="n">
        <v>6</v>
      </c>
      <c r="I622" s="10" t="n">
        <v>46077</v>
      </c>
      <c r="J622" s="11" t="n">
        <v>0.84758101851912</v>
      </c>
      <c r="K622" s="1" t="str">
        <f aca="false">IF(L622&gt;24,     IF(H622=2,"Couple Extended Day","Extended Day"), IF(L622&lt;=12,     IF(AND(MOD(D622,1)&gt;=TIME(6,0,0),MOD(D622,1)&lt;TIME(18,0,0)),         IF(H622=2,"Couple Half Day","12H Day"),         IF(H622=2,"Couple Half Night","12H Night")), IF(L622&lt;=24,     IF(AND(MOD(D622,1)&gt;=TIME(6,0,0),MOD(D622,1)&lt;TIME(18,0,0)),         IF(H622=2,"Couple Full Day","24H Day"),         IF(H622=2,"Couple Full Night","24H Night")), "Check Data")))</f>
        <v>12H Night</v>
      </c>
      <c r="L622" s="12" t="n">
        <f aca="false">((INT(E622)+MOD(F622,1))-(INT(C622)+MOD(D622,1)))*24</f>
        <v>4.99999999901047</v>
      </c>
      <c r="M622" s="1" t="n">
        <f aca="false">IFERROR(INDEX(Sheet3!$B$2:$B$500,MATCH(1,(INT(C622)+MOD(D622,1)&lt;INT(Sheet3!$A$2:$A$500)+TIME(18,0,0))*(INT(E622)+MOD(F622,1)&gt;=INT(Sheet3!$A$2:$A$500)),0)),0)</f>
        <v>0</v>
      </c>
      <c r="N622" s="1" t="n">
        <f aca="false">IF(OR( AND(Q622=6,D622&gt;=TIME(17,0,0),OR(K622="12H Night",K622="Couple Half Night",K622="24H Night",K622="Couple Full Night")), AND(Q622=7,D622&gt;=TIME(6,0,0),D622&lt;TIME(12,0,0),OR(K622="12H Day",K622="Couple Half Day",K622="24H Day",K622="Couple Full Day")) ),1,0)</f>
        <v>0</v>
      </c>
      <c r="O622" s="1" t="n">
        <f aca="false">IF(OR( AND(MONTH(C622)=12,DAY(C622)&gt;=26), AND(MONTH(C622)=4,DAY(C622)&gt;=15), MONTH(C622)=5, AND(MONTH(C622)=6,DAY(C622)&lt;=10) ),1,0)</f>
        <v>0</v>
      </c>
      <c r="P622" s="1" t="str">
        <f aca="false">IF(OR(MONTH(C622)=3,MONTH(C622)=4,MONTH(C622)=5,MONTH(C622)=6), "Summer", IF(OR(MONTH(C622)=7,MONTH(C622)=8,MONTH(C622)=9,MONTH(C622)=10), "Monsoon", "Winter"))</f>
        <v>Summer</v>
      </c>
      <c r="Q622" s="1" t="n">
        <f aca="false">WEEKDAY(C622,2)</f>
        <v>7</v>
      </c>
      <c r="R622" s="0" t="n">
        <f aca="false">ROUNDDOWN(((INT(C622)+MOD(D622,1))-(INT(I622)+MOD(J622,1))),0)</f>
        <v>4</v>
      </c>
      <c r="S622" s="10"/>
    </row>
    <row r="623" customFormat="false" ht="146.45" hidden="false" customHeight="false" outlineLevel="0" collapsed="false">
      <c r="A623" s="8" t="s">
        <v>1114</v>
      </c>
      <c r="B623" s="22" t="s">
        <v>1115</v>
      </c>
      <c r="C623" s="18" t="n">
        <v>46083.7916666667</v>
      </c>
      <c r="D623" s="19" t="n">
        <v>46083.7916666667</v>
      </c>
      <c r="E623" s="18" t="n">
        <v>46084.75</v>
      </c>
      <c r="F623" s="19" t="n">
        <v>46084.75</v>
      </c>
      <c r="G623" s="20" t="n">
        <v>7500</v>
      </c>
      <c r="H623" s="8" t="n">
        <v>17</v>
      </c>
      <c r="I623" s="10" t="n">
        <v>46076</v>
      </c>
      <c r="J623" s="11" t="n">
        <v>0.664664351847025</v>
      </c>
      <c r="K623" s="1" t="str">
        <f aca="false">IF(L623&gt;24,     IF(H623=2,"Couple Extended Day","Extended Day"), IF(L623&lt;=12,     IF(AND(MOD(D623,1)&gt;=TIME(6,0,0),MOD(D623,1)&lt;TIME(18,0,0)),         IF(H623=2,"Couple Half Day","12H Day"),         IF(H623=2,"Couple Half Night","12H Night")), IF(L623&lt;=24,     IF(AND(MOD(D623,1)&gt;=TIME(6,0,0),MOD(D623,1)&lt;TIME(18,0,0)),         IF(H623=2,"Couple Full Day","24H Day"),         IF(H623=2,"Couple Full Night","24H Night")), "Check Data")))</f>
        <v>24H Night</v>
      </c>
      <c r="L623" s="12" t="n">
        <f aca="false">((INT(E623)+MOD(F623,1))-(INT(C623)+MOD(D623,1)))*24</f>
        <v>22.9999999990105</v>
      </c>
      <c r="M623" s="1" t="n">
        <f aca="false">IFERROR(INDEX(Sheet3!$B$2:$B$500,MATCH(1,(INT(C623)+MOD(D623,1)&lt;INT(Sheet3!$A$2:$A$500)+TIME(18,0,0))*(INT(E623)+MOD(F623,1)&gt;=INT(Sheet3!$A$2:$A$500)),0)),0)</f>
        <v>0</v>
      </c>
      <c r="N623" s="1" t="n">
        <f aca="false">IF(OR( AND(Q623=6,D623&gt;=TIME(17,0,0),OR(K623="12H Night",K623="Couple Half Night",K623="24H Night",K623="Couple Full Night")), AND(Q623=7,D623&gt;=TIME(6,0,0),D623&lt;TIME(12,0,0),OR(K623="12H Day",K623="Couple Half Day",K623="24H Day",K623="Couple Full Day")) ),1,0)</f>
        <v>0</v>
      </c>
      <c r="O623" s="1" t="n">
        <f aca="false">IF(OR( AND(MONTH(C623)=12,DAY(C623)&gt;=26), AND(MONTH(C623)=4,DAY(C623)&gt;=15), MONTH(C623)=5, AND(MONTH(C623)=6,DAY(C623)&lt;=10) ),1,0)</f>
        <v>0</v>
      </c>
      <c r="P623" s="1" t="str">
        <f aca="false">IF(OR(MONTH(C623)=3,MONTH(C623)=4,MONTH(C623)=5,MONTH(C623)=6), "Summer", IF(OR(MONTH(C623)=7,MONTH(C623)=8,MONTH(C623)=9,MONTH(C623)=10), "Monsoon", "Winter"))</f>
        <v>Summer</v>
      </c>
      <c r="Q623" s="1" t="n">
        <f aca="false">WEEKDAY(C623,2)</f>
        <v>1</v>
      </c>
      <c r="R623" s="0" t="n">
        <f aca="false">ROUNDDOWN(((INT(C623)+MOD(D623,1))-(INT(I623)+MOD(J623,1))),0)</f>
        <v>7</v>
      </c>
      <c r="S623" s="10"/>
    </row>
    <row r="624" customFormat="false" ht="185.9" hidden="false" customHeight="false" outlineLevel="0" collapsed="false">
      <c r="A624" s="8" t="s">
        <v>243</v>
      </c>
      <c r="B624" s="22" t="s">
        <v>1116</v>
      </c>
      <c r="C624" s="18" t="n">
        <v>46084.7916666667</v>
      </c>
      <c r="D624" s="19" t="n">
        <v>46084.7916666667</v>
      </c>
      <c r="E624" s="18" t="n">
        <v>46085.75</v>
      </c>
      <c r="F624" s="19" t="n">
        <v>46085.75</v>
      </c>
      <c r="G624" s="20" t="n">
        <v>18000</v>
      </c>
      <c r="H624" s="8" t="n">
        <v>20</v>
      </c>
      <c r="I624" s="10" t="n">
        <v>46082</v>
      </c>
      <c r="J624" s="11" t="n">
        <v>0.469826388885845</v>
      </c>
      <c r="K624" s="1" t="str">
        <f aca="false">IF(L624&gt;24,     IF(H624=2,"Couple Extended Day","Extended Day"), IF(L624&lt;=12,     IF(AND(MOD(D624,1)&gt;=TIME(6,0,0),MOD(D624,1)&lt;TIME(18,0,0)),         IF(H624=2,"Couple Half Day","12H Day"),         IF(H624=2,"Couple Half Night","12H Night")), IF(L624&lt;=24,     IF(AND(MOD(D624,1)&gt;=TIME(6,0,0),MOD(D624,1)&lt;TIME(18,0,0)),         IF(H624=2,"Couple Full Day","24H Day"),         IF(H624=2,"Couple Full Night","24H Night")), "Check Data")))</f>
        <v>24H Night</v>
      </c>
      <c r="L624" s="12" t="n">
        <f aca="false">((INT(E624)+MOD(F624,1))-(INT(C624)+MOD(D624,1)))*24</f>
        <v>22.9999999990105</v>
      </c>
      <c r="M624" s="1" t="str">
        <f aca="false">IFERROR(INDEX(Sheet3!$B$2:$B$500,MATCH(1,(INT(C624)+MOD(D624,1)&lt;INT(Sheet3!$A$2:$A$500)+TIME(18,0,0))*(INT(E624)+MOD(F624,1)&gt;=INT(Sheet3!$A$2:$A$500)),0)),0)</f>
        <v>Holi</v>
      </c>
      <c r="N624" s="1" t="n">
        <f aca="false">IF(OR( AND(Q624=6,D624&gt;=TIME(17,0,0),OR(K624="12H Night",K624="Couple Half Night",K624="24H Night",K624="Couple Full Night")), AND(Q624=7,D624&gt;=TIME(6,0,0),D624&lt;TIME(12,0,0),OR(K624="12H Day",K624="Couple Half Day",K624="24H Day",K624="Couple Full Day")) ),1,0)</f>
        <v>0</v>
      </c>
      <c r="O624" s="1" t="n">
        <f aca="false">IF(OR( AND(MONTH(C624)=12,DAY(C624)&gt;=26), AND(MONTH(C624)=4,DAY(C624)&gt;=15), MONTH(C624)=5, AND(MONTH(C624)=6,DAY(C624)&lt;=10) ),1,0)</f>
        <v>0</v>
      </c>
      <c r="P624" s="1" t="str">
        <f aca="false">IF(OR(MONTH(C624)=3,MONTH(C624)=4,MONTH(C624)=5,MONTH(C624)=6), "Summer", IF(OR(MONTH(C624)=7,MONTH(C624)=8,MONTH(C624)=9,MONTH(C624)=10), "Monsoon", "Winter"))</f>
        <v>Summer</v>
      </c>
      <c r="Q624" s="1" t="n">
        <f aca="false">WEEKDAY(C624,2)</f>
        <v>2</v>
      </c>
      <c r="R624" s="0" t="n">
        <f aca="false">ROUNDDOWN(((INT(C624)+MOD(D624,1))-(INT(I624)+MOD(J624,1))),0)</f>
        <v>2</v>
      </c>
      <c r="S624" s="10"/>
    </row>
    <row r="625" customFormat="false" ht="180.95" hidden="false" customHeight="false" outlineLevel="0" collapsed="false">
      <c r="A625" s="8" t="s">
        <v>1117</v>
      </c>
      <c r="B625" s="22" t="s">
        <v>1118</v>
      </c>
      <c r="C625" s="18" t="n">
        <v>46086.7916666667</v>
      </c>
      <c r="D625" s="19" t="n">
        <v>46086.7916666667</v>
      </c>
      <c r="E625" s="18" t="n">
        <v>46087.75</v>
      </c>
      <c r="F625" s="19" t="n">
        <v>46087.75</v>
      </c>
      <c r="G625" s="20" t="n">
        <v>4500</v>
      </c>
      <c r="H625" s="8" t="n">
        <v>12</v>
      </c>
      <c r="I625" s="10" t="n">
        <v>46086</v>
      </c>
      <c r="J625" s="11" t="n">
        <v>0.500925925924097</v>
      </c>
      <c r="K625" s="1" t="str">
        <f aca="false">IF(L625&gt;24,     IF(H625=2,"Couple Extended Day","Extended Day"), IF(L625&lt;=12,     IF(AND(MOD(D625,1)&gt;=TIME(6,0,0),MOD(D625,1)&lt;TIME(18,0,0)),         IF(H625=2,"Couple Half Day","12H Day"),         IF(H625=2,"Couple Half Night","12H Night")), IF(L625&lt;=24,     IF(AND(MOD(D625,1)&gt;=TIME(6,0,0),MOD(D625,1)&lt;TIME(18,0,0)),         IF(H625=2,"Couple Full Day","24H Day"),         IF(H625=2,"Couple Full Night","24H Night")), "Check Data")))</f>
        <v>24H Night</v>
      </c>
      <c r="L625" s="12" t="n">
        <f aca="false">((INT(E625)+MOD(F625,1))-(INT(C625)+MOD(D625,1)))*24</f>
        <v>22.9999999990105</v>
      </c>
      <c r="M625" s="1" t="n">
        <f aca="false">IFERROR(INDEX(Sheet3!$B$2:$B$500,MATCH(1,(INT(C625)+MOD(D625,1)&lt;INT(Sheet3!$A$2:$A$500)+TIME(18,0,0))*(INT(E625)+MOD(F625,1)&gt;=INT(Sheet3!$A$2:$A$500)),0)),0)</f>
        <v>0</v>
      </c>
      <c r="N625" s="1" t="n">
        <f aca="false">IF(OR( AND(Q625=6,D625&gt;=TIME(17,0,0),OR(K625="12H Night",K625="Couple Half Night",K625="24H Night",K625="Couple Full Night")), AND(Q625=7,D625&gt;=TIME(6,0,0),D625&lt;TIME(12,0,0),OR(K625="12H Day",K625="Couple Half Day",K625="24H Day",K625="Couple Full Day")) ),1,0)</f>
        <v>0</v>
      </c>
      <c r="O625" s="1" t="n">
        <f aca="false">IF(OR( AND(MONTH(C625)=12,DAY(C625)&gt;=26), AND(MONTH(C625)=4,DAY(C625)&gt;=15), MONTH(C625)=5, AND(MONTH(C625)=6,DAY(C625)&lt;=10) ),1,0)</f>
        <v>0</v>
      </c>
      <c r="P625" s="1" t="str">
        <f aca="false">IF(OR(MONTH(C625)=3,MONTH(C625)=4,MONTH(C625)=5,MONTH(C625)=6), "Summer", IF(OR(MONTH(C625)=7,MONTH(C625)=8,MONTH(C625)=9,MONTH(C625)=10), "Monsoon", "Winter"))</f>
        <v>Summer</v>
      </c>
      <c r="Q625" s="1" t="n">
        <f aca="false">WEEKDAY(C625,2)</f>
        <v>4</v>
      </c>
      <c r="R625" s="0" t="n">
        <f aca="false">ROUNDDOWN(((INT(C625)+MOD(D625,1))-(INT(I625)+MOD(J625,1))),0)</f>
        <v>0</v>
      </c>
      <c r="S625" s="10"/>
    </row>
    <row r="626" customFormat="false" ht="180.95" hidden="false" customHeight="false" outlineLevel="0" collapsed="false">
      <c r="A626" s="8" t="s">
        <v>281</v>
      </c>
      <c r="B626" s="22" t="s">
        <v>1119</v>
      </c>
      <c r="C626" s="18" t="n">
        <v>46088.5833333333</v>
      </c>
      <c r="D626" s="19" t="n">
        <v>0</v>
      </c>
      <c r="E626" s="18" t="n">
        <v>46088.75</v>
      </c>
      <c r="F626" s="19" t="n">
        <v>46088.75</v>
      </c>
      <c r="G626" s="20" t="n">
        <v>1500</v>
      </c>
      <c r="H626" s="8" t="n">
        <v>2</v>
      </c>
      <c r="I626" s="10" t="n">
        <v>46087</v>
      </c>
      <c r="J626" s="11" t="n">
        <v>0.716527777782176</v>
      </c>
      <c r="K626" s="1" t="str">
        <f aca="false">IF(L626&gt;24,     IF(H626=2,"Couple Extended Day","Extended Day"), IF(L626&lt;=12,     IF(AND(MOD(D626,1)&gt;=TIME(6,0,0),MOD(D626,1)&lt;TIME(18,0,0)),         IF(H626=2,"Couple Half Day","12H Day"),         IF(H626=2,"Couple Half Night","12H Night")), IF(L626&lt;=24,     IF(AND(MOD(D626,1)&gt;=TIME(6,0,0),MOD(D626,1)&lt;TIME(18,0,0)),         IF(H626=2,"Couple Full Day","24H Day"),         IF(H626=2,"Couple Full Night","24H Night")), "Check Data")))</f>
        <v>Couple Full Night</v>
      </c>
      <c r="L626" s="12" t="n">
        <f aca="false">((INT(E626)+MOD(F626,1))-(INT(C626)+MOD(D626,1)))*24</f>
        <v>18</v>
      </c>
      <c r="M626" s="1" t="n">
        <f aca="false">IFERROR(INDEX(Sheet3!$B$2:$B$500,MATCH(1,(INT(C626)+MOD(D626,1)&lt;INT(Sheet3!$A$2:$A$500)+TIME(18,0,0))*(INT(E626)+MOD(F626,1)&gt;=INT(Sheet3!$A$2:$A$500)),0)),0)</f>
        <v>0</v>
      </c>
      <c r="N626" s="1" t="n">
        <f aca="false">IF(OR( AND(Q626=6,D626&gt;=TIME(17,0,0),OR(K626="12H Night",K626="Couple Half Night",K626="24H Night",K626="Couple Full Night")), AND(Q626=7,D626&gt;=TIME(6,0,0),D626&lt;TIME(12,0,0),OR(K626="12H Day",K626="Couple Half Day",K626="24H Day",K626="Couple Full Day")) ),1,0)</f>
        <v>0</v>
      </c>
      <c r="O626" s="1" t="n">
        <f aca="false">IF(OR( AND(MONTH(C626)=12,DAY(C626)&gt;=26), AND(MONTH(C626)=4,DAY(C626)&gt;=15), MONTH(C626)=5, AND(MONTH(C626)=6,DAY(C626)&lt;=10) ),1,0)</f>
        <v>0</v>
      </c>
      <c r="P626" s="1" t="str">
        <f aca="false">IF(OR(MONTH(C626)=3,MONTH(C626)=4,MONTH(C626)=5,MONTH(C626)=6), "Summer", IF(OR(MONTH(C626)=7,MONTH(C626)=8,MONTH(C626)=9,MONTH(C626)=10), "Monsoon", "Winter"))</f>
        <v>Summer</v>
      </c>
      <c r="Q626" s="1" t="n">
        <f aca="false">WEEKDAY(C626,2)</f>
        <v>6</v>
      </c>
      <c r="R626" s="0" t="n">
        <f aca="false">ROUNDDOWN(((INT(C626)+MOD(D626,1))-(INT(I626)+MOD(J626,1))),0)</f>
        <v>0</v>
      </c>
      <c r="S626" s="10"/>
    </row>
    <row r="627" customFormat="false" ht="180.95" hidden="false" customHeight="false" outlineLevel="0" collapsed="false">
      <c r="A627" s="8" t="s">
        <v>1120</v>
      </c>
      <c r="B627" s="22" t="s">
        <v>1121</v>
      </c>
      <c r="C627" s="18" t="n">
        <v>46088.7916666667</v>
      </c>
      <c r="D627" s="19" t="n">
        <v>46088.7916666667</v>
      </c>
      <c r="E627" s="18" t="n">
        <v>46089.75</v>
      </c>
      <c r="F627" s="19" t="n">
        <v>46089.75</v>
      </c>
      <c r="G627" s="20" t="n">
        <v>7000</v>
      </c>
      <c r="H627" s="8" t="n">
        <v>10</v>
      </c>
      <c r="I627" s="10" t="n">
        <v>46087</v>
      </c>
      <c r="J627" s="11" t="n">
        <v>0.715196759258102</v>
      </c>
      <c r="K627" s="1" t="str">
        <f aca="false">IF(L627&gt;24,     IF(H627=2,"Couple Extended Day","Extended Day"), IF(L627&lt;=12,     IF(AND(MOD(D627,1)&gt;=TIME(6,0,0),MOD(D627,1)&lt;TIME(18,0,0)),         IF(H627=2,"Couple Half Day","12H Day"),         IF(H627=2,"Couple Half Night","12H Night")), IF(L627&lt;=24,     IF(AND(MOD(D627,1)&gt;=TIME(6,0,0),MOD(D627,1)&lt;TIME(18,0,0)),         IF(H627=2,"Couple Full Day","24H Day"),         IF(H627=2,"Couple Full Night","24H Night")), "Check Data")))</f>
        <v>24H Night</v>
      </c>
      <c r="L627" s="12" t="n">
        <f aca="false">((INT(E627)+MOD(F627,1))-(INT(C627)+MOD(D627,1)))*24</f>
        <v>22.9999999990105</v>
      </c>
      <c r="M627" s="1" t="n">
        <f aca="false">IFERROR(INDEX(Sheet3!$B$2:$B$500,MATCH(1,(INT(C627)+MOD(D627,1)&lt;INT(Sheet3!$A$2:$A$500)+TIME(18,0,0))*(INT(E627)+MOD(F627,1)&gt;=INT(Sheet3!$A$2:$A$500)),0)),0)</f>
        <v>0</v>
      </c>
      <c r="N627" s="1" t="n">
        <f aca="false">IF(OR( AND(Q627=6,D627&gt;=TIME(17,0,0),OR(K627="12H Night",K627="Couple Half Night",K627="24H Night",K627="Couple Full Night")), AND(Q627=7,D627&gt;=TIME(6,0,0),D627&lt;TIME(12,0,0),OR(K627="12H Day",K627="Couple Half Day",K627="24H Day",K627="Couple Full Day")) ),1,0)</f>
        <v>1</v>
      </c>
      <c r="O627" s="1" t="n">
        <f aca="false">IF(OR( AND(MONTH(C627)=12,DAY(C627)&gt;=26), AND(MONTH(C627)=4,DAY(C627)&gt;=15), MONTH(C627)=5, AND(MONTH(C627)=6,DAY(C627)&lt;=10) ),1,0)</f>
        <v>0</v>
      </c>
      <c r="P627" s="1" t="str">
        <f aca="false">IF(OR(MONTH(C627)=3,MONTH(C627)=4,MONTH(C627)=5,MONTH(C627)=6), "Summer", IF(OR(MONTH(C627)=7,MONTH(C627)=8,MONTH(C627)=9,MONTH(C627)=10), "Monsoon", "Winter"))</f>
        <v>Summer</v>
      </c>
      <c r="Q627" s="1" t="n">
        <f aca="false">WEEKDAY(C627,2)</f>
        <v>6</v>
      </c>
      <c r="R627" s="0" t="n">
        <f aca="false">ROUNDDOWN(((INT(C627)+MOD(D627,1))-(INT(I627)+MOD(J627,1))),0)</f>
        <v>1</v>
      </c>
      <c r="S627" s="10"/>
    </row>
    <row r="628" customFormat="false" ht="180.95" hidden="false" customHeight="false" outlineLevel="0" collapsed="false">
      <c r="A628" s="8" t="s">
        <v>1122</v>
      </c>
      <c r="B628" s="22" t="s">
        <v>1123</v>
      </c>
      <c r="C628" s="18" t="n">
        <v>46089.7916666667</v>
      </c>
      <c r="D628" s="19" t="n">
        <v>46089.7916666667</v>
      </c>
      <c r="E628" s="18" t="n">
        <v>46090.3333333333</v>
      </c>
      <c r="F628" s="19" t="n">
        <v>0</v>
      </c>
      <c r="G628" s="20" t="n">
        <v>2500</v>
      </c>
      <c r="H628" s="8" t="n">
        <v>7</v>
      </c>
      <c r="I628" s="10" t="n">
        <v>46088</v>
      </c>
      <c r="J628" s="11" t="n">
        <v>0.863298611111528</v>
      </c>
      <c r="K628" s="1" t="str">
        <f aca="false">IF(L628&gt;24,     IF(H628=2,"Couple Extended Day","Extended Day"), IF(L628&lt;=12,     IF(AND(MOD(D628,1)&gt;=TIME(6,0,0),MOD(D628,1)&lt;TIME(18,0,0)),         IF(H628=2,"Couple Half Day","12H Day"),         IF(H628=2,"Couple Half Night","12H Night")), IF(L628&lt;=24,     IF(AND(MOD(D628,1)&gt;=TIME(6,0,0),MOD(D628,1)&lt;TIME(18,0,0)),         IF(H628=2,"Couple Full Day","24H Day"),         IF(H628=2,"Couple Full Night","24H Night")), "Check Data")))</f>
        <v>12H Night</v>
      </c>
      <c r="L628" s="12" t="n">
        <f aca="false">((INT(E628)+MOD(F628,1))-(INT(C628)+MOD(D628,1)))*24</f>
        <v>4.99999999901047</v>
      </c>
      <c r="M628" s="1" t="n">
        <f aca="false">IFERROR(INDEX(Sheet3!$B$2:$B$500,MATCH(1,(INT(C628)+MOD(D628,1)&lt;INT(Sheet3!$A$2:$A$500)+TIME(18,0,0))*(INT(E628)+MOD(F628,1)&gt;=INT(Sheet3!$A$2:$A$500)),0)),0)</f>
        <v>0</v>
      </c>
      <c r="N628" s="1" t="n">
        <f aca="false">IF(OR( AND(Q628=6,D628&gt;=TIME(17,0,0),OR(K628="12H Night",K628="Couple Half Night",K628="24H Night",K628="Couple Full Night")), AND(Q628=7,D628&gt;=TIME(6,0,0),D628&lt;TIME(12,0,0),OR(K628="12H Day",K628="Couple Half Day",K628="24H Day",K628="Couple Full Day")) ),1,0)</f>
        <v>0</v>
      </c>
      <c r="O628" s="1" t="n">
        <f aca="false">IF(OR( AND(MONTH(C628)=12,DAY(C628)&gt;=26), AND(MONTH(C628)=4,DAY(C628)&gt;=15), MONTH(C628)=5, AND(MONTH(C628)=6,DAY(C628)&lt;=10) ),1,0)</f>
        <v>0</v>
      </c>
      <c r="P628" s="1" t="str">
        <f aca="false">IF(OR(MONTH(C628)=3,MONTH(C628)=4,MONTH(C628)=5,MONTH(C628)=6), "Summer", IF(OR(MONTH(C628)=7,MONTH(C628)=8,MONTH(C628)=9,MONTH(C628)=10), "Monsoon", "Winter"))</f>
        <v>Summer</v>
      </c>
      <c r="Q628" s="1" t="n">
        <f aca="false">WEEKDAY(C628,2)</f>
        <v>7</v>
      </c>
      <c r="R628" s="0" t="n">
        <f aca="false">ROUNDDOWN(((INT(C628)+MOD(D628,1))-(INT(I628)+MOD(J628,1))),0)</f>
        <v>0</v>
      </c>
      <c r="S628" s="10"/>
    </row>
    <row r="629" customFormat="false" ht="180.95" hidden="false" customHeight="false" outlineLevel="0" collapsed="false">
      <c r="A629" s="8" t="s">
        <v>1124</v>
      </c>
      <c r="B629" s="22" t="s">
        <v>1125</v>
      </c>
      <c r="C629" s="18" t="n">
        <v>46090.375</v>
      </c>
      <c r="D629" s="19" t="n">
        <v>46090.375</v>
      </c>
      <c r="E629" s="18" t="n">
        <v>46090.7708333333</v>
      </c>
      <c r="F629" s="19" t="n">
        <v>46090.7708333333</v>
      </c>
      <c r="G629" s="20" t="n">
        <v>4000</v>
      </c>
      <c r="H629" s="8" t="n">
        <v>10</v>
      </c>
      <c r="I629" s="10" t="n">
        <v>46089</v>
      </c>
      <c r="J629" s="11" t="n">
        <v>0.777118055557361</v>
      </c>
      <c r="K629" s="1" t="str">
        <f aca="false">IF(L629&gt;24,     IF(H629=2,"Couple Extended Day","Extended Day"), IF(L629&lt;=12,     IF(AND(MOD(D629,1)&gt;=TIME(6,0,0),MOD(D629,1)&lt;TIME(18,0,0)),         IF(H629=2,"Couple Half Day","12H Day"),         IF(H629=2,"Couple Half Night","12H Night")), IF(L629&lt;=24,     IF(AND(MOD(D629,1)&gt;=TIME(6,0,0),MOD(D629,1)&lt;TIME(18,0,0)),         IF(H629=2,"Couple Full Day","24H Day"),         IF(H629=2,"Couple Full Night","24H Night")), "Check Data")))</f>
        <v>12H Day</v>
      </c>
      <c r="L629" s="12" t="n">
        <f aca="false">((INT(E629)+MOD(F629,1))-(INT(C629)+MOD(D629,1)))*24</f>
        <v>9.49999999901047</v>
      </c>
      <c r="M629" s="1" t="n">
        <f aca="false">IFERROR(INDEX(Sheet3!$B$2:$B$500,MATCH(1,(INT(C629)+MOD(D629,1)&lt;INT(Sheet3!$A$2:$A$500)+TIME(18,0,0))*(INT(E629)+MOD(F629,1)&gt;=INT(Sheet3!$A$2:$A$500)),0)),0)</f>
        <v>0</v>
      </c>
      <c r="N629" s="1" t="n">
        <f aca="false">IF(OR( AND(Q629=6,D629&gt;=TIME(17,0,0),OR(K629="12H Night",K629="Couple Half Night",K629="24H Night",K629="Couple Full Night")), AND(Q629=7,D629&gt;=TIME(6,0,0),D629&lt;TIME(12,0,0),OR(K629="12H Day",K629="Couple Half Day",K629="24H Day",K629="Couple Full Day")) ),1,0)</f>
        <v>0</v>
      </c>
      <c r="O629" s="1" t="n">
        <f aca="false">IF(OR( AND(MONTH(C629)=12,DAY(C629)&gt;=26), AND(MONTH(C629)=4,DAY(C629)&gt;=15), MONTH(C629)=5, AND(MONTH(C629)=6,DAY(C629)&lt;=10) ),1,0)</f>
        <v>0</v>
      </c>
      <c r="P629" s="1" t="str">
        <f aca="false">IF(OR(MONTH(C629)=3,MONTH(C629)=4,MONTH(C629)=5,MONTH(C629)=6), "Summer", IF(OR(MONTH(C629)=7,MONTH(C629)=8,MONTH(C629)=9,MONTH(C629)=10), "Monsoon", "Winter"))</f>
        <v>Summer</v>
      </c>
      <c r="Q629" s="1" t="n">
        <f aca="false">WEEKDAY(C629,2)</f>
        <v>1</v>
      </c>
      <c r="R629" s="0" t="n">
        <f aca="false">ROUNDDOWN(((INT(C629)+MOD(D629,1))-(INT(I629)+MOD(J629,1))),0)</f>
        <v>0</v>
      </c>
      <c r="S629" s="10"/>
    </row>
    <row r="630" customFormat="false" ht="185.9" hidden="false" customHeight="false" outlineLevel="0" collapsed="false">
      <c r="A630" s="8" t="s">
        <v>395</v>
      </c>
      <c r="B630" s="22" t="s">
        <v>1126</v>
      </c>
      <c r="C630" s="18" t="n">
        <v>46092.375</v>
      </c>
      <c r="D630" s="19" t="n">
        <v>46092.375</v>
      </c>
      <c r="E630" s="18" t="n">
        <v>46092.75</v>
      </c>
      <c r="F630" s="19" t="n">
        <v>46092.75</v>
      </c>
      <c r="G630" s="20" t="n">
        <v>2500</v>
      </c>
      <c r="H630" s="8" t="n">
        <v>2</v>
      </c>
      <c r="I630" s="10" t="n">
        <v>46091</v>
      </c>
      <c r="J630" s="11" t="n">
        <v>0.825879629628611</v>
      </c>
      <c r="K630" s="1" t="str">
        <f aca="false">IF(L630&gt;24,     IF(H630=2,"Couple Extended Day","Extended Day"), IF(L630&lt;=12,     IF(AND(MOD(D630,1)&gt;=TIME(6,0,0),MOD(D630,1)&lt;TIME(18,0,0)),         IF(H630=2,"Couple Half Day","12H Day"),         IF(H630=2,"Couple Half Night","12H Night")), IF(L630&lt;=24,     IF(AND(MOD(D630,1)&gt;=TIME(6,0,0),MOD(D630,1)&lt;TIME(18,0,0)),         IF(H630=2,"Couple Full Day","24H Day"),         IF(H630=2,"Couple Full Night","24H Night")), "Check Data")))</f>
        <v>Couple Half Day</v>
      </c>
      <c r="L630" s="12" t="n">
        <f aca="false">((INT(E630)+MOD(F630,1))-(INT(C630)+MOD(D630,1)))*24</f>
        <v>9</v>
      </c>
      <c r="M630" s="1" t="n">
        <f aca="false">IFERROR(INDEX(Sheet3!$B$2:$B$500,MATCH(1,(INT(C630)+MOD(D630,1)&lt;INT(Sheet3!$A$2:$A$500)+TIME(18,0,0))*(INT(E630)+MOD(F630,1)&gt;=INT(Sheet3!$A$2:$A$500)),0)),0)</f>
        <v>0</v>
      </c>
      <c r="N630" s="1" t="n">
        <f aca="false">IF(OR( AND(Q630=6,D630&gt;=TIME(17,0,0),OR(K630="12H Night",K630="Couple Half Night",K630="24H Night",K630="Couple Full Night")), AND(Q630=7,D630&gt;=TIME(6,0,0),D630&lt;TIME(12,0,0),OR(K630="12H Day",K630="Couple Half Day",K630="24H Day",K630="Couple Full Day")) ),1,0)</f>
        <v>0</v>
      </c>
      <c r="O630" s="1" t="n">
        <f aca="false">IF(OR( AND(MONTH(C630)=12,DAY(C630)&gt;=26), AND(MONTH(C630)=4,DAY(C630)&gt;=15), MONTH(C630)=5, AND(MONTH(C630)=6,DAY(C630)&lt;=10) ),1,0)</f>
        <v>0</v>
      </c>
      <c r="P630" s="1" t="str">
        <f aca="false">IF(OR(MONTH(C630)=3,MONTH(C630)=4,MONTH(C630)=5,MONTH(C630)=6), "Summer", IF(OR(MONTH(C630)=7,MONTH(C630)=8,MONTH(C630)=9,MONTH(C630)=10), "Monsoon", "Winter"))</f>
        <v>Summer</v>
      </c>
      <c r="Q630" s="1" t="n">
        <f aca="false">WEEKDAY(C630,2)</f>
        <v>3</v>
      </c>
      <c r="R630" s="0" t="n">
        <f aca="false">ROUNDDOWN(((INT(C630)+MOD(D630,1))-(INT(I630)+MOD(J630,1))),0)</f>
        <v>0</v>
      </c>
      <c r="S630" s="10"/>
    </row>
    <row r="631" customFormat="false" ht="212.2" hidden="false" customHeight="false" outlineLevel="0" collapsed="false">
      <c r="A631" s="8" t="s">
        <v>1127</v>
      </c>
      <c r="B631" s="22" t="s">
        <v>1128</v>
      </c>
      <c r="C631" s="18" t="n">
        <v>46093.375</v>
      </c>
      <c r="D631" s="19" t="n">
        <v>46093.375</v>
      </c>
      <c r="E631" s="18" t="n">
        <v>46093.75</v>
      </c>
      <c r="F631" s="19" t="n">
        <v>46093.75</v>
      </c>
      <c r="G631" s="20" t="n">
        <v>3500</v>
      </c>
      <c r="H631" s="8" t="n">
        <v>6</v>
      </c>
      <c r="I631" s="10" t="n">
        <v>46092</v>
      </c>
      <c r="J631" s="11" t="n">
        <v>0.562685185184815</v>
      </c>
      <c r="K631" s="1" t="str">
        <f aca="false">IF(L631&gt;24,     IF(H631=2,"Couple Extended Day","Extended Day"), IF(L631&lt;=12,     IF(AND(MOD(D631,1)&gt;=TIME(6,0,0),MOD(D631,1)&lt;TIME(18,0,0)),         IF(H631=2,"Couple Half Day","12H Day"),         IF(H631=2,"Couple Half Night","12H Night")), IF(L631&lt;=24,     IF(AND(MOD(D631,1)&gt;=TIME(6,0,0),MOD(D631,1)&lt;TIME(18,0,0)),         IF(H631=2,"Couple Full Day","24H Day"),         IF(H631=2,"Couple Full Night","24H Night")), "Check Data")))</f>
        <v>12H Day</v>
      </c>
      <c r="L631" s="12" t="n">
        <f aca="false">((INT(E631)+MOD(F631,1))-(INT(C631)+MOD(D631,1)))*24</f>
        <v>9</v>
      </c>
      <c r="M631" s="1" t="n">
        <f aca="false">IFERROR(INDEX(Sheet3!$B$2:$B$500,MATCH(1,(INT(C631)+MOD(D631,1)&lt;INT(Sheet3!$A$2:$A$500)+TIME(18,0,0))*(INT(E631)+MOD(F631,1)&gt;=INT(Sheet3!$A$2:$A$500)),0)),0)</f>
        <v>0</v>
      </c>
      <c r="N631" s="1" t="n">
        <f aca="false">IF(OR( AND(Q631=6,D631&gt;=TIME(17,0,0),OR(K631="12H Night",K631="Couple Half Night",K631="24H Night",K631="Couple Full Night")), AND(Q631=7,D631&gt;=TIME(6,0,0),D631&lt;TIME(12,0,0),OR(K631="12H Day",K631="Couple Half Day",K631="24H Day",K631="Couple Full Day")) ),1,0)</f>
        <v>0</v>
      </c>
      <c r="O631" s="1" t="n">
        <f aca="false">IF(OR( AND(MONTH(C631)=12,DAY(C631)&gt;=26), AND(MONTH(C631)=4,DAY(C631)&gt;=15), MONTH(C631)=5, AND(MONTH(C631)=6,DAY(C631)&lt;=10) ),1,0)</f>
        <v>0</v>
      </c>
      <c r="P631" s="1" t="str">
        <f aca="false">IF(OR(MONTH(C631)=3,MONTH(C631)=4,MONTH(C631)=5,MONTH(C631)=6), "Summer", IF(OR(MONTH(C631)=7,MONTH(C631)=8,MONTH(C631)=9,MONTH(C631)=10), "Monsoon", "Winter"))</f>
        <v>Summer</v>
      </c>
      <c r="Q631" s="1" t="n">
        <f aca="false">WEEKDAY(C631,2)</f>
        <v>4</v>
      </c>
      <c r="R631" s="0" t="n">
        <f aca="false">ROUNDDOWN(((INT(C631)+MOD(D631,1))-(INT(I631)+MOD(J631,1))),0)</f>
        <v>0</v>
      </c>
      <c r="S631" s="10"/>
    </row>
    <row r="632" customFormat="false" ht="133.3" hidden="false" customHeight="false" outlineLevel="0" collapsed="false">
      <c r="A632" s="8" t="s">
        <v>1129</v>
      </c>
      <c r="B632" s="22" t="s">
        <v>1130</v>
      </c>
      <c r="C632" s="18" t="n">
        <v>46094.7916666667</v>
      </c>
      <c r="D632" s="19" t="n">
        <v>46094.7916666667</v>
      </c>
      <c r="E632" s="18" t="n">
        <v>46095.75</v>
      </c>
      <c r="F632" s="19" t="n">
        <v>46095.75</v>
      </c>
      <c r="G632" s="20" t="n">
        <v>5500</v>
      </c>
      <c r="H632" s="8" t="n">
        <v>8</v>
      </c>
      <c r="I632" s="10" t="n">
        <v>46078</v>
      </c>
      <c r="J632" s="11" t="n">
        <v>0.705185185186563</v>
      </c>
      <c r="K632" s="1" t="str">
        <f aca="false">IF(L632&gt;24,     IF(H632=2,"Couple Extended Day","Extended Day"), IF(L632&lt;=12,     IF(AND(MOD(D632,1)&gt;=TIME(6,0,0),MOD(D632,1)&lt;TIME(18,0,0)),         IF(H632=2,"Couple Half Day","12H Day"),         IF(H632=2,"Couple Half Night","12H Night")), IF(L632&lt;=24,     IF(AND(MOD(D632,1)&gt;=TIME(6,0,0),MOD(D632,1)&lt;TIME(18,0,0)),         IF(H632=2,"Couple Full Day","24H Day"),         IF(H632=2,"Couple Full Night","24H Night")), "Check Data")))</f>
        <v>24H Night</v>
      </c>
      <c r="L632" s="12" t="n">
        <f aca="false">((INT(E632)+MOD(F632,1))-(INT(C632)+MOD(D632,1)))*24</f>
        <v>22.9999999990105</v>
      </c>
      <c r="M632" s="1" t="n">
        <f aca="false">IFERROR(INDEX(Sheet3!$B$2:$B$500,MATCH(1,(INT(C632)+MOD(D632,1)&lt;INT(Sheet3!$A$2:$A$500)+TIME(18,0,0))*(INT(E632)+MOD(F632,1)&gt;=INT(Sheet3!$A$2:$A$500)),0)),0)</f>
        <v>0</v>
      </c>
      <c r="N632" s="1" t="n">
        <f aca="false">IF(OR( AND(Q632=6,D632&gt;=TIME(17,0,0),OR(K632="12H Night",K632="Couple Half Night",K632="24H Night",K632="Couple Full Night")), AND(Q632=7,D632&gt;=TIME(6,0,0),D632&lt;TIME(12,0,0),OR(K632="12H Day",K632="Couple Half Day",K632="24H Day",K632="Couple Full Day")) ),1,0)</f>
        <v>0</v>
      </c>
      <c r="O632" s="1" t="n">
        <f aca="false">IF(OR( AND(MONTH(C632)=12,DAY(C632)&gt;=26), AND(MONTH(C632)=4,DAY(C632)&gt;=15), MONTH(C632)=5, AND(MONTH(C632)=6,DAY(C632)&lt;=10) ),1,0)</f>
        <v>0</v>
      </c>
      <c r="P632" s="1" t="str">
        <f aca="false">IF(OR(MONTH(C632)=3,MONTH(C632)=4,MONTH(C632)=5,MONTH(C632)=6), "Summer", IF(OR(MONTH(C632)=7,MONTH(C632)=8,MONTH(C632)=9,MONTH(C632)=10), "Monsoon", "Winter"))</f>
        <v>Summer</v>
      </c>
      <c r="Q632" s="1" t="n">
        <f aca="false">WEEKDAY(C632,2)</f>
        <v>5</v>
      </c>
      <c r="R632" s="0" t="n">
        <f aca="false">ROUNDDOWN(((INT(C632)+MOD(D632,1))-(INT(I632)+MOD(J632,1))),0)</f>
        <v>16</v>
      </c>
      <c r="S632" s="10"/>
    </row>
    <row r="633" customFormat="false" ht="159.6" hidden="false" customHeight="false" outlineLevel="0" collapsed="false">
      <c r="A633" s="8" t="s">
        <v>1131</v>
      </c>
      <c r="B633" s="22" t="s">
        <v>1132</v>
      </c>
      <c r="C633" s="18" t="n">
        <v>46095.7916666667</v>
      </c>
      <c r="D633" s="19" t="n">
        <v>46095.7916666667</v>
      </c>
      <c r="E633" s="18" t="n">
        <v>46096.75</v>
      </c>
      <c r="F633" s="19" t="n">
        <v>46096.75</v>
      </c>
      <c r="G633" s="20" t="n">
        <v>8500</v>
      </c>
      <c r="H633" s="8" t="n">
        <v>16</v>
      </c>
      <c r="I633" s="10" t="n">
        <v>46091</v>
      </c>
      <c r="J633" s="11" t="n">
        <v>0.576793981483206</v>
      </c>
      <c r="K633" s="1" t="str">
        <f aca="false">IF(L633&gt;24,     IF(H633=2,"Couple Extended Day","Extended Day"), IF(L633&lt;=12,     IF(AND(MOD(D633,1)&gt;=TIME(6,0,0),MOD(D633,1)&lt;TIME(18,0,0)),         IF(H633=2,"Couple Half Day","12H Day"),         IF(H633=2,"Couple Half Night","12H Night")), IF(L633&lt;=24,     IF(AND(MOD(D633,1)&gt;=TIME(6,0,0),MOD(D633,1)&lt;TIME(18,0,0)),         IF(H633=2,"Couple Full Day","24H Day"),         IF(H633=2,"Couple Full Night","24H Night")), "Check Data")))</f>
        <v>24H Night</v>
      </c>
      <c r="L633" s="12" t="n">
        <f aca="false">((INT(E633)+MOD(F633,1))-(INT(C633)+MOD(D633,1)))*24</f>
        <v>22.9999999990105</v>
      </c>
      <c r="M633" s="1" t="n">
        <f aca="false">IFERROR(INDEX(Sheet3!$B$2:$B$500,MATCH(1,(INT(C633)+MOD(D633,1)&lt;INT(Sheet3!$A$2:$A$500)+TIME(18,0,0))*(INT(E633)+MOD(F633,1)&gt;=INT(Sheet3!$A$2:$A$500)),0)),0)</f>
        <v>0</v>
      </c>
      <c r="N633" s="1" t="n">
        <f aca="false">IF(OR( AND(Q633=6,D633&gt;=TIME(17,0,0),OR(K633="12H Night",K633="Couple Half Night",K633="24H Night",K633="Couple Full Night")), AND(Q633=7,D633&gt;=TIME(6,0,0),D633&lt;TIME(12,0,0),OR(K633="12H Day",K633="Couple Half Day",K633="24H Day",K633="Couple Full Day")) ),1,0)</f>
        <v>1</v>
      </c>
      <c r="O633" s="1" t="n">
        <f aca="false">IF(OR( AND(MONTH(C633)=12,DAY(C633)&gt;=26), AND(MONTH(C633)=4,DAY(C633)&gt;=15), MONTH(C633)=5, AND(MONTH(C633)=6,DAY(C633)&lt;=10) ),1,0)</f>
        <v>0</v>
      </c>
      <c r="P633" s="1" t="str">
        <f aca="false">IF(OR(MONTH(C633)=3,MONTH(C633)=4,MONTH(C633)=5,MONTH(C633)=6), "Summer", IF(OR(MONTH(C633)=7,MONTH(C633)=8,MONTH(C633)=9,MONTH(C633)=10), "Monsoon", "Winter"))</f>
        <v>Summer</v>
      </c>
      <c r="Q633" s="1" t="n">
        <f aca="false">WEEKDAY(C633,2)</f>
        <v>6</v>
      </c>
      <c r="R633" s="0" t="n">
        <f aca="false">ROUNDDOWN(((INT(C633)+MOD(D633,1))-(INT(I633)+MOD(J633,1))),0)</f>
        <v>4</v>
      </c>
      <c r="S633" s="10"/>
    </row>
    <row r="634" customFormat="false" ht="192.95" hidden="false" customHeight="false" outlineLevel="0" collapsed="false">
      <c r="A634" s="8" t="s">
        <v>411</v>
      </c>
      <c r="B634" s="22" t="s">
        <v>1133</v>
      </c>
      <c r="C634" s="18" t="n">
        <v>46096.7916666667</v>
      </c>
      <c r="D634" s="19" t="n">
        <v>46096.7916666667</v>
      </c>
      <c r="E634" s="18" t="n">
        <v>46097.3333333333</v>
      </c>
      <c r="F634" s="19" t="n">
        <v>0</v>
      </c>
      <c r="G634" s="20" t="n">
        <v>2500</v>
      </c>
      <c r="H634" s="8" t="n">
        <v>4</v>
      </c>
      <c r="I634" s="10" t="n">
        <v>46096</v>
      </c>
      <c r="J634" s="11" t="n">
        <v>0.749398148152975</v>
      </c>
      <c r="K634" s="1" t="str">
        <f aca="false">IF(L634&gt;24,     IF(H634=2,"Couple Extended Day","Extended Day"), IF(L634&lt;=12,     IF(AND(MOD(D634,1)&gt;=TIME(6,0,0),MOD(D634,1)&lt;TIME(18,0,0)),         IF(H634=2,"Couple Half Day","12H Day"),         IF(H634=2,"Couple Half Night","12H Night")), IF(L634&lt;=24,     IF(AND(MOD(D634,1)&gt;=TIME(6,0,0),MOD(D634,1)&lt;TIME(18,0,0)),         IF(H634=2,"Couple Full Day","24H Day"),         IF(H634=2,"Couple Full Night","24H Night")), "Check Data")))</f>
        <v>12H Night</v>
      </c>
      <c r="L634" s="12" t="n">
        <f aca="false">((INT(E634)+MOD(F634,1))-(INT(C634)+MOD(D634,1)))*24</f>
        <v>4.99999999901047</v>
      </c>
      <c r="M634" s="1" t="n">
        <f aca="false">IFERROR(INDEX(Sheet3!$B$2:$B$500,MATCH(1,(INT(C634)+MOD(D634,1)&lt;INT(Sheet3!$A$2:$A$500)+TIME(18,0,0))*(INT(E634)+MOD(F634,1)&gt;=INT(Sheet3!$A$2:$A$500)),0)),0)</f>
        <v>0</v>
      </c>
      <c r="N634" s="1" t="n">
        <f aca="false">IF(OR( AND(Q634=6,D634&gt;=TIME(17,0,0),OR(K634="12H Night",K634="Couple Half Night",K634="24H Night",K634="Couple Full Night")), AND(Q634=7,D634&gt;=TIME(6,0,0),D634&lt;TIME(12,0,0),OR(K634="12H Day",K634="Couple Half Day",K634="24H Day",K634="Couple Full Day")) ),1,0)</f>
        <v>0</v>
      </c>
      <c r="O634" s="1" t="n">
        <f aca="false">IF(OR( AND(MONTH(C634)=12,DAY(C634)&gt;=26), AND(MONTH(C634)=4,DAY(C634)&gt;=15), MONTH(C634)=5, AND(MONTH(C634)=6,DAY(C634)&lt;=10) ),1,0)</f>
        <v>0</v>
      </c>
      <c r="P634" s="1" t="str">
        <f aca="false">IF(OR(MONTH(C634)=3,MONTH(C634)=4,MONTH(C634)=5,MONTH(C634)=6), "Summer", IF(OR(MONTH(C634)=7,MONTH(C634)=8,MONTH(C634)=9,MONTH(C634)=10), "Monsoon", "Winter"))</f>
        <v>Summer</v>
      </c>
      <c r="Q634" s="1" t="n">
        <f aca="false">WEEKDAY(C634,2)</f>
        <v>7</v>
      </c>
      <c r="R634" s="0" t="n">
        <f aca="false">ROUNDDOWN(((INT(C634)+MOD(D634,1))-(INT(I634)+MOD(J634,1))),0)</f>
        <v>0</v>
      </c>
      <c r="S634" s="10"/>
    </row>
    <row r="635" customFormat="false" ht="192.95" hidden="false" customHeight="false" outlineLevel="0" collapsed="false">
      <c r="A635" s="8" t="s">
        <v>1134</v>
      </c>
      <c r="B635" s="22" t="s">
        <v>1135</v>
      </c>
      <c r="C635" s="18" t="n">
        <v>46097.375</v>
      </c>
      <c r="D635" s="19" t="n">
        <v>46097.375</v>
      </c>
      <c r="E635" s="18" t="n">
        <v>46097.75</v>
      </c>
      <c r="F635" s="19" t="n">
        <v>46097.75</v>
      </c>
      <c r="G635" s="20" t="n">
        <v>3500</v>
      </c>
      <c r="H635" s="8" t="n">
        <v>6</v>
      </c>
      <c r="I635" s="10" t="n">
        <v>46096</v>
      </c>
      <c r="J635" s="11" t="n">
        <v>0.399155092592986</v>
      </c>
      <c r="K635" s="1" t="str">
        <f aca="false">IF(L635&gt;24,     IF(H635=2,"Couple Extended Day","Extended Day"), IF(L635&lt;=12,     IF(AND(MOD(D635,1)&gt;=TIME(6,0,0),MOD(D635,1)&lt;TIME(18,0,0)),         IF(H635=2,"Couple Half Day","12H Day"),         IF(H635=2,"Couple Half Night","12H Night")), IF(L635&lt;=24,     IF(AND(MOD(D635,1)&gt;=TIME(6,0,0),MOD(D635,1)&lt;TIME(18,0,0)),         IF(H635=2,"Couple Full Day","24H Day"),         IF(H635=2,"Couple Full Night","24H Night")), "Check Data")))</f>
        <v>12H Day</v>
      </c>
      <c r="L635" s="12" t="n">
        <f aca="false">((INT(E635)+MOD(F635,1))-(INT(C635)+MOD(D635,1)))*24</f>
        <v>9</v>
      </c>
      <c r="M635" s="1" t="n">
        <f aca="false">IFERROR(INDEX(Sheet3!$B$2:$B$500,MATCH(1,(INT(C635)+MOD(D635,1)&lt;INT(Sheet3!$A$2:$A$500)+TIME(18,0,0))*(INT(E635)+MOD(F635,1)&gt;=INT(Sheet3!$A$2:$A$500)),0)),0)</f>
        <v>0</v>
      </c>
      <c r="N635" s="1" t="n">
        <f aca="false">IF(OR( AND(Q635=6,D635&gt;=TIME(17,0,0),OR(K635="12H Night",K635="Couple Half Night",K635="24H Night",K635="Couple Full Night")), AND(Q635=7,D635&gt;=TIME(6,0,0),D635&lt;TIME(12,0,0),OR(K635="12H Day",K635="Couple Half Day",K635="24H Day",K635="Couple Full Day")) ),1,0)</f>
        <v>0</v>
      </c>
      <c r="O635" s="1" t="n">
        <f aca="false">IF(OR( AND(MONTH(C635)=12,DAY(C635)&gt;=26), AND(MONTH(C635)=4,DAY(C635)&gt;=15), MONTH(C635)=5, AND(MONTH(C635)=6,DAY(C635)&lt;=10) ),1,0)</f>
        <v>0</v>
      </c>
      <c r="P635" s="1" t="str">
        <f aca="false">IF(OR(MONTH(C635)=3,MONTH(C635)=4,MONTH(C635)=5,MONTH(C635)=6), "Summer", IF(OR(MONTH(C635)=7,MONTH(C635)=8,MONTH(C635)=9,MONTH(C635)=10), "Monsoon", "Winter"))</f>
        <v>Summer</v>
      </c>
      <c r="Q635" s="1" t="n">
        <f aca="false">WEEKDAY(C635,2)</f>
        <v>1</v>
      </c>
      <c r="R635" s="0" t="n">
        <f aca="false">ROUNDDOWN(((INT(C635)+MOD(D635,1))-(INT(I635)+MOD(J635,1))),0)</f>
        <v>0</v>
      </c>
      <c r="S635" s="10"/>
    </row>
    <row r="636" customFormat="false" ht="159.6" hidden="false" customHeight="false" outlineLevel="0" collapsed="false">
      <c r="A636" s="8" t="s">
        <v>1136</v>
      </c>
      <c r="B636" s="22" t="s">
        <v>1137</v>
      </c>
      <c r="C636" s="18" t="n">
        <v>46097.7916666667</v>
      </c>
      <c r="D636" s="19" t="n">
        <v>46097.7916666667</v>
      </c>
      <c r="E636" s="18" t="n">
        <v>46098.75</v>
      </c>
      <c r="F636" s="19" t="n">
        <v>46098.75</v>
      </c>
      <c r="G636" s="20" t="n">
        <v>5000</v>
      </c>
      <c r="H636" s="8" t="n">
        <v>10</v>
      </c>
      <c r="I636" s="10" t="n">
        <v>46095</v>
      </c>
      <c r="J636" s="11" t="n">
        <v>0.781296296292569</v>
      </c>
      <c r="K636" s="1" t="str">
        <f aca="false">IF(L636&gt;24,     IF(H636=2,"Couple Extended Day","Extended Day"), IF(L636&lt;=12,     IF(AND(MOD(D636,1)&gt;=TIME(6,0,0),MOD(D636,1)&lt;TIME(18,0,0)),         IF(H636=2,"Couple Half Day","12H Day"),         IF(H636=2,"Couple Half Night","12H Night")), IF(L636&lt;=24,     IF(AND(MOD(D636,1)&gt;=TIME(6,0,0),MOD(D636,1)&lt;TIME(18,0,0)),         IF(H636=2,"Couple Full Day","24H Day"),         IF(H636=2,"Couple Full Night","24H Night")), "Check Data")))</f>
        <v>24H Night</v>
      </c>
      <c r="L636" s="12" t="n">
        <f aca="false">((INT(E636)+MOD(F636,1))-(INT(C636)+MOD(D636,1)))*24</f>
        <v>22.9999999990105</v>
      </c>
      <c r="M636" s="1" t="n">
        <f aca="false">IFERROR(INDEX(Sheet3!$B$2:$B$500,MATCH(1,(INT(C636)+MOD(D636,1)&lt;INT(Sheet3!$A$2:$A$500)+TIME(18,0,0))*(INT(E636)+MOD(F636,1)&gt;=INT(Sheet3!$A$2:$A$500)),0)),0)</f>
        <v>0</v>
      </c>
      <c r="N636" s="1" t="n">
        <f aca="false">IF(OR( AND(Q636=6,D636&gt;=TIME(17,0,0),OR(K636="12H Night",K636="Couple Half Night",K636="24H Night",K636="Couple Full Night")), AND(Q636=7,D636&gt;=TIME(6,0,0),D636&lt;TIME(12,0,0),OR(K636="12H Day",K636="Couple Half Day",K636="24H Day",K636="Couple Full Day")) ),1,0)</f>
        <v>0</v>
      </c>
      <c r="O636" s="1" t="n">
        <f aca="false">IF(OR( AND(MONTH(C636)=12,DAY(C636)&gt;=26), AND(MONTH(C636)=4,DAY(C636)&gt;=15), MONTH(C636)=5, AND(MONTH(C636)=6,DAY(C636)&lt;=10) ),1,0)</f>
        <v>0</v>
      </c>
      <c r="P636" s="1" t="str">
        <f aca="false">IF(OR(MONTH(C636)=3,MONTH(C636)=4,MONTH(C636)=5,MONTH(C636)=6), "Summer", IF(OR(MONTH(C636)=7,MONTH(C636)=8,MONTH(C636)=9,MONTH(C636)=10), "Monsoon", "Winter"))</f>
        <v>Summer</v>
      </c>
      <c r="Q636" s="1" t="n">
        <f aca="false">WEEKDAY(C636,2)</f>
        <v>1</v>
      </c>
      <c r="R636" s="0" t="n">
        <f aca="false">ROUNDDOWN(((INT(C636)+MOD(D636,1))-(INT(I636)+MOD(J636,1))),0)</f>
        <v>2</v>
      </c>
      <c r="S636" s="10"/>
    </row>
    <row r="637" customFormat="false" ht="212.2" hidden="false" customHeight="false" outlineLevel="0" collapsed="false">
      <c r="A637" s="8" t="s">
        <v>1112</v>
      </c>
      <c r="B637" s="22" t="s">
        <v>1138</v>
      </c>
      <c r="C637" s="18" t="n">
        <v>46098.7916666667</v>
      </c>
      <c r="D637" s="19" t="n">
        <v>46098.7916666667</v>
      </c>
      <c r="E637" s="18" t="n">
        <v>46099.3333333333</v>
      </c>
      <c r="F637" s="19" t="n">
        <v>0</v>
      </c>
      <c r="G637" s="20" t="n">
        <v>3000</v>
      </c>
      <c r="H637" s="8" t="n">
        <v>11</v>
      </c>
      <c r="I637" s="10" t="n">
        <v>46097</v>
      </c>
      <c r="J637" s="11" t="n">
        <v>0.941979166665984</v>
      </c>
      <c r="K637" s="1" t="str">
        <f aca="false">IF(L637&gt;24,     IF(H637=2,"Couple Extended Day","Extended Day"), IF(L637&lt;=12,     IF(AND(MOD(D637,1)&gt;=TIME(6,0,0),MOD(D637,1)&lt;TIME(18,0,0)),         IF(H637=2,"Couple Half Day","12H Day"),         IF(H637=2,"Couple Half Night","12H Night")), IF(L637&lt;=24,     IF(AND(MOD(D637,1)&gt;=TIME(6,0,0),MOD(D637,1)&lt;TIME(18,0,0)),         IF(H637=2,"Couple Full Day","24H Day"),         IF(H637=2,"Couple Full Night","24H Night")), "Check Data")))</f>
        <v>12H Night</v>
      </c>
      <c r="L637" s="12" t="n">
        <f aca="false">((INT(E637)+MOD(F637,1))-(INT(C637)+MOD(D637,1)))*24</f>
        <v>4.99999999901047</v>
      </c>
      <c r="M637" s="1" t="n">
        <f aca="false">IFERROR(INDEX(Sheet3!$B$2:$B$500,MATCH(1,(INT(C637)+MOD(D637,1)&lt;INT(Sheet3!$A$2:$A$500)+TIME(18,0,0))*(INT(E637)+MOD(F637,1)&gt;=INT(Sheet3!$A$2:$A$500)),0)),0)</f>
        <v>0</v>
      </c>
      <c r="N637" s="1" t="n">
        <f aca="false">IF(OR( AND(Q637=6,D637&gt;=TIME(17,0,0),OR(K637="12H Night",K637="Couple Half Night",K637="24H Night",K637="Couple Full Night")), AND(Q637=7,D637&gt;=TIME(6,0,0),D637&lt;TIME(12,0,0),OR(K637="12H Day",K637="Couple Half Day",K637="24H Day",K637="Couple Full Day")) ),1,0)</f>
        <v>0</v>
      </c>
      <c r="O637" s="1" t="n">
        <f aca="false">IF(OR( AND(MONTH(C637)=12,DAY(C637)&gt;=26), AND(MONTH(C637)=4,DAY(C637)&gt;=15), MONTH(C637)=5, AND(MONTH(C637)=6,DAY(C637)&lt;=10) ),1,0)</f>
        <v>0</v>
      </c>
      <c r="P637" s="1" t="str">
        <f aca="false">IF(OR(MONTH(C637)=3,MONTH(C637)=4,MONTH(C637)=5,MONTH(C637)=6), "Summer", IF(OR(MONTH(C637)=7,MONTH(C637)=8,MONTH(C637)=9,MONTH(C637)=10), "Monsoon", "Winter"))</f>
        <v>Summer</v>
      </c>
      <c r="Q637" s="1" t="n">
        <f aca="false">WEEKDAY(C637,2)</f>
        <v>2</v>
      </c>
      <c r="R637" s="0" t="n">
        <f aca="false">ROUNDDOWN(((INT(C637)+MOD(D637,1))-(INT(I637)+MOD(J637,1))),0)</f>
        <v>0</v>
      </c>
      <c r="S637" s="10"/>
    </row>
    <row r="638" customFormat="false" ht="159.6" hidden="false" customHeight="false" outlineLevel="0" collapsed="false">
      <c r="A638" s="8" t="s">
        <v>1139</v>
      </c>
      <c r="B638" s="22" t="s">
        <v>1140</v>
      </c>
      <c r="C638" s="18" t="n">
        <v>46099.7916666667</v>
      </c>
      <c r="D638" s="19" t="n">
        <v>46099.7916666667</v>
      </c>
      <c r="E638" s="18" t="n">
        <v>46100.3333333333</v>
      </c>
      <c r="F638" s="19" t="n">
        <v>0</v>
      </c>
      <c r="G638" s="20" t="n">
        <v>3000</v>
      </c>
      <c r="H638" s="8" t="n">
        <v>4</v>
      </c>
      <c r="I638" s="10" t="n">
        <v>46099</v>
      </c>
      <c r="J638" s="11" t="n">
        <v>0.586666666669769</v>
      </c>
      <c r="K638" s="1" t="str">
        <f aca="false">IF(L638&gt;24,     IF(H638=2,"Couple Extended Day","Extended Day"), IF(L638&lt;=12,     IF(AND(MOD(D638,1)&gt;=TIME(6,0,0),MOD(D638,1)&lt;TIME(18,0,0)),         IF(H638=2,"Couple Half Day","12H Day"),         IF(H638=2,"Couple Half Night","12H Night")), IF(L638&lt;=24,     IF(AND(MOD(D638,1)&gt;=TIME(6,0,0),MOD(D638,1)&lt;TIME(18,0,0)),         IF(H638=2,"Couple Full Day","24H Day"),         IF(H638=2,"Couple Full Night","24H Night")), "Check Data")))</f>
        <v>12H Night</v>
      </c>
      <c r="L638" s="12" t="n">
        <f aca="false">((INT(E638)+MOD(F638,1))-(INT(C638)+MOD(D638,1)))*24</f>
        <v>4.99999999901047</v>
      </c>
      <c r="M638" s="1" t="n">
        <f aca="false">IFERROR(INDEX(Sheet3!$B$2:$B$500,MATCH(1,(INT(C638)+MOD(D638,1)&lt;INT(Sheet3!$A$2:$A$500)+TIME(18,0,0))*(INT(E638)+MOD(F638,1)&gt;=INT(Sheet3!$A$2:$A$500)),0)),0)</f>
        <v>0</v>
      </c>
      <c r="N638" s="1" t="n">
        <f aca="false">IF(OR( AND(Q638=6,D638&gt;=TIME(17,0,0),OR(K638="12H Night",K638="Couple Half Night",K638="24H Night",K638="Couple Full Night")), AND(Q638=7,D638&gt;=TIME(6,0,0),D638&lt;TIME(12,0,0),OR(K638="12H Day",K638="Couple Half Day",K638="24H Day",K638="Couple Full Day")) ),1,0)</f>
        <v>0</v>
      </c>
      <c r="O638" s="1" t="n">
        <f aca="false">IF(OR( AND(MONTH(C638)=12,DAY(C638)&gt;=26), AND(MONTH(C638)=4,DAY(C638)&gt;=15), MONTH(C638)=5, AND(MONTH(C638)=6,DAY(C638)&lt;=10) ),1,0)</f>
        <v>0</v>
      </c>
      <c r="P638" s="1" t="str">
        <f aca="false">IF(OR(MONTH(C638)=3,MONTH(C638)=4,MONTH(C638)=5,MONTH(C638)=6), "Summer", IF(OR(MONTH(C638)=7,MONTH(C638)=8,MONTH(C638)=9,MONTH(C638)=10), "Monsoon", "Winter"))</f>
        <v>Summer</v>
      </c>
      <c r="Q638" s="1" t="n">
        <f aca="false">WEEKDAY(C638,2)</f>
        <v>3</v>
      </c>
      <c r="R638" s="0" t="n">
        <f aca="false">ROUNDDOWN(((INT(C638)+MOD(D638,1))-(INT(I638)+MOD(J638,1))),0)</f>
        <v>0</v>
      </c>
      <c r="S638" s="10"/>
    </row>
    <row r="639" customFormat="false" ht="133.3" hidden="false" customHeight="false" outlineLevel="0" collapsed="false">
      <c r="A639" s="8" t="s">
        <v>1141</v>
      </c>
      <c r="B639" s="22" t="s">
        <v>1142</v>
      </c>
      <c r="C639" s="18" t="n">
        <v>46100.5833333333</v>
      </c>
      <c r="D639" s="19" t="n">
        <v>0</v>
      </c>
      <c r="E639" s="18" t="n">
        <v>46101.3333333333</v>
      </c>
      <c r="F639" s="19" t="n">
        <v>0</v>
      </c>
      <c r="G639" s="20" t="n">
        <v>3800</v>
      </c>
      <c r="H639" s="8" t="n">
        <v>4</v>
      </c>
      <c r="I639" s="10" t="n">
        <v>46103</v>
      </c>
      <c r="J639" s="11" t="n">
        <v>0.967499999998831</v>
      </c>
      <c r="K639" s="1" t="str">
        <f aca="false">IF(L639&gt;24,     IF(H639=2,"Couple Extended Day","Extended Day"), IF(L639&lt;=12,     IF(AND(MOD(D639,1)&gt;=TIME(6,0,0),MOD(D639,1)&lt;TIME(18,0,0)),         IF(H639=2,"Couple Half Day","12H Day"),         IF(H639=2,"Couple Half Night","12H Night")), IF(L639&lt;=24,     IF(AND(MOD(D639,1)&gt;=TIME(6,0,0),MOD(D639,1)&lt;TIME(18,0,0)),         IF(H639=2,"Couple Full Day","24H Day"),         IF(H639=2,"Couple Full Night","24H Night")), "Check Data")))</f>
        <v>24H Night</v>
      </c>
      <c r="L639" s="12" t="n">
        <f aca="false">((INT(E639)+MOD(F639,1))-(INT(C639)+MOD(D639,1)))*24</f>
        <v>24</v>
      </c>
      <c r="M639" s="1" t="str">
        <f aca="false">IFERROR(INDEX(Sheet3!$B$2:$B$500,MATCH(1,(INT(C639)+MOD(D639,1)&lt;INT(Sheet3!$A$2:$A$500)+TIME(18,0,0))*(INT(E639)+MOD(F639,1)&gt;=INT(Sheet3!$A$2:$A$500)),0)),0)</f>
        <v>Ram Navami</v>
      </c>
      <c r="N639" s="1" t="n">
        <f aca="false">IF(OR( AND(Q639=6,D639&gt;=TIME(17,0,0),OR(K639="12H Night",K639="Couple Half Night",K639="24H Night",K639="Couple Full Night")), AND(Q639=7,D639&gt;=TIME(6,0,0),D639&lt;TIME(12,0,0),OR(K639="12H Day",K639="Couple Half Day",K639="24H Day",K639="Couple Full Day")) ),1,0)</f>
        <v>0</v>
      </c>
      <c r="O639" s="1" t="n">
        <f aca="false">IF(OR( AND(MONTH(C639)=12,DAY(C639)&gt;=26), AND(MONTH(C639)=4,DAY(C639)&gt;=15), MONTH(C639)=5, AND(MONTH(C639)=6,DAY(C639)&lt;=10) ),1,0)</f>
        <v>0</v>
      </c>
      <c r="P639" s="1" t="str">
        <f aca="false">IF(OR(MONTH(C639)=3,MONTH(C639)=4,MONTH(C639)=5,MONTH(C639)=6), "Summer", IF(OR(MONTH(C639)=7,MONTH(C639)=8,MONTH(C639)=9,MONTH(C639)=10), "Monsoon", "Winter"))</f>
        <v>Summer</v>
      </c>
      <c r="Q639" s="1" t="n">
        <f aca="false">WEEKDAY(C639,2)</f>
        <v>4</v>
      </c>
      <c r="R639" s="0" t="n">
        <f aca="false">ROUNDDOWN(((INT(C639)+MOD(D639,1))-(INT(I639)+MOD(J639,1))),0)</f>
        <v>-3</v>
      </c>
      <c r="S639" s="10"/>
    </row>
    <row r="640" customFormat="false" ht="93.85" hidden="false" customHeight="false" outlineLevel="0" collapsed="false">
      <c r="A640" s="8" t="s">
        <v>1143</v>
      </c>
      <c r="B640" s="22" t="s">
        <v>1144</v>
      </c>
      <c r="C640" s="18" t="n">
        <v>46101.4166666667</v>
      </c>
      <c r="D640" s="19" t="n">
        <v>46101.4166666667</v>
      </c>
      <c r="E640" s="18" t="n">
        <v>46101.75</v>
      </c>
      <c r="F640" s="19" t="n">
        <v>46101.75</v>
      </c>
      <c r="G640" s="20" t="n">
        <v>3300</v>
      </c>
      <c r="H640" s="8" t="n">
        <v>15</v>
      </c>
      <c r="I640" s="10" t="n">
        <v>46101</v>
      </c>
      <c r="J640" s="11" t="n">
        <v>0.940300925925845</v>
      </c>
      <c r="K640" s="1" t="str">
        <f aca="false">IF(L640&gt;24,     IF(H640=2,"Couple Extended Day","Extended Day"), IF(L640&lt;=12,     IF(AND(MOD(D640,1)&gt;=TIME(6,0,0),MOD(D640,1)&lt;TIME(18,0,0)),         IF(H640=2,"Couple Half Day","12H Day"),         IF(H640=2,"Couple Half Night","12H Night")), IF(L640&lt;=24,     IF(AND(MOD(D640,1)&gt;=TIME(6,0,0),MOD(D640,1)&lt;TIME(18,0,0)),         IF(H640=2,"Couple Full Day","24H Day"),         IF(H640=2,"Couple Full Night","24H Night")), "Check Data")))</f>
        <v>12H Day</v>
      </c>
      <c r="L640" s="12" t="n">
        <f aca="false">((INT(E640)+MOD(F640,1))-(INT(C640)+MOD(D640,1)))*24</f>
        <v>7.99999999901047</v>
      </c>
      <c r="M640" s="1" t="str">
        <f aca="false">IFERROR(INDEX(Sheet3!$B$2:$B$500,MATCH(1,(INT(C640)+MOD(D640,1)&lt;INT(Sheet3!$A$2:$A$500)+TIME(18,0,0))*(INT(E640)+MOD(F640,1)&gt;=INT(Sheet3!$A$2:$A$500)),0)),0)</f>
        <v>Ram Navami</v>
      </c>
      <c r="N640" s="1" t="n">
        <f aca="false">IF(OR( AND(Q640=6,D640&gt;=TIME(17,0,0),OR(K640="12H Night",K640="Couple Half Night",K640="24H Night",K640="Couple Full Night")), AND(Q640=7,D640&gt;=TIME(6,0,0),D640&lt;TIME(12,0,0),OR(K640="12H Day",K640="Couple Half Day",K640="24H Day",K640="Couple Full Day")) ),1,0)</f>
        <v>0</v>
      </c>
      <c r="O640" s="1" t="n">
        <f aca="false">IF(OR( AND(MONTH(C640)=12,DAY(C640)&gt;=26), AND(MONTH(C640)=4,DAY(C640)&gt;=15), MONTH(C640)=5, AND(MONTH(C640)=6,DAY(C640)&lt;=10) ),1,0)</f>
        <v>0</v>
      </c>
      <c r="P640" s="1" t="str">
        <f aca="false">IF(OR(MONTH(C640)=3,MONTH(C640)=4,MONTH(C640)=5,MONTH(C640)=6), "Summer", IF(OR(MONTH(C640)=7,MONTH(C640)=8,MONTH(C640)=9,MONTH(C640)=10), "Monsoon", "Winter"))</f>
        <v>Summer</v>
      </c>
      <c r="Q640" s="1" t="n">
        <f aca="false">WEEKDAY(C640,2)</f>
        <v>5</v>
      </c>
      <c r="R640" s="0" t="n">
        <f aca="false">ROUNDDOWN(((INT(C640)+MOD(D640,1))-(INT(I640)+MOD(J640,1))),0)</f>
        <v>-0</v>
      </c>
      <c r="S640" s="10"/>
    </row>
    <row r="641" customFormat="false" ht="146.45" hidden="false" customHeight="false" outlineLevel="0" collapsed="false">
      <c r="A641" s="8" t="s">
        <v>1145</v>
      </c>
      <c r="B641" s="22" t="s">
        <v>1146</v>
      </c>
      <c r="C641" s="18" t="n">
        <v>46101.7916666667</v>
      </c>
      <c r="D641" s="19" t="n">
        <v>46101.7916666667</v>
      </c>
      <c r="E641" s="18" t="n">
        <v>46102.75</v>
      </c>
      <c r="F641" s="19" t="n">
        <v>46102.75</v>
      </c>
      <c r="G641" s="20" t="n">
        <v>5500</v>
      </c>
      <c r="H641" s="8" t="n">
        <v>8</v>
      </c>
      <c r="I641" s="10" t="n">
        <v>46099</v>
      </c>
      <c r="J641" s="11" t="n">
        <v>0.726863425923507</v>
      </c>
      <c r="K641" s="1" t="str">
        <f aca="false">IF(L641&gt;24,     IF(H641=2,"Couple Extended Day","Extended Day"), IF(L641&lt;=12,     IF(AND(MOD(D641,1)&gt;=TIME(6,0,0),MOD(D641,1)&lt;TIME(18,0,0)),         IF(H641=2,"Couple Half Day","12H Day"),         IF(H641=2,"Couple Half Night","12H Night")), IF(L641&lt;=24,     IF(AND(MOD(D641,1)&gt;=TIME(6,0,0),MOD(D641,1)&lt;TIME(18,0,0)),         IF(H641=2,"Couple Full Day","24H Day"),         IF(H641=2,"Couple Full Night","24H Night")), "Check Data")))</f>
        <v>24H Night</v>
      </c>
      <c r="L641" s="12" t="n">
        <f aca="false">((INT(E641)+MOD(F641,1))-(INT(C641)+MOD(D641,1)))*24</f>
        <v>22.9999999990105</v>
      </c>
      <c r="M641" s="1" t="n">
        <f aca="false">IFERROR(INDEX(Sheet3!$B$2:$B$500,MATCH(1,(INT(C641)+MOD(D641,1)&lt;INT(Sheet3!$A$2:$A$500)+TIME(18,0,0))*(INT(E641)+MOD(F641,1)&gt;=INT(Sheet3!$A$2:$A$500)),0)),0)</f>
        <v>0</v>
      </c>
      <c r="N641" s="1" t="n">
        <f aca="false">IF(OR( AND(Q641=6,D641&gt;=TIME(17,0,0),OR(K641="12H Night",K641="Couple Half Night",K641="24H Night",K641="Couple Full Night")), AND(Q641=7,D641&gt;=TIME(6,0,0),D641&lt;TIME(12,0,0),OR(K641="12H Day",K641="Couple Half Day",K641="24H Day",K641="Couple Full Day")) ),1,0)</f>
        <v>0</v>
      </c>
      <c r="O641" s="1" t="n">
        <f aca="false">IF(OR( AND(MONTH(C641)=12,DAY(C641)&gt;=26), AND(MONTH(C641)=4,DAY(C641)&gt;=15), MONTH(C641)=5, AND(MONTH(C641)=6,DAY(C641)&lt;=10) ),1,0)</f>
        <v>0</v>
      </c>
      <c r="P641" s="1" t="str">
        <f aca="false">IF(OR(MONTH(C641)=3,MONTH(C641)=4,MONTH(C641)=5,MONTH(C641)=6), "Summer", IF(OR(MONTH(C641)=7,MONTH(C641)=8,MONTH(C641)=9,MONTH(C641)=10), "Monsoon", "Winter"))</f>
        <v>Summer</v>
      </c>
      <c r="Q641" s="1" t="n">
        <f aca="false">WEEKDAY(C641,2)</f>
        <v>5</v>
      </c>
      <c r="R641" s="0" t="n">
        <f aca="false">ROUNDDOWN(((INT(C641)+MOD(D641,1))-(INT(I641)+MOD(J641,1))),0)</f>
        <v>2</v>
      </c>
      <c r="S641" s="10"/>
    </row>
    <row r="642" customFormat="false" ht="212.2" hidden="false" customHeight="false" outlineLevel="0" collapsed="false">
      <c r="A642" s="8" t="s">
        <v>424</v>
      </c>
      <c r="B642" s="22" t="s">
        <v>1147</v>
      </c>
      <c r="C642" s="18" t="n">
        <v>46102.7916666667</v>
      </c>
      <c r="D642" s="19" t="n">
        <v>46102.7916666667</v>
      </c>
      <c r="E642" s="18" t="n">
        <v>46103.75</v>
      </c>
      <c r="F642" s="19" t="n">
        <v>46103.75</v>
      </c>
      <c r="G642" s="20" t="n">
        <v>10000</v>
      </c>
      <c r="H642" s="8" t="n">
        <v>14</v>
      </c>
      <c r="I642" s="10" t="n">
        <v>46096</v>
      </c>
      <c r="J642" s="11" t="n">
        <v>0.52637731481809</v>
      </c>
      <c r="K642" s="1" t="str">
        <f aca="false">IF(L642&gt;24,     IF(H642=2,"Couple Extended Day","Extended Day"), IF(L642&lt;=12,     IF(AND(MOD(D642,1)&gt;=TIME(6,0,0),MOD(D642,1)&lt;TIME(18,0,0)),         IF(H642=2,"Couple Half Day","12H Day"),         IF(H642=2,"Couple Half Night","12H Night")), IF(L642&lt;=24,     IF(AND(MOD(D642,1)&gt;=TIME(6,0,0),MOD(D642,1)&lt;TIME(18,0,0)),         IF(H642=2,"Couple Full Day","24H Day"),         IF(H642=2,"Couple Full Night","24H Night")), "Check Data")))</f>
        <v>24H Night</v>
      </c>
      <c r="L642" s="12" t="n">
        <f aca="false">((INT(E642)+MOD(F642,1))-(INT(C642)+MOD(D642,1)))*24</f>
        <v>22.9999999990105</v>
      </c>
      <c r="M642" s="1" t="n">
        <f aca="false">IFERROR(INDEX(Sheet3!$B$2:$B$500,MATCH(1,(INT(C642)+MOD(D642,1)&lt;INT(Sheet3!$A$2:$A$500)+TIME(18,0,0))*(INT(E642)+MOD(F642,1)&gt;=INT(Sheet3!$A$2:$A$500)),0)),0)</f>
        <v>0</v>
      </c>
      <c r="N642" s="1" t="n">
        <f aca="false">IF(OR( AND(Q642=6,D642&gt;=TIME(17,0,0),OR(K642="12H Night",K642="Couple Half Night",K642="24H Night",K642="Couple Full Night")), AND(Q642=7,D642&gt;=TIME(6,0,0),D642&lt;TIME(12,0,0),OR(K642="12H Day",K642="Couple Half Day",K642="24H Day",K642="Couple Full Day")) ),1,0)</f>
        <v>1</v>
      </c>
      <c r="O642" s="1" t="n">
        <f aca="false">IF(OR( AND(MONTH(C642)=12,DAY(C642)&gt;=26), AND(MONTH(C642)=4,DAY(C642)&gt;=15), MONTH(C642)=5, AND(MONTH(C642)=6,DAY(C642)&lt;=10) ),1,0)</f>
        <v>0</v>
      </c>
      <c r="P642" s="1" t="str">
        <f aca="false">IF(OR(MONTH(C642)=3,MONTH(C642)=4,MONTH(C642)=5,MONTH(C642)=6), "Summer", IF(OR(MONTH(C642)=7,MONTH(C642)=8,MONTH(C642)=9,MONTH(C642)=10), "Monsoon", "Winter"))</f>
        <v>Summer</v>
      </c>
      <c r="Q642" s="1" t="n">
        <f aca="false">WEEKDAY(C642,2)</f>
        <v>6</v>
      </c>
      <c r="R642" s="0" t="n">
        <f aca="false">ROUNDDOWN(((INT(C642)+MOD(D642,1))-(INT(I642)+MOD(J642,1))),0)</f>
        <v>6</v>
      </c>
      <c r="S642" s="10"/>
    </row>
    <row r="643" customFormat="false" ht="80.75" hidden="false" customHeight="false" outlineLevel="0" collapsed="false">
      <c r="A643" s="8" t="s">
        <v>1112</v>
      </c>
      <c r="B643" s="22" t="s">
        <v>1148</v>
      </c>
      <c r="C643" s="18" t="n">
        <v>46103.8333333333</v>
      </c>
      <c r="D643" s="19" t="n">
        <v>0</v>
      </c>
      <c r="E643" s="18" t="n">
        <v>46104.3333333333</v>
      </c>
      <c r="F643" s="19" t="n">
        <v>0</v>
      </c>
      <c r="G643" s="20" t="n">
        <v>3000</v>
      </c>
      <c r="H643" s="8" t="n">
        <v>10</v>
      </c>
      <c r="I643" s="10" t="n">
        <v>46100</v>
      </c>
      <c r="J643" s="11" t="n">
        <v>0.600960648152975</v>
      </c>
      <c r="K643" s="1" t="str">
        <f aca="false">IF(L643&gt;24,     IF(H643=2,"Couple Extended Day","Extended Day"), IF(L643&lt;=12,     IF(AND(MOD(D643,1)&gt;=TIME(6,0,0),MOD(D643,1)&lt;TIME(18,0,0)),         IF(H643=2,"Couple Half Day","12H Day"),         IF(H643=2,"Couple Half Night","12H Night")), IF(L643&lt;=24,     IF(AND(MOD(D643,1)&gt;=TIME(6,0,0),MOD(D643,1)&lt;TIME(18,0,0)),         IF(H643=2,"Couple Full Day","24H Day"),         IF(H643=2,"Couple Full Night","24H Night")), "Check Data")))</f>
        <v>24H Night</v>
      </c>
      <c r="L643" s="12" t="n">
        <f aca="false">((INT(E643)+MOD(F643,1))-(INT(C643)+MOD(D643,1)))*24</f>
        <v>24</v>
      </c>
      <c r="M643" s="1" t="n">
        <f aca="false">IFERROR(INDEX(Sheet3!$B$2:$B$500,MATCH(1,(INT(C643)+MOD(D643,1)&lt;INT(Sheet3!$A$2:$A$500)+TIME(18,0,0))*(INT(E643)+MOD(F643,1)&gt;=INT(Sheet3!$A$2:$A$500)),0)),0)</f>
        <v>0</v>
      </c>
      <c r="N643" s="1" t="n">
        <f aca="false">IF(OR( AND(Q643=6,D643&gt;=TIME(17,0,0),OR(K643="12H Night",K643="Couple Half Night",K643="24H Night",K643="Couple Full Night")), AND(Q643=7,D643&gt;=TIME(6,0,0),D643&lt;TIME(12,0,0),OR(K643="12H Day",K643="Couple Half Day",K643="24H Day",K643="Couple Full Day")) ),1,0)</f>
        <v>0</v>
      </c>
      <c r="O643" s="1" t="n">
        <f aca="false">IF(OR( AND(MONTH(C643)=12,DAY(C643)&gt;=26), AND(MONTH(C643)=4,DAY(C643)&gt;=15), MONTH(C643)=5, AND(MONTH(C643)=6,DAY(C643)&lt;=10) ),1,0)</f>
        <v>0</v>
      </c>
      <c r="P643" s="1" t="str">
        <f aca="false">IF(OR(MONTH(C643)=3,MONTH(C643)=4,MONTH(C643)=5,MONTH(C643)=6), "Summer", IF(OR(MONTH(C643)=7,MONTH(C643)=8,MONTH(C643)=9,MONTH(C643)=10), "Monsoon", "Winter"))</f>
        <v>Summer</v>
      </c>
      <c r="Q643" s="1" t="n">
        <f aca="false">WEEKDAY(C643,2)</f>
        <v>7</v>
      </c>
      <c r="R643" s="0" t="n">
        <f aca="false">ROUNDDOWN(((INT(C643)+MOD(D643,1))-(INT(I643)+MOD(J643,1))),0)</f>
        <v>2</v>
      </c>
      <c r="S643" s="10"/>
    </row>
    <row r="644" customFormat="false" ht="185.9" hidden="false" customHeight="false" outlineLevel="0" collapsed="false">
      <c r="A644" s="8" t="s">
        <v>1141</v>
      </c>
      <c r="B644" s="22" t="s">
        <v>1149</v>
      </c>
      <c r="C644" s="18" t="n">
        <v>46104.4166666667</v>
      </c>
      <c r="D644" s="19" t="n">
        <v>46104.4166666667</v>
      </c>
      <c r="E644" s="18" t="n">
        <v>46104.75</v>
      </c>
      <c r="F644" s="19" t="n">
        <v>46104.75</v>
      </c>
      <c r="G644" s="20" t="n">
        <v>4000</v>
      </c>
      <c r="H644" s="8" t="n">
        <v>4</v>
      </c>
      <c r="I644" s="10" t="n">
        <v>46099</v>
      </c>
      <c r="J644" s="11" t="n">
        <v>0.847361111111239</v>
      </c>
      <c r="K644" s="1" t="str">
        <f aca="false">IF(L644&gt;24,     IF(H644=2,"Couple Extended Day","Extended Day"), IF(L644&lt;=12,     IF(AND(MOD(D644,1)&gt;=TIME(6,0,0),MOD(D644,1)&lt;TIME(18,0,0)),         IF(H644=2,"Couple Half Day","12H Day"),         IF(H644=2,"Couple Half Night","12H Night")), IF(L644&lt;=24,     IF(AND(MOD(D644,1)&gt;=TIME(6,0,0),MOD(D644,1)&lt;TIME(18,0,0)),         IF(H644=2,"Couple Full Day","24H Day"),         IF(H644=2,"Couple Full Night","24H Night")), "Check Data")))</f>
        <v>12H Day</v>
      </c>
      <c r="L644" s="12" t="n">
        <f aca="false">((INT(E644)+MOD(F644,1))-(INT(C644)+MOD(D644,1)))*24</f>
        <v>7.99999999901047</v>
      </c>
      <c r="M644" s="1" t="n">
        <f aca="false">IFERROR(INDEX(Sheet3!$B$2:$B$500,MATCH(1,(INT(C644)+MOD(D644,1)&lt;INT(Sheet3!$A$2:$A$500)+TIME(18,0,0))*(INT(E644)+MOD(F644,1)&gt;=INT(Sheet3!$A$2:$A$500)),0)),0)</f>
        <v>0</v>
      </c>
      <c r="N644" s="1" t="n">
        <f aca="false">IF(OR( AND(Q644=6,D644&gt;=TIME(17,0,0),OR(K644="12H Night",K644="Couple Half Night",K644="24H Night",K644="Couple Full Night")), AND(Q644=7,D644&gt;=TIME(6,0,0),D644&lt;TIME(12,0,0),OR(K644="12H Day",K644="Couple Half Day",K644="24H Day",K644="Couple Full Day")) ),1,0)</f>
        <v>0</v>
      </c>
      <c r="O644" s="1" t="n">
        <f aca="false">IF(OR( AND(MONTH(C644)=12,DAY(C644)&gt;=26), AND(MONTH(C644)=4,DAY(C644)&gt;=15), MONTH(C644)=5, AND(MONTH(C644)=6,DAY(C644)&lt;=10) ),1,0)</f>
        <v>0</v>
      </c>
      <c r="P644" s="1" t="str">
        <f aca="false">IF(OR(MONTH(C644)=3,MONTH(C644)=4,MONTH(C644)=5,MONTH(C644)=6), "Summer", IF(OR(MONTH(C644)=7,MONTH(C644)=8,MONTH(C644)=9,MONTH(C644)=10), "Monsoon", "Winter"))</f>
        <v>Summer</v>
      </c>
      <c r="Q644" s="1" t="n">
        <f aca="false">WEEKDAY(C644,2)</f>
        <v>1</v>
      </c>
      <c r="R644" s="0" t="n">
        <f aca="false">ROUNDDOWN(((INT(C644)+MOD(D644,1))-(INT(I644)+MOD(J644,1))),0)</f>
        <v>4</v>
      </c>
      <c r="S644" s="10"/>
    </row>
    <row r="645" customFormat="false" ht="212.2" hidden="false" customHeight="false" outlineLevel="0" collapsed="false">
      <c r="A645" s="8" t="s">
        <v>1150</v>
      </c>
      <c r="B645" s="22" t="s">
        <v>1151</v>
      </c>
      <c r="C645" s="18" t="n">
        <v>46105.375</v>
      </c>
      <c r="D645" s="19" t="n">
        <v>46105.375</v>
      </c>
      <c r="E645" s="18" t="n">
        <v>46105.75</v>
      </c>
      <c r="F645" s="19" t="n">
        <v>46105.75</v>
      </c>
      <c r="G645" s="20" t="n">
        <v>4000</v>
      </c>
      <c r="H645" s="8" t="n">
        <v>4</v>
      </c>
      <c r="I645" s="10" t="n">
        <v>46102</v>
      </c>
      <c r="J645" s="11" t="n">
        <v>0.41988425925956</v>
      </c>
      <c r="K645" s="1" t="str">
        <f aca="false">IF(L645&gt;24,     IF(H645=2,"Couple Extended Day","Extended Day"), IF(L645&lt;=12,     IF(AND(MOD(D645,1)&gt;=TIME(6,0,0),MOD(D645,1)&lt;TIME(18,0,0)),         IF(H645=2,"Couple Half Day","12H Day"),         IF(H645=2,"Couple Half Night","12H Night")), IF(L645&lt;=24,     IF(AND(MOD(D645,1)&gt;=TIME(6,0,0),MOD(D645,1)&lt;TIME(18,0,0)),         IF(H645=2,"Couple Full Day","24H Day"),         IF(H645=2,"Couple Full Night","24H Night")), "Check Data")))</f>
        <v>12H Day</v>
      </c>
      <c r="L645" s="12" t="n">
        <f aca="false">((INT(E645)+MOD(F645,1))-(INT(C645)+MOD(D645,1)))*24</f>
        <v>9</v>
      </c>
      <c r="M645" s="1" t="n">
        <f aca="false">IFERROR(INDEX(Sheet3!$B$2:$B$500,MATCH(1,(INT(C645)+MOD(D645,1)&lt;INT(Sheet3!$A$2:$A$500)+TIME(18,0,0))*(INT(E645)+MOD(F645,1)&gt;=INT(Sheet3!$A$2:$A$500)),0)),0)</f>
        <v>0</v>
      </c>
      <c r="N645" s="1" t="n">
        <f aca="false">IF(OR( AND(Q645=6,D645&gt;=TIME(17,0,0),OR(K645="12H Night",K645="Couple Half Night",K645="24H Night",K645="Couple Full Night")), AND(Q645=7,D645&gt;=TIME(6,0,0),D645&lt;TIME(12,0,0),OR(K645="12H Day",K645="Couple Half Day",K645="24H Day",K645="Couple Full Day")) ),1,0)</f>
        <v>0</v>
      </c>
      <c r="O645" s="1" t="n">
        <f aca="false">IF(OR( AND(MONTH(C645)=12,DAY(C645)&gt;=26), AND(MONTH(C645)=4,DAY(C645)&gt;=15), MONTH(C645)=5, AND(MONTH(C645)=6,DAY(C645)&lt;=10) ),1,0)</f>
        <v>0</v>
      </c>
      <c r="P645" s="1" t="str">
        <f aca="false">IF(OR(MONTH(C645)=3,MONTH(C645)=4,MONTH(C645)=5,MONTH(C645)=6), "Summer", IF(OR(MONTH(C645)=7,MONTH(C645)=8,MONTH(C645)=9,MONTH(C645)=10), "Monsoon", "Winter"))</f>
        <v>Summer</v>
      </c>
      <c r="Q645" s="1" t="n">
        <f aca="false">WEEKDAY(C645,2)</f>
        <v>2</v>
      </c>
      <c r="R645" s="0" t="n">
        <f aca="false">ROUNDDOWN(((INT(C645)+MOD(D645,1))-(INT(I645)+MOD(J645,1))),0)</f>
        <v>2</v>
      </c>
      <c r="S645" s="10"/>
    </row>
    <row r="646" customFormat="false" ht="107" hidden="false" customHeight="false" outlineLevel="0" collapsed="false">
      <c r="A646" s="8" t="s">
        <v>253</v>
      </c>
      <c r="B646" s="22" t="s">
        <v>1152</v>
      </c>
      <c r="C646" s="18" t="n">
        <v>46109.375</v>
      </c>
      <c r="D646" s="19" t="n">
        <v>46109.375</v>
      </c>
      <c r="E646" s="18" t="n">
        <v>46109.75</v>
      </c>
      <c r="F646" s="19" t="n">
        <v>46109.75</v>
      </c>
      <c r="G646" s="20" t="n">
        <v>3000</v>
      </c>
      <c r="H646" s="8" t="n">
        <v>10</v>
      </c>
      <c r="I646" s="10" t="n">
        <v>46108</v>
      </c>
      <c r="J646" s="11" t="n">
        <v>0.554409722222766</v>
      </c>
      <c r="K646" s="1" t="str">
        <f aca="false">IF(L646&gt;24,     IF(H646=2,"Couple Extended Day","Extended Day"), IF(L646&lt;=12,     IF(AND(MOD(D646,1)&gt;=TIME(6,0,0),MOD(D646,1)&lt;TIME(18,0,0)),         IF(H646=2,"Couple Half Day","12H Day"),         IF(H646=2,"Couple Half Night","12H Night")), IF(L646&lt;=24,     IF(AND(MOD(D646,1)&gt;=TIME(6,0,0),MOD(D646,1)&lt;TIME(18,0,0)),         IF(H646=2,"Couple Full Day","24H Day"),         IF(H646=2,"Couple Full Night","24H Night")), "Check Data")))</f>
        <v>12H Day</v>
      </c>
      <c r="L646" s="12" t="n">
        <f aca="false">((INT(E646)+MOD(F646,1))-(INT(C646)+MOD(D646,1)))*24</f>
        <v>9</v>
      </c>
      <c r="M646" s="1" t="n">
        <f aca="false">IFERROR(INDEX(Sheet3!$B$2:$B$500,MATCH(1,(INT(C646)+MOD(D646,1)&lt;INT(Sheet3!$A$2:$A$500)+TIME(18,0,0))*(INT(E646)+MOD(F646,1)&gt;=INT(Sheet3!$A$2:$A$500)),0)),0)</f>
        <v>0</v>
      </c>
      <c r="N646" s="1" t="n">
        <f aca="false">IF(OR( AND(Q646=6,D646&gt;=TIME(17,0,0),OR(K646="12H Night",K646="Couple Half Night",K646="24H Night",K646="Couple Full Night")), AND(Q646=7,D646&gt;=TIME(6,0,0),D646&lt;TIME(12,0,0),OR(K646="12H Day",K646="Couple Half Day",K646="24H Day",K646="Couple Full Day")) ),1,0)</f>
        <v>0</v>
      </c>
      <c r="O646" s="1" t="n">
        <f aca="false">IF(OR( AND(MONTH(C646)=12,DAY(C646)&gt;=26), AND(MONTH(C646)=4,DAY(C646)&gt;=15), MONTH(C646)=5, AND(MONTH(C646)=6,DAY(C646)&lt;=10) ),1,0)</f>
        <v>0</v>
      </c>
      <c r="P646" s="1" t="str">
        <f aca="false">IF(OR(MONTH(C646)=3,MONTH(C646)=4,MONTH(C646)=5,MONTH(C646)=6), "Summer", IF(OR(MONTH(C646)=7,MONTH(C646)=8,MONTH(C646)=9,MONTH(C646)=10), "Monsoon", "Winter"))</f>
        <v>Summer</v>
      </c>
      <c r="Q646" s="1" t="n">
        <f aca="false">WEEKDAY(C646,2)</f>
        <v>6</v>
      </c>
      <c r="R646" s="0" t="n">
        <f aca="false">ROUNDDOWN(((INT(C646)+MOD(D646,1))-(INT(I646)+MOD(J646,1))),0)</f>
        <v>0</v>
      </c>
      <c r="S646" s="10"/>
    </row>
    <row r="647" customFormat="false" ht="133.05" hidden="false" customHeight="false" outlineLevel="0" collapsed="false">
      <c r="A647" s="8" t="s">
        <v>1153</v>
      </c>
      <c r="B647" s="22" t="s">
        <v>1154</v>
      </c>
      <c r="C647" s="18" t="n">
        <v>46109.7916666667</v>
      </c>
      <c r="D647" s="19" t="n">
        <v>46109.7916666667</v>
      </c>
      <c r="E647" s="18" t="n">
        <v>46110.75</v>
      </c>
      <c r="F647" s="19" t="n">
        <v>46110.75</v>
      </c>
      <c r="G647" s="20" t="n">
        <v>10000</v>
      </c>
      <c r="H647" s="8" t="n">
        <v>11</v>
      </c>
      <c r="I647" s="10" t="n">
        <v>46104</v>
      </c>
      <c r="J647" s="11" t="n">
        <v>0.447106481486123</v>
      </c>
      <c r="K647" s="1" t="str">
        <f aca="false">IF(L647&gt;24,     IF(H647=2,"Couple Extended Day","Extended Day"), IF(L647&lt;=12,     IF(AND(MOD(D647,1)&gt;=TIME(6,0,0),MOD(D647,1)&lt;TIME(18,0,0)),         IF(H647=2,"Couple Half Day","12H Day"),         IF(H647=2,"Couple Half Night","12H Night")), IF(L647&lt;=24,     IF(AND(MOD(D647,1)&gt;=TIME(6,0,0),MOD(D647,1)&lt;TIME(18,0,0)),         IF(H647=2,"Couple Full Day","24H Day"),         IF(H647=2,"Couple Full Night","24H Night")), "Check Data")))</f>
        <v>24H Night</v>
      </c>
      <c r="L647" s="12" t="n">
        <f aca="false">((INT(E647)+MOD(F647,1))-(INT(C647)+MOD(D647,1)))*24</f>
        <v>22.9999999990105</v>
      </c>
      <c r="M647" s="1" t="n">
        <f aca="false">IFERROR(INDEX(Sheet3!$B$2:$B$500,MATCH(1,(INT(C647)+MOD(D647,1)&lt;INT(Sheet3!$A$2:$A$500)+TIME(18,0,0))*(INT(E647)+MOD(F647,1)&gt;=INT(Sheet3!$A$2:$A$500)),0)),0)</f>
        <v>0</v>
      </c>
      <c r="N647" s="1" t="n">
        <f aca="false">IF(OR( AND(Q647=6,D647&gt;=TIME(17,0,0),OR(K647="12H Night",K647="Couple Half Night",K647="24H Night",K647="Couple Full Night")), AND(Q647=7,D647&gt;=TIME(6,0,0),D647&lt;TIME(12,0,0),OR(K647="12H Day",K647="Couple Half Day",K647="24H Day",K647="Couple Full Day")) ),1,0)</f>
        <v>1</v>
      </c>
      <c r="O647" s="1" t="n">
        <f aca="false">IF(OR( AND(MONTH(C647)=12,DAY(C647)&gt;=26), AND(MONTH(C647)=4,DAY(C647)&gt;=15), MONTH(C647)=5, AND(MONTH(C647)=6,DAY(C647)&lt;=10) ),1,0)</f>
        <v>0</v>
      </c>
      <c r="P647" s="1" t="str">
        <f aca="false">IF(OR(MONTH(C647)=3,MONTH(C647)=4,MONTH(C647)=5,MONTH(C647)=6), "Summer", IF(OR(MONTH(C647)=7,MONTH(C647)=8,MONTH(C647)=9,MONTH(C647)=10), "Monsoon", "Winter"))</f>
        <v>Summer</v>
      </c>
      <c r="Q647" s="1" t="n">
        <f aca="false">WEEKDAY(C647,2)</f>
        <v>6</v>
      </c>
      <c r="R647" s="0" t="n">
        <f aca="false">ROUNDDOWN(((INT(C647)+MOD(D647,1))-(INT(I647)+MOD(J647,1))),0)</f>
        <v>5</v>
      </c>
      <c r="S647" s="10"/>
    </row>
    <row r="648" customFormat="false" ht="133.05" hidden="false" customHeight="false" outlineLevel="0" collapsed="false">
      <c r="A648" s="8" t="s">
        <v>1155</v>
      </c>
      <c r="B648" s="22" t="s">
        <v>1156</v>
      </c>
      <c r="C648" s="18" t="n">
        <v>46110.7916666667</v>
      </c>
      <c r="D648" s="19" t="n">
        <v>46110.7916666667</v>
      </c>
      <c r="E648" s="18" t="n">
        <v>46111.75</v>
      </c>
      <c r="F648" s="19" t="n">
        <v>46111.75</v>
      </c>
      <c r="G648" s="20" t="n">
        <v>4500</v>
      </c>
      <c r="H648" s="8" t="n">
        <v>15</v>
      </c>
      <c r="I648" s="10" t="n">
        <v>46109</v>
      </c>
      <c r="J648" s="11" t="n">
        <v>0.606064814812269</v>
      </c>
      <c r="K648" s="1" t="str">
        <f aca="false">IF(L648&gt;24,     IF(H648=2,"Couple Extended Day","Extended Day"), IF(L648&lt;=12,     IF(AND(MOD(D648,1)&gt;=TIME(6,0,0),MOD(D648,1)&lt;TIME(18,0,0)),         IF(H648=2,"Couple Half Day","12H Day"),         IF(H648=2,"Couple Half Night","12H Night")), IF(L648&lt;=24,     IF(AND(MOD(D648,1)&gt;=TIME(6,0,0),MOD(D648,1)&lt;TIME(18,0,0)),         IF(H648=2,"Couple Full Day","24H Day"),         IF(H648=2,"Couple Full Night","24H Night")), "Check Data")))</f>
        <v>24H Night</v>
      </c>
      <c r="L648" s="12" t="n">
        <f aca="false">((INT(E648)+MOD(F648,1))-(INT(C648)+MOD(D648,1)))*24</f>
        <v>22.9999999990105</v>
      </c>
      <c r="M648" s="1" t="n">
        <f aca="false">IFERROR(INDEX(Sheet3!$B$2:$B$500,MATCH(1,(INT(C648)+MOD(D648,1)&lt;INT(Sheet3!$A$2:$A$500)+TIME(18,0,0))*(INT(E648)+MOD(F648,1)&gt;=INT(Sheet3!$A$2:$A$500)),0)),0)</f>
        <v>0</v>
      </c>
      <c r="N648" s="1" t="n">
        <f aca="false">IF(OR( AND(Q648=6,D648&gt;=TIME(17,0,0),OR(K648="12H Night",K648="Couple Half Night",K648="24H Night",K648="Couple Full Night")), AND(Q648=7,D648&gt;=TIME(6,0,0),D648&lt;TIME(12,0,0),OR(K648="12H Day",K648="Couple Half Day",K648="24H Day",K648="Couple Full Day")) ),1,0)</f>
        <v>0</v>
      </c>
      <c r="O648" s="1" t="n">
        <f aca="false">IF(OR( AND(MONTH(C648)=12,DAY(C648)&gt;=26), AND(MONTH(C648)=4,DAY(C648)&gt;=15), MONTH(C648)=5, AND(MONTH(C648)=6,DAY(C648)&lt;=10) ),1,0)</f>
        <v>0</v>
      </c>
      <c r="P648" s="1" t="str">
        <f aca="false">IF(OR(MONTH(C648)=3,MONTH(C648)=4,MONTH(C648)=5,MONTH(C648)=6), "Summer", IF(OR(MONTH(C648)=7,MONTH(C648)=8,MONTH(C648)=9,MONTH(C648)=10), "Monsoon", "Winter"))</f>
        <v>Summer</v>
      </c>
      <c r="Q648" s="1" t="n">
        <f aca="false">WEEKDAY(C648,2)</f>
        <v>7</v>
      </c>
      <c r="R648" s="0" t="n">
        <f aca="false">ROUNDDOWN(((INT(C648)+MOD(D648,1))-(INT(I648)+MOD(J648,1))),0)</f>
        <v>1</v>
      </c>
      <c r="S648" s="10"/>
    </row>
    <row r="649" customFormat="false" ht="212.2" hidden="false" customHeight="false" outlineLevel="0" collapsed="false">
      <c r="A649" s="8" t="s">
        <v>1157</v>
      </c>
      <c r="B649" s="22" t="s">
        <v>1158</v>
      </c>
      <c r="C649" s="18" t="n">
        <v>46111.7916666667</v>
      </c>
      <c r="D649" s="19" t="n">
        <v>46111.7916666667</v>
      </c>
      <c r="E649" s="18" t="n">
        <v>46112.75</v>
      </c>
      <c r="F649" s="19" t="n">
        <v>46112.75</v>
      </c>
      <c r="G649" s="20" t="n">
        <v>5500</v>
      </c>
      <c r="H649" s="8" t="n">
        <v>11</v>
      </c>
      <c r="I649" s="10" t="n">
        <v>46101</v>
      </c>
      <c r="J649" s="11" t="n">
        <v>0.921469907407303</v>
      </c>
      <c r="K649" s="1" t="str">
        <f aca="false">IF(L649&gt;24,     IF(H649=2,"Couple Extended Day","Extended Day"), IF(L649&lt;=12,     IF(AND(MOD(D649,1)&gt;=TIME(6,0,0),MOD(D649,1)&lt;TIME(18,0,0)),         IF(H649=2,"Couple Half Day","12H Day"),         IF(H649=2,"Couple Half Night","12H Night")), IF(L649&lt;=24,     IF(AND(MOD(D649,1)&gt;=TIME(6,0,0),MOD(D649,1)&lt;TIME(18,0,0)),         IF(H649=2,"Couple Full Day","24H Day"),         IF(H649=2,"Couple Full Night","24H Night")), "Check Data")))</f>
        <v>24H Night</v>
      </c>
      <c r="L649" s="12" t="n">
        <f aca="false">((INT(E649)+MOD(F649,1))-(INT(C649)+MOD(D649,1)))*24</f>
        <v>22.9999999990105</v>
      </c>
      <c r="M649" s="1" t="n">
        <f aca="false">IFERROR(INDEX(Sheet3!$B$2:$B$500,MATCH(1,(INT(C649)+MOD(D649,1)&lt;INT(Sheet3!$A$2:$A$500)+TIME(18,0,0))*(INT(E649)+MOD(F649,1)&gt;=INT(Sheet3!$A$2:$A$500)),0)),0)</f>
        <v>0</v>
      </c>
      <c r="N649" s="1" t="n">
        <f aca="false">IF(OR( AND(Q649=6,D649&gt;=TIME(17,0,0),OR(K649="12H Night",K649="Couple Half Night",K649="24H Night",K649="Couple Full Night")), AND(Q649=7,D649&gt;=TIME(6,0,0),D649&lt;TIME(12,0,0),OR(K649="12H Day",K649="Couple Half Day",K649="24H Day",K649="Couple Full Day")) ),1,0)</f>
        <v>0</v>
      </c>
      <c r="O649" s="1" t="n">
        <f aca="false">IF(OR( AND(MONTH(C649)=12,DAY(C649)&gt;=26), AND(MONTH(C649)=4,DAY(C649)&gt;=15), MONTH(C649)=5, AND(MONTH(C649)=6,DAY(C649)&lt;=10) ),1,0)</f>
        <v>0</v>
      </c>
      <c r="P649" s="1" t="str">
        <f aca="false">IF(OR(MONTH(C649)=3,MONTH(C649)=4,MONTH(C649)=5,MONTH(C649)=6), "Summer", IF(OR(MONTH(C649)=7,MONTH(C649)=8,MONTH(C649)=9,MONTH(C649)=10), "Monsoon", "Winter"))</f>
        <v>Summer</v>
      </c>
      <c r="Q649" s="1" t="n">
        <f aca="false">WEEKDAY(C649,2)</f>
        <v>1</v>
      </c>
      <c r="R649" s="0" t="n">
        <f aca="false">ROUNDDOWN(((INT(C649)+MOD(D649,1))-(INT(I649)+MOD(J649,1))),0)</f>
        <v>9</v>
      </c>
      <c r="S649" s="10"/>
    </row>
    <row r="650" customFormat="false" ht="107" hidden="false" customHeight="false" outlineLevel="0" collapsed="false">
      <c r="A650" s="8" t="s">
        <v>1159</v>
      </c>
      <c r="B650" s="22" t="s">
        <v>1160</v>
      </c>
      <c r="C650" s="18" t="n">
        <v>46113.375</v>
      </c>
      <c r="D650" s="19" t="n">
        <v>46113.375</v>
      </c>
      <c r="E650" s="18" t="n">
        <v>46113.75</v>
      </c>
      <c r="F650" s="19" t="n">
        <v>46113.75</v>
      </c>
      <c r="G650" s="20" t="n">
        <v>4000</v>
      </c>
      <c r="H650" s="8" t="n">
        <v>2</v>
      </c>
      <c r="I650" s="10" t="n">
        <v>46109</v>
      </c>
      <c r="J650" s="11" t="n">
        <v>0.964664351849931</v>
      </c>
      <c r="K650" s="1" t="str">
        <f aca="false">IF(L650&gt;24,     IF(H650=2,"Couple Extended Day","Extended Day"), IF(L650&lt;=12,     IF(AND(MOD(D650,1)&gt;=TIME(6,0,0),MOD(D650,1)&lt;TIME(18,0,0)),         IF(H650=2,"Couple Half Day","12H Day"),         IF(H650=2,"Couple Half Night","12H Night")), IF(L650&lt;=24,     IF(AND(MOD(D650,1)&gt;=TIME(6,0,0),MOD(D650,1)&lt;TIME(18,0,0)),         IF(H650=2,"Couple Full Day","24H Day"),         IF(H650=2,"Couple Full Night","24H Night")), "Check Data")))</f>
        <v>Couple Half Day</v>
      </c>
      <c r="L650" s="12" t="n">
        <f aca="false">((INT(E650)+MOD(F650,1))-(INT(C650)+MOD(D650,1)))*24</f>
        <v>9</v>
      </c>
      <c r="M650" s="1" t="n">
        <f aca="false">IFERROR(INDEX(Sheet3!$B$2:$B$500,MATCH(1,(INT(C650)+MOD(D650,1)&lt;INT(Sheet3!$A$2:$A$500)+TIME(18,0,0))*(INT(E650)+MOD(F650,1)&gt;=INT(Sheet3!$A$2:$A$500)),0)),0)</f>
        <v>0</v>
      </c>
      <c r="N650" s="1" t="n">
        <f aca="false">IF(OR( AND(Q650=6,D650&gt;=TIME(17,0,0),OR(K650="12H Night",K650="Couple Half Night",K650="24H Night",K650="Couple Full Night")), AND(Q650=7,D650&gt;=TIME(6,0,0),D650&lt;TIME(12,0,0),OR(K650="12H Day",K650="Couple Half Day",K650="24H Day",K650="Couple Full Day")) ),1,0)</f>
        <v>0</v>
      </c>
      <c r="O650" s="1" t="n">
        <f aca="false">IF(OR( AND(MONTH(C650)=12,DAY(C650)&gt;=26), AND(MONTH(C650)=4,DAY(C650)&gt;=15), MONTH(C650)=5, AND(MONTH(C650)=6,DAY(C650)&lt;=10) ),1,0)</f>
        <v>0</v>
      </c>
      <c r="P650" s="1" t="str">
        <f aca="false">IF(OR(MONTH(C650)=3,MONTH(C650)=4,MONTH(C650)=5,MONTH(C650)=6), "Summer", IF(OR(MONTH(C650)=7,MONTH(C650)=8,MONTH(C650)=9,MONTH(C650)=10), "Monsoon", "Winter"))</f>
        <v>Summer</v>
      </c>
      <c r="Q650" s="1" t="n">
        <f aca="false">WEEKDAY(C650,2)</f>
        <v>3</v>
      </c>
      <c r="R650" s="0" t="n">
        <f aca="false">ROUNDDOWN(((INT(C650)+MOD(D650,1))-(INT(I650)+MOD(J650,1))),0)</f>
        <v>3</v>
      </c>
      <c r="S650" s="10"/>
    </row>
    <row r="651" customFormat="false" ht="159.6" hidden="false" customHeight="false" outlineLevel="0" collapsed="false">
      <c r="A651" s="8" t="s">
        <v>1161</v>
      </c>
      <c r="B651" s="22" t="s">
        <v>1137</v>
      </c>
      <c r="C651" s="18" t="n">
        <v>46114.7916666667</v>
      </c>
      <c r="D651" s="19" t="n">
        <v>46114.7916666667</v>
      </c>
      <c r="E651" s="18" t="n">
        <v>46115.75</v>
      </c>
      <c r="F651" s="19" t="n">
        <v>46115.75</v>
      </c>
      <c r="G651" s="20" t="n">
        <v>5000</v>
      </c>
      <c r="H651" s="8" t="n">
        <v>10</v>
      </c>
      <c r="I651" s="10" t="n">
        <v>46113</v>
      </c>
      <c r="J651" s="11" t="n">
        <v>0.550358796295764</v>
      </c>
      <c r="K651" s="1" t="str">
        <f aca="false">IF(L651&gt;24,     IF(H651=2,"Couple Extended Day","Extended Day"), IF(L651&lt;=12,     IF(AND(MOD(D651,1)&gt;=TIME(6,0,0),MOD(D651,1)&lt;TIME(18,0,0)),         IF(H651=2,"Couple Half Day","12H Day"),         IF(H651=2,"Couple Half Night","12H Night")), IF(L651&lt;=24,     IF(AND(MOD(D651,1)&gt;=TIME(6,0,0),MOD(D651,1)&lt;TIME(18,0,0)),         IF(H651=2,"Couple Full Day","24H Day"),         IF(H651=2,"Couple Full Night","24H Night")), "Check Data")))</f>
        <v>24H Night</v>
      </c>
      <c r="L651" s="12" t="n">
        <f aca="false">((INT(E651)+MOD(F651,1))-(INT(C651)+MOD(D651,1)))*24</f>
        <v>22.9999999990105</v>
      </c>
      <c r="M651" s="1" t="n">
        <f aca="false">IFERROR(INDEX(Sheet3!$B$2:$B$500,MATCH(1,(INT(C651)+MOD(D651,1)&lt;INT(Sheet3!$A$2:$A$500)+TIME(18,0,0))*(INT(E651)+MOD(F651,1)&gt;=INT(Sheet3!$A$2:$A$500)),0)),0)</f>
        <v>0</v>
      </c>
      <c r="N651" s="1" t="n">
        <f aca="false">IF(OR( AND(Q651=6,D651&gt;=TIME(17,0,0),OR(K651="12H Night",K651="Couple Half Night",K651="24H Night",K651="Couple Full Night")), AND(Q651=7,D651&gt;=TIME(6,0,0),D651&lt;TIME(12,0,0),OR(K651="12H Day",K651="Couple Half Day",K651="24H Day",K651="Couple Full Day")) ),1,0)</f>
        <v>0</v>
      </c>
      <c r="O651" s="1" t="n">
        <f aca="false">IF(OR( AND(MONTH(C651)=12,DAY(C651)&gt;=26), AND(MONTH(C651)=4,DAY(C651)&gt;=15), MONTH(C651)=5, AND(MONTH(C651)=6,DAY(C651)&lt;=10) ),1,0)</f>
        <v>0</v>
      </c>
      <c r="P651" s="1" t="str">
        <f aca="false">IF(OR(MONTH(C651)=3,MONTH(C651)=4,MONTH(C651)=5,MONTH(C651)=6), "Summer", IF(OR(MONTH(C651)=7,MONTH(C651)=8,MONTH(C651)=9,MONTH(C651)=10), "Monsoon", "Winter"))</f>
        <v>Summer</v>
      </c>
      <c r="Q651" s="1" t="n">
        <f aca="false">WEEKDAY(C651,2)</f>
        <v>4</v>
      </c>
      <c r="R651" s="0" t="n">
        <f aca="false">ROUNDDOWN(((INT(C651)+MOD(D651,1))-(INT(I651)+MOD(J651,1))),0)</f>
        <v>1</v>
      </c>
      <c r="S651" s="10"/>
    </row>
    <row r="652" customFormat="false" ht="133.3" hidden="false" customHeight="false" outlineLevel="0" collapsed="false">
      <c r="A652" s="8" t="s">
        <v>1162</v>
      </c>
      <c r="B652" s="22" t="s">
        <v>1163</v>
      </c>
      <c r="C652" s="18" t="n">
        <v>46115.7916666667</v>
      </c>
      <c r="D652" s="19" t="n">
        <v>46115.7916666667</v>
      </c>
      <c r="E652" s="18" t="n">
        <v>46116.3333333333</v>
      </c>
      <c r="F652" s="19" t="n">
        <v>0</v>
      </c>
      <c r="G652" s="20" t="n">
        <v>3000</v>
      </c>
      <c r="H652" s="8" t="n">
        <v>2</v>
      </c>
      <c r="I652" s="10" t="n">
        <v>46111</v>
      </c>
      <c r="J652" s="11" t="n">
        <v>0.505289351851389</v>
      </c>
      <c r="K652" s="1" t="s">
        <v>767</v>
      </c>
      <c r="L652" s="12" t="n">
        <f aca="false">((INT(E652)+MOD(F652,1))-(INT(C652)+MOD(D652,1)))*24</f>
        <v>4.99999999901047</v>
      </c>
      <c r="M652" s="1" t="n">
        <f aca="false">IFERROR(INDEX(Sheet3!$B$2:$B$500,MATCH(1,(INT(C652)+MOD(D652,1)&lt;INT(Sheet3!$A$2:$A$500)+TIME(18,0,0))*(INT(E652)+MOD(F652,1)&gt;=INT(Sheet3!$A$2:$A$500)),0)),0)</f>
        <v>0</v>
      </c>
      <c r="N652" s="1" t="n">
        <f aca="false">IF(OR( AND(Q652=6,D652&gt;=TIME(17,0,0),OR(K652="12H Night",K652="Couple Half Night",K652="24H Night",K652="Couple Full Night")), AND(Q652=7,D652&gt;=TIME(6,0,0),D652&lt;TIME(12,0,0),OR(K652="12H Day",K652="Couple Half Day",K652="24H Day",K652="Couple Full Day")) ),1,0)</f>
        <v>0</v>
      </c>
      <c r="O652" s="1" t="n">
        <f aca="false">IF(OR( AND(MONTH(C652)=12,DAY(C652)&gt;=26), AND(MONTH(C652)=4,DAY(C652)&gt;=15), MONTH(C652)=5, AND(MONTH(C652)=6,DAY(C652)&lt;=10) ),1,0)</f>
        <v>0</v>
      </c>
      <c r="P652" s="1" t="str">
        <f aca="false">IF(OR(MONTH(C652)=3,MONTH(C652)=4,MONTH(C652)=5,MONTH(C652)=6), "Summer", IF(OR(MONTH(C652)=7,MONTH(C652)=8,MONTH(C652)=9,MONTH(C652)=10), "Monsoon", "Winter"))</f>
        <v>Summer</v>
      </c>
      <c r="Q652" s="1" t="n">
        <f aca="false">WEEKDAY(C652,2)</f>
        <v>5</v>
      </c>
      <c r="R652" s="0" t="n">
        <f aca="false">ROUNDDOWN(((INT(C652)+MOD(D652,1))-(INT(I652)+MOD(J652,1))),0)</f>
        <v>4</v>
      </c>
      <c r="S652" s="10"/>
    </row>
    <row r="653" customFormat="false" ht="199.05" hidden="false" customHeight="false" outlineLevel="0" collapsed="false">
      <c r="A653" s="8" t="s">
        <v>1164</v>
      </c>
      <c r="B653" s="22" t="s">
        <v>1165</v>
      </c>
      <c r="C653" s="18" t="n">
        <v>46116.7916666667</v>
      </c>
      <c r="D653" s="19" t="n">
        <v>46116.7916666667</v>
      </c>
      <c r="E653" s="18" t="n">
        <v>46117.75</v>
      </c>
      <c r="F653" s="19" t="n">
        <v>46117.75</v>
      </c>
      <c r="G653" s="20" t="n">
        <v>12000</v>
      </c>
      <c r="H653" s="8" t="n">
        <v>12</v>
      </c>
      <c r="I653" s="10" t="n">
        <v>46110</v>
      </c>
      <c r="J653" s="11" t="n">
        <v>0.556643518517373</v>
      </c>
      <c r="K653" s="1" t="str">
        <f aca="false">IF(L653&gt;24,     IF(H653=2,"Couple Extended Day","Extended Day"), IF(L653&lt;=12,     IF(AND(MOD(D653,1)&gt;=TIME(6,0,0),MOD(D653,1)&lt;TIME(18,0,0)),         IF(H653=2,"Couple Half Day","12H Day"),         IF(H653=2,"Couple Half Night","12H Night")), IF(L653&lt;=24,     IF(AND(MOD(D653,1)&gt;=TIME(6,0,0),MOD(D653,1)&lt;TIME(18,0,0)),         IF(H653=2,"Couple Full Day","24H Day"),         IF(H653=2,"Couple Full Night","24H Night")), "Check Data")))</f>
        <v>24H Night</v>
      </c>
      <c r="L653" s="12" t="n">
        <f aca="false">((INT(E653)+MOD(F653,1))-(INT(C653)+MOD(D653,1)))*24</f>
        <v>22.9999999990105</v>
      </c>
      <c r="M653" s="1" t="n">
        <f aca="false">IFERROR(INDEX(Sheet3!$B$2:$B$500,MATCH(1,(INT(C653)+MOD(D653,1)&lt;INT(Sheet3!$A$2:$A$500)+TIME(18,0,0))*(INT(E653)+MOD(F653,1)&gt;=INT(Sheet3!$A$2:$A$500)),0)),0)</f>
        <v>0</v>
      </c>
      <c r="N653" s="1" t="n">
        <f aca="false">IF(OR( AND(Q653=6,D653&gt;=TIME(17,0,0),OR(K653="12H Night",K653="Couple Half Night",K653="24H Night",K653="Couple Full Night")), AND(Q653=7,D653&gt;=TIME(6,0,0),D653&lt;TIME(12,0,0),OR(K653="12H Day",K653="Couple Half Day",K653="24H Day",K653="Couple Full Day")) ),1,0)</f>
        <v>1</v>
      </c>
      <c r="O653" s="1" t="n">
        <f aca="false">IF(OR( AND(MONTH(C653)=12,DAY(C653)&gt;=26), AND(MONTH(C653)=4,DAY(C653)&gt;=15), MONTH(C653)=5, AND(MONTH(C653)=6,DAY(C653)&lt;=10) ),1,0)</f>
        <v>0</v>
      </c>
      <c r="P653" s="1" t="str">
        <f aca="false">IF(OR(MONTH(C653)=3,MONTH(C653)=4,MONTH(C653)=5,MONTH(C653)=6), "Summer", IF(OR(MONTH(C653)=7,MONTH(C653)=8,MONTH(C653)=9,MONTH(C653)=10), "Monsoon", "Winter"))</f>
        <v>Summer</v>
      </c>
      <c r="Q653" s="1" t="n">
        <f aca="false">WEEKDAY(C653,2)</f>
        <v>6</v>
      </c>
      <c r="R653" s="0" t="n">
        <f aca="false">ROUNDDOWN(((INT(C653)+MOD(D653,1))-(INT(I653)+MOD(J653,1))),0)</f>
        <v>6</v>
      </c>
      <c r="S653" s="10"/>
    </row>
    <row r="654" customFormat="false" ht="120.15" hidden="false" customHeight="false" outlineLevel="0" collapsed="false">
      <c r="A654" s="8" t="s">
        <v>1014</v>
      </c>
      <c r="B654" s="22" t="s">
        <v>1166</v>
      </c>
      <c r="C654" s="18" t="n">
        <v>46118.375</v>
      </c>
      <c r="D654" s="19" t="n">
        <v>46118.375</v>
      </c>
      <c r="E654" s="18" t="n">
        <v>46118.75</v>
      </c>
      <c r="F654" s="19" t="n">
        <v>46118.75</v>
      </c>
      <c r="G654" s="20" t="n">
        <v>4000</v>
      </c>
      <c r="H654" s="8" t="n">
        <v>2</v>
      </c>
      <c r="I654" s="10" t="n">
        <v>46116</v>
      </c>
      <c r="J654" s="11" t="n">
        <v>0.548715277778681</v>
      </c>
      <c r="K654" s="1" t="str">
        <f aca="false">IF(L654&gt;24,     IF(H654=2,"Couple Extended Day","Extended Day"), IF(L654&lt;=12,     IF(AND(MOD(D654,1)&gt;=TIME(6,0,0),MOD(D654,1)&lt;TIME(18,0,0)),         IF(H654=2,"Couple Half Day","12H Day"),         IF(H654=2,"Couple Half Night","12H Night")), IF(L654&lt;=24,     IF(AND(MOD(D654,1)&gt;=TIME(6,0,0),MOD(D654,1)&lt;TIME(18,0,0)),         IF(H654=2,"Couple Full Day","24H Day"),         IF(H654=2,"Couple Full Night","24H Night")), "Check Data")))</f>
        <v>Couple Half Day</v>
      </c>
      <c r="L654" s="12" t="n">
        <f aca="false">((INT(E654)+MOD(F654,1))-(INT(C654)+MOD(D654,1)))*24</f>
        <v>9</v>
      </c>
      <c r="M654" s="1" t="n">
        <f aca="false">IFERROR(INDEX(Sheet3!$B$2:$B$500,MATCH(1,(INT(C654)+MOD(D654,1)&lt;INT(Sheet3!$A$2:$A$500)+TIME(18,0,0))*(INT(E654)+MOD(F654,1)&gt;=INT(Sheet3!$A$2:$A$500)),0)),0)</f>
        <v>0</v>
      </c>
      <c r="N654" s="1" t="n">
        <f aca="false">IF(OR( AND(Q654=6,D654&gt;=TIME(17,0,0),OR(K654="12H Night",K654="Couple Half Night",K654="24H Night",K654="Couple Full Night")), AND(Q654=7,D654&gt;=TIME(6,0,0),D654&lt;TIME(12,0,0),OR(K654="12H Day",K654="Couple Half Day",K654="24H Day",K654="Couple Full Day")) ),1,0)</f>
        <v>0</v>
      </c>
      <c r="O654" s="1" t="n">
        <f aca="false">IF(OR( AND(MONTH(C654)=12,DAY(C654)&gt;=26), AND(MONTH(C654)=4,DAY(C654)&gt;=15), MONTH(C654)=5, AND(MONTH(C654)=6,DAY(C654)&lt;=10) ),1,0)</f>
        <v>0</v>
      </c>
      <c r="P654" s="1" t="str">
        <f aca="false">IF(OR(MONTH(C654)=3,MONTH(C654)=4,MONTH(C654)=5,MONTH(C654)=6), "Summer", IF(OR(MONTH(C654)=7,MONTH(C654)=8,MONTH(C654)=9,MONTH(C654)=10), "Monsoon", "Winter"))</f>
        <v>Summer</v>
      </c>
      <c r="Q654" s="1" t="n">
        <f aca="false">WEEKDAY(C654,2)</f>
        <v>1</v>
      </c>
      <c r="R654" s="0" t="n">
        <f aca="false">ROUNDDOWN(((INT(C654)+MOD(D654,1))-(INT(I654)+MOD(J654,1))),0)</f>
        <v>1</v>
      </c>
      <c r="S654" s="10"/>
    </row>
    <row r="655" customFormat="false" ht="159.6" hidden="false" customHeight="false" outlineLevel="0" collapsed="false">
      <c r="A655" s="8" t="s">
        <v>1167</v>
      </c>
      <c r="B655" s="22" t="s">
        <v>1168</v>
      </c>
      <c r="C655" s="18" t="n">
        <v>46120.4583333333</v>
      </c>
      <c r="D655" s="19" t="n">
        <v>0</v>
      </c>
      <c r="E655" s="18" t="n">
        <v>46120.75</v>
      </c>
      <c r="F655" s="19" t="n">
        <v>46120.75</v>
      </c>
      <c r="G655" s="20" t="n">
        <v>2500</v>
      </c>
      <c r="H655" s="8" t="n">
        <v>2</v>
      </c>
      <c r="I655" s="10" t="n">
        <v>46119</v>
      </c>
      <c r="J655" s="11" t="n">
        <v>0.873032407405845</v>
      </c>
      <c r="K655" s="1" t="str">
        <f aca="false">IF(L655&gt;24,     IF(H655=2,"Couple Extended Day","Extended Day"), IF(L655&lt;=12,     IF(AND(MOD(D655,1)&gt;=TIME(6,0,0),MOD(D655,1)&lt;TIME(18,0,0)),         IF(H655=2,"Couple Half Day","12H Day"),         IF(H655=2,"Couple Half Night","12H Night")), IF(L655&lt;=24,     IF(AND(MOD(D655,1)&gt;=TIME(6,0,0),MOD(D655,1)&lt;TIME(18,0,0)),         IF(H655=2,"Couple Full Day","24H Day"),         IF(H655=2,"Couple Full Night","24H Night")), "Check Data")))</f>
        <v>Couple Full Night</v>
      </c>
      <c r="L655" s="12" t="n">
        <f aca="false">((INT(E655)+MOD(F655,1))-(INT(C655)+MOD(D655,1)))*24</f>
        <v>18</v>
      </c>
      <c r="M655" s="1" t="n">
        <f aca="false">IFERROR(INDEX(Sheet3!$B$2:$B$500,MATCH(1,(INT(C655)+MOD(D655,1)&lt;INT(Sheet3!$A$2:$A$500)+TIME(18,0,0))*(INT(E655)+MOD(F655,1)&gt;=INT(Sheet3!$A$2:$A$500)),0)),0)</f>
        <v>0</v>
      </c>
      <c r="N655" s="1" t="n">
        <f aca="false">IF(OR( AND(Q655=6,D655&gt;=TIME(17,0,0),OR(K655="12H Night",K655="Couple Half Night",K655="24H Night",K655="Couple Full Night")), AND(Q655=7,D655&gt;=TIME(6,0,0),D655&lt;TIME(12,0,0),OR(K655="12H Day",K655="Couple Half Day",K655="24H Day",K655="Couple Full Day")) ),1,0)</f>
        <v>0</v>
      </c>
      <c r="O655" s="1" t="n">
        <f aca="false">IF(OR( AND(MONTH(C655)=12,DAY(C655)&gt;=26), AND(MONTH(C655)=4,DAY(C655)&gt;=15), MONTH(C655)=5, AND(MONTH(C655)=6,DAY(C655)&lt;=10) ),1,0)</f>
        <v>0</v>
      </c>
      <c r="P655" s="1" t="str">
        <f aca="false">IF(OR(MONTH(C655)=3,MONTH(C655)=4,MONTH(C655)=5,MONTH(C655)=6), "Summer", IF(OR(MONTH(C655)=7,MONTH(C655)=8,MONTH(C655)=9,MONTH(C655)=10), "Monsoon", "Winter"))</f>
        <v>Summer</v>
      </c>
      <c r="Q655" s="1" t="n">
        <f aca="false">WEEKDAY(C655,2)</f>
        <v>3</v>
      </c>
      <c r="R655" s="0" t="n">
        <f aca="false">ROUNDDOWN(((INT(C655)+MOD(D655,1))-(INT(I655)+MOD(J655,1))),0)</f>
        <v>0</v>
      </c>
      <c r="S655" s="10"/>
    </row>
    <row r="656" customFormat="false" ht="93.85" hidden="false" customHeight="false" outlineLevel="0" collapsed="false">
      <c r="A656" s="8" t="s">
        <v>1169</v>
      </c>
      <c r="B656" s="22" t="s">
        <v>1170</v>
      </c>
      <c r="C656" s="18" t="n">
        <v>46121.5833333333</v>
      </c>
      <c r="D656" s="19" t="n">
        <v>0</v>
      </c>
      <c r="E656" s="18" t="n">
        <v>46121.75</v>
      </c>
      <c r="F656" s="19" t="n">
        <v>46121.75</v>
      </c>
      <c r="G656" s="20" t="n">
        <v>2500</v>
      </c>
      <c r="H656" s="8" t="n">
        <v>2</v>
      </c>
      <c r="I656" s="10" t="n">
        <v>46121</v>
      </c>
      <c r="J656" s="11" t="n">
        <v>0.617835648146863</v>
      </c>
      <c r="K656" s="1" t="str">
        <f aca="false">IF(L656&gt;24,     IF(H656=2,"Couple Extended Day","Extended Day"), IF(L656&lt;=12,     IF(AND(MOD(D656,1)&gt;=TIME(6,0,0),MOD(D656,1)&lt;TIME(18,0,0)),         IF(H656=2,"Couple Half Day","12H Day"),         IF(H656=2,"Couple Half Night","12H Night")), IF(L656&lt;=24,     IF(AND(MOD(D656,1)&gt;=TIME(6,0,0),MOD(D656,1)&lt;TIME(18,0,0)),         IF(H656=2,"Couple Full Day","24H Day"),         IF(H656=2,"Couple Full Night","24H Night")), "Check Data")))</f>
        <v>Couple Full Night</v>
      </c>
      <c r="L656" s="12" t="n">
        <f aca="false">((INT(E656)+MOD(F656,1))-(INT(C656)+MOD(D656,1)))*24</f>
        <v>18</v>
      </c>
      <c r="M656" s="1" t="n">
        <f aca="false">IFERROR(INDEX(Sheet3!$B$2:$B$500,MATCH(1,(INT(C656)+MOD(D656,1)&lt;INT(Sheet3!$A$2:$A$500)+TIME(18,0,0))*(INT(E656)+MOD(F656,1)&gt;=INT(Sheet3!$A$2:$A$500)),0)),0)</f>
        <v>0</v>
      </c>
      <c r="N656" s="1" t="n">
        <f aca="false">IF(OR( AND(Q656=6,D656&gt;=TIME(17,0,0),OR(K656="12H Night",K656="Couple Half Night",K656="24H Night",K656="Couple Full Night")), AND(Q656=7,D656&gt;=TIME(6,0,0),D656&lt;TIME(12,0,0),OR(K656="12H Day",K656="Couple Half Day",K656="24H Day",K656="Couple Full Day")) ),1,0)</f>
        <v>0</v>
      </c>
      <c r="O656" s="1" t="n">
        <f aca="false">IF(OR( AND(MONTH(C656)=12,DAY(C656)&gt;=26), AND(MONTH(C656)=4,DAY(C656)&gt;=15), MONTH(C656)=5, AND(MONTH(C656)=6,DAY(C656)&lt;=10) ),1,0)</f>
        <v>0</v>
      </c>
      <c r="P656" s="1" t="str">
        <f aca="false">IF(OR(MONTH(C656)=3,MONTH(C656)=4,MONTH(C656)=5,MONTH(C656)=6), "Summer", IF(OR(MONTH(C656)=7,MONTH(C656)=8,MONTH(C656)=9,MONTH(C656)=10), "Monsoon", "Winter"))</f>
        <v>Summer</v>
      </c>
      <c r="Q656" s="1" t="n">
        <f aca="false">WEEKDAY(C656,2)</f>
        <v>4</v>
      </c>
      <c r="R656" s="0" t="n">
        <f aca="false">ROUNDDOWN(((INT(C656)+MOD(D656,1))-(INT(I656)+MOD(J656,1))),0)</f>
        <v>-0</v>
      </c>
      <c r="S656" s="10"/>
    </row>
    <row r="657" customFormat="false" ht="212.2" hidden="false" customHeight="false" outlineLevel="0" collapsed="false">
      <c r="A657" s="8" t="s">
        <v>1171</v>
      </c>
      <c r="B657" s="22" t="s">
        <v>1172</v>
      </c>
      <c r="C657" s="18" t="n">
        <v>46121.7916666667</v>
      </c>
      <c r="D657" s="19" t="n">
        <v>46121.7916666667</v>
      </c>
      <c r="E657" s="18" t="n">
        <v>46122.75</v>
      </c>
      <c r="F657" s="19" t="n">
        <v>46122.75</v>
      </c>
      <c r="G657" s="20" t="n">
        <v>5000</v>
      </c>
      <c r="H657" s="8" t="n">
        <v>7</v>
      </c>
      <c r="I657" s="10" t="n">
        <v>46119</v>
      </c>
      <c r="J657" s="11" t="n">
        <v>0.661817129628611</v>
      </c>
      <c r="K657" s="1" t="str">
        <f aca="false">IF(L657&gt;24,     IF(H657=2,"Couple Extended Day","Extended Day"), IF(L657&lt;=12,     IF(AND(MOD(D657,1)&gt;=TIME(6,0,0),MOD(D657,1)&lt;TIME(18,0,0)),         IF(H657=2,"Couple Half Day","12H Day"),         IF(H657=2,"Couple Half Night","12H Night")), IF(L657&lt;=24,     IF(AND(MOD(D657,1)&gt;=TIME(6,0,0),MOD(D657,1)&lt;TIME(18,0,0)),         IF(H657=2,"Couple Full Day","24H Day"),         IF(H657=2,"Couple Full Night","24H Night")), "Check Data")))</f>
        <v>24H Night</v>
      </c>
      <c r="L657" s="12" t="n">
        <f aca="false">((INT(E657)+MOD(F657,1))-(INT(C657)+MOD(D657,1)))*24</f>
        <v>22.9999999990105</v>
      </c>
      <c r="M657" s="1" t="n">
        <f aca="false">IFERROR(INDEX(Sheet3!$B$2:$B$500,MATCH(1,(INT(C657)+MOD(D657,1)&lt;INT(Sheet3!$A$2:$A$500)+TIME(18,0,0))*(INT(E657)+MOD(F657,1)&gt;=INT(Sheet3!$A$2:$A$500)),0)),0)</f>
        <v>0</v>
      </c>
      <c r="N657" s="1" t="n">
        <f aca="false">IF(OR( AND(Q657=6,D657&gt;=TIME(17,0,0),OR(K657="12H Night",K657="Couple Half Night",K657="24H Night",K657="Couple Full Night")), AND(Q657=7,D657&gt;=TIME(6,0,0),D657&lt;TIME(12,0,0),OR(K657="12H Day",K657="Couple Half Day",K657="24H Day",K657="Couple Full Day")) ),1,0)</f>
        <v>0</v>
      </c>
      <c r="O657" s="1" t="n">
        <f aca="false">IF(OR( AND(MONTH(C657)=12,DAY(C657)&gt;=26), AND(MONTH(C657)=4,DAY(C657)&gt;=15), MONTH(C657)=5, AND(MONTH(C657)=6,DAY(C657)&lt;=10) ),1,0)</f>
        <v>0</v>
      </c>
      <c r="P657" s="1" t="str">
        <f aca="false">IF(OR(MONTH(C657)=3,MONTH(C657)=4,MONTH(C657)=5,MONTH(C657)=6), "Summer", IF(OR(MONTH(C657)=7,MONTH(C657)=8,MONTH(C657)=9,MONTH(C657)=10), "Monsoon", "Winter"))</f>
        <v>Summer</v>
      </c>
      <c r="Q657" s="1" t="n">
        <f aca="false">WEEKDAY(C657,2)</f>
        <v>4</v>
      </c>
      <c r="R657" s="0" t="n">
        <f aca="false">ROUNDDOWN(((INT(C657)+MOD(D657,1))-(INT(I657)+MOD(J657,1))),0)</f>
        <v>2</v>
      </c>
      <c r="S657" s="10"/>
    </row>
    <row r="658" customFormat="false" ht="120.15" hidden="false" customHeight="false" outlineLevel="0" collapsed="false">
      <c r="A658" s="8" t="s">
        <v>580</v>
      </c>
      <c r="B658" s="22" t="s">
        <v>1173</v>
      </c>
      <c r="C658" s="18" t="n">
        <v>46123.375</v>
      </c>
      <c r="D658" s="19" t="n">
        <v>46123.375</v>
      </c>
      <c r="E658" s="18" t="n">
        <v>46123.75</v>
      </c>
      <c r="F658" s="19" t="n">
        <v>46123.75</v>
      </c>
      <c r="G658" s="20" t="n">
        <v>4000</v>
      </c>
      <c r="H658" s="8" t="n">
        <v>7</v>
      </c>
      <c r="I658" s="10" t="n">
        <v>46110</v>
      </c>
      <c r="J658" s="11" t="n">
        <v>0.474826388890509</v>
      </c>
      <c r="K658" s="1" t="str">
        <f aca="false">IF(L658&gt;24,     IF(H658=2,"Couple Extended Day","Extended Day"), IF(L658&lt;=12,     IF(AND(MOD(D658,1)&gt;=TIME(6,0,0),MOD(D658,1)&lt;TIME(18,0,0)),         IF(H658=2,"Couple Half Day","12H Day"),         IF(H658=2,"Couple Half Night","12H Night")), IF(L658&lt;=24,     IF(AND(MOD(D658,1)&gt;=TIME(6,0,0),MOD(D658,1)&lt;TIME(18,0,0)),         IF(H658=2,"Couple Full Day","24H Day"),         IF(H658=2,"Couple Full Night","24H Night")), "Check Data")))</f>
        <v>12H Day</v>
      </c>
      <c r="L658" s="12" t="n">
        <f aca="false">((INT(E658)+MOD(F658,1))-(INT(C658)+MOD(D658,1)))*24</f>
        <v>9</v>
      </c>
      <c r="M658" s="1" t="n">
        <f aca="false">IFERROR(INDEX(Sheet3!$B$2:$B$500,MATCH(1,(INT(C658)+MOD(D658,1)&lt;INT(Sheet3!$A$2:$A$500)+TIME(18,0,0))*(INT(E658)+MOD(F658,1)&gt;=INT(Sheet3!$A$2:$A$500)),0)),0)</f>
        <v>0</v>
      </c>
      <c r="N658" s="1" t="n">
        <f aca="false">IF(OR( AND(Q658=6,D658&gt;=TIME(17,0,0),OR(K658="12H Night",K658="Couple Half Night",K658="24H Night",K658="Couple Full Night")), AND(Q658=7,D658&gt;=TIME(6,0,0),D658&lt;TIME(12,0,0),OR(K658="12H Day",K658="Couple Half Day",K658="24H Day",K658="Couple Full Day")) ),1,0)</f>
        <v>0</v>
      </c>
      <c r="O658" s="1" t="n">
        <f aca="false">IF(OR( AND(MONTH(C658)=12,DAY(C658)&gt;=26), AND(MONTH(C658)=4,DAY(C658)&gt;=15), MONTH(C658)=5, AND(MONTH(C658)=6,DAY(C658)&lt;=10) ),1,0)</f>
        <v>0</v>
      </c>
      <c r="P658" s="1" t="str">
        <f aca="false">IF(OR(MONTH(C658)=3,MONTH(C658)=4,MONTH(C658)=5,MONTH(C658)=6), "Summer", IF(OR(MONTH(C658)=7,MONTH(C658)=8,MONTH(C658)=9,MONTH(C658)=10), "Monsoon", "Winter"))</f>
        <v>Summer</v>
      </c>
      <c r="Q658" s="1" t="n">
        <f aca="false">WEEKDAY(C658,2)</f>
        <v>6</v>
      </c>
      <c r="R658" s="0" t="n">
        <f aca="false">ROUNDDOWN(((INT(C658)+MOD(D658,1))-(INT(I658)+MOD(J658,1))),0)</f>
        <v>12</v>
      </c>
      <c r="S658" s="10"/>
    </row>
    <row r="659" customFormat="false" ht="121.1" hidden="false" customHeight="false" outlineLevel="0" collapsed="false">
      <c r="A659" s="8" t="s">
        <v>1174</v>
      </c>
      <c r="B659" s="22" t="s">
        <v>1175</v>
      </c>
      <c r="C659" s="18" t="n">
        <v>46123.7916666667</v>
      </c>
      <c r="D659" s="19" t="n">
        <v>46123.7916666667</v>
      </c>
      <c r="E659" s="18" t="n">
        <v>46124.75</v>
      </c>
      <c r="F659" s="19" t="n">
        <v>46124.75</v>
      </c>
      <c r="G659" s="20" t="n">
        <v>12000</v>
      </c>
      <c r="H659" s="8" t="n">
        <v>10</v>
      </c>
      <c r="I659" s="10" t="n">
        <v>46119</v>
      </c>
      <c r="J659" s="11" t="n">
        <v>0.721863425926134</v>
      </c>
      <c r="K659" s="1" t="str">
        <f aca="false">IF(L659&gt;24,     IF(H659=2,"Couple Extended Day","Extended Day"), IF(L659&lt;=12,     IF(AND(MOD(D659,1)&gt;=TIME(6,0,0),MOD(D659,1)&lt;TIME(18,0,0)),         IF(H659=2,"Couple Half Day","12H Day"),         IF(H659=2,"Couple Half Night","12H Night")), IF(L659&lt;=24,     IF(AND(MOD(D659,1)&gt;=TIME(6,0,0),MOD(D659,1)&lt;TIME(18,0,0)),         IF(H659=2,"Couple Full Day","24H Day"),         IF(H659=2,"Couple Full Night","24H Night")), "Check Data")))</f>
        <v>24H Night</v>
      </c>
      <c r="L659" s="12" t="n">
        <f aca="false">((INT(E659)+MOD(F659,1))-(INT(C659)+MOD(D659,1)))*24</f>
        <v>22.9999999990105</v>
      </c>
      <c r="M659" s="1" t="n">
        <f aca="false">IFERROR(INDEX(Sheet3!$B$2:$B$500,MATCH(1,(INT(C659)+MOD(D659,1)&lt;INT(Sheet3!$A$2:$A$500)+TIME(18,0,0))*(INT(E659)+MOD(F659,1)&gt;=INT(Sheet3!$A$2:$A$500)),0)),0)</f>
        <v>0</v>
      </c>
      <c r="N659" s="1" t="n">
        <f aca="false">IF(OR( AND(Q659=6,D659&gt;=TIME(17,0,0),OR(K659="12H Night",K659="Couple Half Night",K659="24H Night",K659="Couple Full Night")), AND(Q659=7,D659&gt;=TIME(6,0,0),D659&lt;TIME(12,0,0),OR(K659="12H Day",K659="Couple Half Day",K659="24H Day",K659="Couple Full Day")) ),1,0)</f>
        <v>1</v>
      </c>
      <c r="O659" s="1" t="n">
        <f aca="false">IF(OR( AND(MONTH(C659)=12,DAY(C659)&gt;=26), AND(MONTH(C659)=4,DAY(C659)&gt;=15), MONTH(C659)=5, AND(MONTH(C659)=6,DAY(C659)&lt;=10) ),1,0)</f>
        <v>0</v>
      </c>
      <c r="P659" s="1" t="str">
        <f aca="false">IF(OR(MONTH(C659)=3,MONTH(C659)=4,MONTH(C659)=5,MONTH(C659)=6), "Summer", IF(OR(MONTH(C659)=7,MONTH(C659)=8,MONTH(C659)=9,MONTH(C659)=10), "Monsoon", "Winter"))</f>
        <v>Summer</v>
      </c>
      <c r="Q659" s="1" t="n">
        <f aca="false">WEEKDAY(C659,2)</f>
        <v>6</v>
      </c>
      <c r="R659" s="0" t="n">
        <f aca="false">ROUNDDOWN(((INT(C659)+MOD(D659,1))-(INT(I659)+MOD(J659,1))),0)</f>
        <v>4</v>
      </c>
      <c r="S659" s="10"/>
    </row>
    <row r="660" customFormat="false" ht="121.1" hidden="false" customHeight="false" outlineLevel="0" collapsed="false">
      <c r="A660" s="8" t="s">
        <v>1176</v>
      </c>
      <c r="B660" s="22" t="s">
        <v>1177</v>
      </c>
      <c r="C660" s="18" t="n">
        <v>46125.375</v>
      </c>
      <c r="D660" s="19" t="n">
        <v>46125.375</v>
      </c>
      <c r="E660" s="18" t="n">
        <v>46126.3333333333</v>
      </c>
      <c r="F660" s="19" t="n">
        <v>0</v>
      </c>
      <c r="G660" s="20" t="n">
        <v>5000</v>
      </c>
      <c r="H660" s="8" t="n">
        <v>10</v>
      </c>
      <c r="I660" s="10" t="n">
        <v>46120</v>
      </c>
      <c r="J660" s="11" t="n">
        <v>0.576388888890509</v>
      </c>
      <c r="K660" s="1" t="str">
        <f aca="false">IF(L660&gt;24,     IF(H660=2,"Couple Extended Day","Extended Day"), IF(L660&lt;=12,     IF(AND(MOD(D660,1)&gt;=TIME(6,0,0),MOD(D660,1)&lt;TIME(18,0,0)),         IF(H660=2,"Couple Half Day","12H Day"),         IF(H660=2,"Couple Half Night","12H Night")), IF(L660&lt;=24,     IF(AND(MOD(D660,1)&gt;=TIME(6,0,0),MOD(D660,1)&lt;TIME(18,0,0)),         IF(H660=2,"Couple Full Day","24H Day"),         IF(H660=2,"Couple Full Night","24H Night")), "Check Data")))</f>
        <v>24H Day</v>
      </c>
      <c r="L660" s="12" t="n">
        <f aca="false">((INT(E660)+MOD(F660,1))-(INT(C660)+MOD(D660,1)))*24</f>
        <v>15</v>
      </c>
      <c r="M660" s="1" t="n">
        <f aca="false">IFERROR(INDEX(Sheet3!$B$2:$B$500,MATCH(1,(INT(C660)+MOD(D660,1)&lt;INT(Sheet3!$A$2:$A$500)+TIME(18,0,0))*(INT(E660)+MOD(F660,1)&gt;=INT(Sheet3!$A$2:$A$500)),0)),0)</f>
        <v>0</v>
      </c>
      <c r="N660" s="1" t="n">
        <f aca="false">IF(OR( AND(Q660=6,D660&gt;=TIME(17,0,0),OR(K660="12H Night",K660="Couple Half Night",K660="24H Night",K660="Couple Full Night")), AND(Q660=7,D660&gt;=TIME(6,0,0),D660&lt;TIME(12,0,0),OR(K660="12H Day",K660="Couple Half Day",K660="24H Day",K660="Couple Full Day")) ),1,0)</f>
        <v>0</v>
      </c>
      <c r="O660" s="1" t="n">
        <f aca="false">IF(OR( AND(MONTH(C660)=12,DAY(C660)&gt;=26), AND(MONTH(C660)=4,DAY(C660)&gt;=15), MONTH(C660)=5, AND(MONTH(C660)=6,DAY(C660)&lt;=10) ),1,0)</f>
        <v>0</v>
      </c>
      <c r="P660" s="1" t="str">
        <f aca="false">IF(OR(MONTH(C660)=3,MONTH(C660)=4,MONTH(C660)=5,MONTH(C660)=6), "Summer", IF(OR(MONTH(C660)=7,MONTH(C660)=8,MONTH(C660)=9,MONTH(C660)=10), "Monsoon", "Winter"))</f>
        <v>Summer</v>
      </c>
      <c r="Q660" s="1" t="n">
        <f aca="false">WEEKDAY(C660,2)</f>
        <v>1</v>
      </c>
      <c r="R660" s="0" t="n">
        <f aca="false">ROUNDDOWN(((INT(C660)+MOD(D660,1))-(INT(I660)+MOD(J660,1))),0)</f>
        <v>4</v>
      </c>
      <c r="S660" s="10"/>
    </row>
    <row r="661" customFormat="false" ht="199.05" hidden="false" customHeight="false" outlineLevel="0" collapsed="false">
      <c r="A661" s="8" t="s">
        <v>1178</v>
      </c>
      <c r="B661" s="22" t="s">
        <v>1179</v>
      </c>
      <c r="C661" s="18" t="n">
        <v>46126.5</v>
      </c>
      <c r="D661" s="19" t="n">
        <v>46126.5</v>
      </c>
      <c r="E661" s="18" t="n">
        <v>46126.75</v>
      </c>
      <c r="F661" s="19" t="n">
        <v>46126.75</v>
      </c>
      <c r="G661" s="20" t="n">
        <v>3500</v>
      </c>
      <c r="H661" s="8" t="n">
        <v>2</v>
      </c>
      <c r="I661" s="10" t="n">
        <v>46121</v>
      </c>
      <c r="J661" s="11" t="n">
        <v>0.384224537032419</v>
      </c>
      <c r="K661" s="1" t="str">
        <f aca="false">IF(L661&gt;24,     IF(H661=2,"Couple Extended Day","Extended Day"), IF(L661&lt;=12,     IF(AND(MOD(D661,1)&gt;=TIME(6,0,0),MOD(D661,1)&lt;TIME(18,0,0)),         IF(H661=2,"Couple Half Day","12H Day"),         IF(H661=2,"Couple Half Night","12H Night")), IF(L661&lt;=24,     IF(AND(MOD(D661,1)&gt;=TIME(6,0,0),MOD(D661,1)&lt;TIME(18,0,0)),         IF(H661=2,"Couple Full Day","24H Day"),         IF(H661=2,"Couple Full Night","24H Night")), "Check Data")))</f>
        <v>Couple Half Day</v>
      </c>
      <c r="L661" s="12" t="n">
        <f aca="false">((INT(E661)+MOD(F661,1))-(INT(C661)+MOD(D661,1)))*24</f>
        <v>6</v>
      </c>
      <c r="M661" s="1" t="n">
        <f aca="false">IFERROR(INDEX(Sheet3!$B$2:$B$500,MATCH(1,(INT(C661)+MOD(D661,1)&lt;INT(Sheet3!$A$2:$A$500)+TIME(18,0,0))*(INT(E661)+MOD(F661,1)&gt;=INT(Sheet3!$A$2:$A$500)),0)),0)</f>
        <v>0</v>
      </c>
      <c r="N661" s="1" t="n">
        <f aca="false">IF(OR( AND(Q661=6,D661&gt;=TIME(17,0,0),OR(K661="12H Night",K661="Couple Half Night",K661="24H Night",K661="Couple Full Night")), AND(Q661=7,D661&gt;=TIME(6,0,0),D661&lt;TIME(12,0,0),OR(K661="12H Day",K661="Couple Half Day",K661="24H Day",K661="Couple Full Day")) ),1,0)</f>
        <v>0</v>
      </c>
      <c r="O661" s="1" t="n">
        <f aca="false">IF(OR( AND(MONTH(C661)=12,DAY(C661)&gt;=26), AND(MONTH(C661)=4,DAY(C661)&gt;=15), MONTH(C661)=5, AND(MONTH(C661)=6,DAY(C661)&lt;=10) ),1,0)</f>
        <v>0</v>
      </c>
      <c r="P661" s="1" t="str">
        <f aca="false">IF(OR(MONTH(C661)=3,MONTH(C661)=4,MONTH(C661)=5,MONTH(C661)=6), "Summer", IF(OR(MONTH(C661)=7,MONTH(C661)=8,MONTH(C661)=9,MONTH(C661)=10), "Monsoon", "Winter"))</f>
        <v>Summer</v>
      </c>
      <c r="Q661" s="1" t="n">
        <f aca="false">WEEKDAY(C661,2)</f>
        <v>2</v>
      </c>
      <c r="R661" s="0" t="n">
        <f aca="false">ROUNDDOWN(((INT(C661)+MOD(D661,1))-(INT(I661)+MOD(J661,1))),0)</f>
        <v>5</v>
      </c>
      <c r="S661" s="10"/>
    </row>
    <row r="662" customFormat="false" ht="93.85" hidden="false" customHeight="false" outlineLevel="0" collapsed="false">
      <c r="A662" s="8" t="s">
        <v>1180</v>
      </c>
      <c r="B662" s="22" t="s">
        <v>1181</v>
      </c>
      <c r="C662" s="18" t="n">
        <v>46127.5</v>
      </c>
      <c r="D662" s="19" t="n">
        <v>46127.5</v>
      </c>
      <c r="E662" s="18" t="n">
        <v>46127.75</v>
      </c>
      <c r="F662" s="19" t="n">
        <v>46127.75</v>
      </c>
      <c r="G662" s="20" t="n">
        <v>3000</v>
      </c>
      <c r="H662" s="8" t="n">
        <v>2</v>
      </c>
      <c r="I662" s="10" t="n">
        <v>46127</v>
      </c>
      <c r="J662" s="11" t="n">
        <v>0.508344907408171</v>
      </c>
      <c r="K662" s="1" t="str">
        <f aca="false">IF(L662&gt;24,     IF(H662=2,"Couple Extended Day","Extended Day"), IF(L662&lt;=12,     IF(AND(MOD(D662,1)&gt;=TIME(6,0,0),MOD(D662,1)&lt;TIME(18,0,0)),         IF(H662=2,"Couple Half Day","12H Day"),         IF(H662=2,"Couple Half Night","12H Night")), IF(L662&lt;=24,     IF(AND(MOD(D662,1)&gt;=TIME(6,0,0),MOD(D662,1)&lt;TIME(18,0,0)),         IF(H662=2,"Couple Full Day","24H Day"),         IF(H662=2,"Couple Full Night","24H Night")), "Check Data")))</f>
        <v>Couple Half Day</v>
      </c>
      <c r="L662" s="12" t="n">
        <f aca="false">((INT(E662)+MOD(F662,1))-(INT(C662)+MOD(D662,1)))*24</f>
        <v>6</v>
      </c>
      <c r="M662" s="1" t="n">
        <f aca="false">IFERROR(INDEX(Sheet3!$B$2:$B$500,MATCH(1,(INT(C662)+MOD(D662,1)&lt;INT(Sheet3!$A$2:$A$500)+TIME(18,0,0))*(INT(E662)+MOD(F662,1)&gt;=INT(Sheet3!$A$2:$A$500)),0)),0)</f>
        <v>0</v>
      </c>
      <c r="N662" s="1" t="n">
        <f aca="false">IF(OR( AND(Q662=6,D662&gt;=TIME(17,0,0),OR(K662="12H Night",K662="Couple Half Night",K662="24H Night",K662="Couple Full Night")), AND(Q662=7,D662&gt;=TIME(6,0,0),D662&lt;TIME(12,0,0),OR(K662="12H Day",K662="Couple Half Day",K662="24H Day",K662="Couple Full Day")) ),1,0)</f>
        <v>0</v>
      </c>
      <c r="O662" s="1" t="n">
        <f aca="false">IF(OR( AND(MONTH(C662)=12,DAY(C662)&gt;=26), AND(MONTH(C662)=4,DAY(C662)&gt;=15), MONTH(C662)=5, AND(MONTH(C662)=6,DAY(C662)&lt;=10) ),1,0)</f>
        <v>1</v>
      </c>
      <c r="P662" s="1" t="str">
        <f aca="false">IF(OR(MONTH(C662)=3,MONTH(C662)=4,MONTH(C662)=5,MONTH(C662)=6), "Summer", IF(OR(MONTH(C662)=7,MONTH(C662)=8,MONTH(C662)=9,MONTH(C662)=10), "Monsoon", "Winter"))</f>
        <v>Summer</v>
      </c>
      <c r="Q662" s="1" t="n">
        <f aca="false">WEEKDAY(C662,2)</f>
        <v>3</v>
      </c>
      <c r="R662" s="0" t="n">
        <f aca="false">ROUNDDOWN(((INT(C662)+MOD(D662,1))-(INT(I662)+MOD(J662,1))),0)</f>
        <v>-0</v>
      </c>
      <c r="S662" s="10"/>
    </row>
    <row r="663" customFormat="false" ht="146.45" hidden="false" customHeight="false" outlineLevel="0" collapsed="false">
      <c r="A663" s="8" t="s">
        <v>1080</v>
      </c>
      <c r="B663" s="22" t="s">
        <v>1182</v>
      </c>
      <c r="C663" s="18" t="n">
        <v>46127.7916666667</v>
      </c>
      <c r="D663" s="19" t="n">
        <v>46127.7916666667</v>
      </c>
      <c r="E663" s="18" t="n">
        <v>46128.75</v>
      </c>
      <c r="F663" s="19" t="n">
        <v>46128.75</v>
      </c>
      <c r="G663" s="20" t="n">
        <v>5000</v>
      </c>
      <c r="H663" s="8" t="n">
        <v>10</v>
      </c>
      <c r="I663" s="10" t="n">
        <v>46125</v>
      </c>
      <c r="J663" s="11" t="n">
        <v>0.464733796296053</v>
      </c>
      <c r="K663" s="1" t="str">
        <f aca="false">IF(L663&gt;24,     IF(H663=2,"Couple Extended Day","Extended Day"), IF(L663&lt;=12,     IF(AND(MOD(D663,1)&gt;=TIME(6,0,0),MOD(D663,1)&lt;TIME(18,0,0)),         IF(H663=2,"Couple Half Day","12H Day"),         IF(H663=2,"Couple Half Night","12H Night")), IF(L663&lt;=24,     IF(AND(MOD(D663,1)&gt;=TIME(6,0,0),MOD(D663,1)&lt;TIME(18,0,0)),         IF(H663=2,"Couple Full Day","24H Day"),         IF(H663=2,"Couple Full Night","24H Night")), "Check Data")))</f>
        <v>24H Night</v>
      </c>
      <c r="L663" s="12" t="n">
        <f aca="false">((INT(E663)+MOD(F663,1))-(INT(C663)+MOD(D663,1)))*24</f>
        <v>22.9999999990105</v>
      </c>
      <c r="M663" s="1" t="n">
        <f aca="false">IFERROR(INDEX(Sheet3!$B$2:$B$500,MATCH(1,(INT(C663)+MOD(D663,1)&lt;INT(Sheet3!$A$2:$A$500)+TIME(18,0,0))*(INT(E663)+MOD(F663,1)&gt;=INT(Sheet3!$A$2:$A$500)),0)),0)</f>
        <v>0</v>
      </c>
      <c r="N663" s="1" t="n">
        <f aca="false">IF(OR( AND(Q663=6,D663&gt;=TIME(17,0,0),OR(K663="12H Night",K663="Couple Half Night",K663="24H Night",K663="Couple Full Night")), AND(Q663=7,D663&gt;=TIME(6,0,0),D663&lt;TIME(12,0,0),OR(K663="12H Day",K663="Couple Half Day",K663="24H Day",K663="Couple Full Day")) ),1,0)</f>
        <v>0</v>
      </c>
      <c r="O663" s="1" t="n">
        <f aca="false">IF(OR( AND(MONTH(C663)=12,DAY(C663)&gt;=26), AND(MONTH(C663)=4,DAY(C663)&gt;=15), MONTH(C663)=5, AND(MONTH(C663)=6,DAY(C663)&lt;=10) ),1,0)</f>
        <v>1</v>
      </c>
      <c r="P663" s="1" t="str">
        <f aca="false">IF(OR(MONTH(C663)=3,MONTH(C663)=4,MONTH(C663)=5,MONTH(C663)=6), "Summer", IF(OR(MONTH(C663)=7,MONTH(C663)=8,MONTH(C663)=9,MONTH(C663)=10), "Monsoon", "Winter"))</f>
        <v>Summer</v>
      </c>
      <c r="Q663" s="1" t="n">
        <f aca="false">WEEKDAY(C663,2)</f>
        <v>3</v>
      </c>
      <c r="R663" s="0" t="n">
        <f aca="false">ROUNDDOWN(((INT(C663)+MOD(D663,1))-(INT(I663)+MOD(J663,1))),0)</f>
        <v>2</v>
      </c>
      <c r="S663" s="10"/>
    </row>
    <row r="664" customFormat="false" ht="185.9" hidden="false" customHeight="false" outlineLevel="0" collapsed="false">
      <c r="A664" s="8" t="s">
        <v>1183</v>
      </c>
      <c r="B664" s="22" t="s">
        <v>1184</v>
      </c>
      <c r="C664" s="18" t="n">
        <v>46129.4375</v>
      </c>
      <c r="D664" s="19" t="n">
        <v>46129.4375</v>
      </c>
      <c r="E664" s="18" t="n">
        <v>46129.75</v>
      </c>
      <c r="F664" s="19" t="n">
        <v>46129.75</v>
      </c>
      <c r="G664" s="20" t="n">
        <v>4000</v>
      </c>
      <c r="H664" s="8" t="n">
        <v>5</v>
      </c>
      <c r="I664" s="10" t="n">
        <v>46129</v>
      </c>
      <c r="J664" s="11" t="n">
        <v>0.412337962960012</v>
      </c>
      <c r="K664" s="1" t="str">
        <f aca="false">IF(L664&gt;24,     IF(H664=2,"Couple Extended Day","Extended Day"), IF(L664&lt;=12,     IF(AND(MOD(D664,1)&gt;=TIME(6,0,0),MOD(D664,1)&lt;TIME(18,0,0)),         IF(H664=2,"Couple Half Day","12H Day"),         IF(H664=2,"Couple Half Night","12H Night")), IF(L664&lt;=24,     IF(AND(MOD(D664,1)&gt;=TIME(6,0,0),MOD(D664,1)&lt;TIME(18,0,0)),         IF(H664=2,"Couple Full Day","24H Day"),         IF(H664=2,"Couple Full Night","24H Night")), "Check Data")))</f>
        <v>12H Day</v>
      </c>
      <c r="L664" s="12" t="n">
        <f aca="false">((INT(E664)+MOD(F664,1))-(INT(C664)+MOD(D664,1)))*24</f>
        <v>7.5</v>
      </c>
      <c r="M664" s="1" t="n">
        <f aca="false">IFERROR(INDEX(Sheet3!$B$2:$B$500,MATCH(1,(INT(C664)+MOD(D664,1)&lt;INT(Sheet3!$A$2:$A$500)+TIME(18,0,0))*(INT(E664)+MOD(F664,1)&gt;=INT(Sheet3!$A$2:$A$500)),0)),0)</f>
        <v>0</v>
      </c>
      <c r="N664" s="1" t="n">
        <f aca="false">IF(OR( AND(Q664=6,D664&gt;=TIME(17,0,0),OR(K664="12H Night",K664="Couple Half Night",K664="24H Night",K664="Couple Full Night")), AND(Q664=7,D664&gt;=TIME(6,0,0),D664&lt;TIME(12,0,0),OR(K664="12H Day",K664="Couple Half Day",K664="24H Day",K664="Couple Full Day")) ),1,0)</f>
        <v>0</v>
      </c>
      <c r="O664" s="1" t="n">
        <f aca="false">IF(OR( AND(MONTH(C664)=12,DAY(C664)&gt;=26), AND(MONTH(C664)=4,DAY(C664)&gt;=15), MONTH(C664)=5, AND(MONTH(C664)=6,DAY(C664)&lt;=10) ),1,0)</f>
        <v>1</v>
      </c>
      <c r="P664" s="1" t="str">
        <f aca="false">IF(OR(MONTH(C664)=3,MONTH(C664)=4,MONTH(C664)=5,MONTH(C664)=6), "Summer", IF(OR(MONTH(C664)=7,MONTH(C664)=8,MONTH(C664)=9,MONTH(C664)=10), "Monsoon", "Winter"))</f>
        <v>Summer</v>
      </c>
      <c r="Q664" s="1" t="n">
        <f aca="false">WEEKDAY(C664,2)</f>
        <v>5</v>
      </c>
      <c r="R664" s="0" t="n">
        <f aca="false">ROUNDDOWN(((INT(C664)+MOD(D664,1))-(INT(I664)+MOD(J664,1))),0)</f>
        <v>0</v>
      </c>
      <c r="S664" s="10"/>
    </row>
    <row r="665" customFormat="false" ht="192.95" hidden="false" customHeight="false" outlineLevel="0" collapsed="false">
      <c r="A665" s="8" t="s">
        <v>1185</v>
      </c>
      <c r="B665" s="22" t="s">
        <v>1186</v>
      </c>
      <c r="C665" s="18" t="n">
        <v>46129.7916666667</v>
      </c>
      <c r="D665" s="19" t="n">
        <v>46129.7916666667</v>
      </c>
      <c r="E665" s="18" t="n">
        <v>46130.75</v>
      </c>
      <c r="F665" s="19" t="n">
        <v>46130.75</v>
      </c>
      <c r="G665" s="20" t="n">
        <v>5000</v>
      </c>
      <c r="H665" s="8" t="n">
        <v>10</v>
      </c>
      <c r="I665" s="10" t="n">
        <v>46128</v>
      </c>
      <c r="J665" s="11" t="n">
        <v>0.957094907411377</v>
      </c>
      <c r="K665" s="1" t="str">
        <f aca="false">IF(L665&gt;24,     IF(H665=2,"Couple Extended Day","Extended Day"), IF(L665&lt;=12,     IF(AND(MOD(D665,1)&gt;=TIME(6,0,0),MOD(D665,1)&lt;TIME(18,0,0)),         IF(H665=2,"Couple Half Day","12H Day"),         IF(H665=2,"Couple Half Night","12H Night")), IF(L665&lt;=24,     IF(AND(MOD(D665,1)&gt;=TIME(6,0,0),MOD(D665,1)&lt;TIME(18,0,0)),         IF(H665=2,"Couple Full Day","24H Day"),         IF(H665=2,"Couple Full Night","24H Night")), "Check Data")))</f>
        <v>24H Night</v>
      </c>
      <c r="L665" s="12" t="n">
        <f aca="false">((INT(E665)+MOD(F665,1))-(INT(C665)+MOD(D665,1)))*24</f>
        <v>22.9999999990105</v>
      </c>
      <c r="M665" s="1" t="n">
        <f aca="false">IFERROR(INDEX(Sheet3!$B$2:$B$500,MATCH(1,(INT(C665)+MOD(D665,1)&lt;INT(Sheet3!$A$2:$A$500)+TIME(18,0,0))*(INT(E665)+MOD(F665,1)&gt;=INT(Sheet3!$A$2:$A$500)),0)),0)</f>
        <v>0</v>
      </c>
      <c r="N665" s="1" t="n">
        <f aca="false">IF(OR( AND(Q665=6,D665&gt;=TIME(17,0,0),OR(K665="12H Night",K665="Couple Half Night",K665="24H Night",K665="Couple Full Night")), AND(Q665=7,D665&gt;=TIME(6,0,0),D665&lt;TIME(12,0,0),OR(K665="12H Day",K665="Couple Half Day",K665="24H Day",K665="Couple Full Day")) ),1,0)</f>
        <v>0</v>
      </c>
      <c r="O665" s="1" t="n">
        <f aca="false">IF(OR( AND(MONTH(C665)=12,DAY(C665)&gt;=26), AND(MONTH(C665)=4,DAY(C665)&gt;=15), MONTH(C665)=5, AND(MONTH(C665)=6,DAY(C665)&lt;=10) ),1,0)</f>
        <v>1</v>
      </c>
      <c r="P665" s="1" t="str">
        <f aca="false">IF(OR(MONTH(C665)=3,MONTH(C665)=4,MONTH(C665)=5,MONTH(C665)=6), "Summer", IF(OR(MONTH(C665)=7,MONTH(C665)=8,MONTH(C665)=9,MONTH(C665)=10), "Monsoon", "Winter"))</f>
        <v>Summer</v>
      </c>
      <c r="Q665" s="1" t="n">
        <f aca="false">WEEKDAY(C665,2)</f>
        <v>5</v>
      </c>
      <c r="R665" s="0" t="n">
        <f aca="false">ROUNDDOWN(((INT(C665)+MOD(D665,1))-(INT(I665)+MOD(J665,1))),0)</f>
        <v>0</v>
      </c>
      <c r="S665" s="10"/>
    </row>
    <row r="666" customFormat="false" ht="192.95" hidden="false" customHeight="false" outlineLevel="0" collapsed="false">
      <c r="A666" s="8" t="s">
        <v>1187</v>
      </c>
      <c r="B666" s="22" t="s">
        <v>1188</v>
      </c>
      <c r="C666" s="18" t="n">
        <v>46130.7916666667</v>
      </c>
      <c r="D666" s="19" t="n">
        <v>46130.7916666667</v>
      </c>
      <c r="E666" s="18" t="n">
        <v>46131.75</v>
      </c>
      <c r="F666" s="19" t="n">
        <v>46131.75</v>
      </c>
      <c r="G666" s="20" t="n">
        <v>11000</v>
      </c>
      <c r="H666" s="8" t="n">
        <v>15</v>
      </c>
      <c r="I666" s="10" t="n">
        <v>46129</v>
      </c>
      <c r="J666" s="11" t="n">
        <v>0.928645833337211</v>
      </c>
      <c r="K666" s="1" t="str">
        <f aca="false">IF(L666&gt;24,     IF(H666=2,"Couple Extended Day","Extended Day"), IF(L666&lt;=12,     IF(AND(MOD(D666,1)&gt;=TIME(6,0,0),MOD(D666,1)&lt;TIME(18,0,0)),         IF(H666=2,"Couple Half Day","12H Day"),         IF(H666=2,"Couple Half Night","12H Night")), IF(L666&lt;=24,     IF(AND(MOD(D666,1)&gt;=TIME(6,0,0),MOD(D666,1)&lt;TIME(18,0,0)),         IF(H666=2,"Couple Full Day","24H Day"),         IF(H666=2,"Couple Full Night","24H Night")), "Check Data")))</f>
        <v>24H Night</v>
      </c>
      <c r="L666" s="12" t="n">
        <f aca="false">((INT(E666)+MOD(F666,1))-(INT(C666)+MOD(D666,1)))*24</f>
        <v>22.9999999990105</v>
      </c>
      <c r="M666" s="1" t="n">
        <f aca="false">IFERROR(INDEX(Sheet3!$B$2:$B$500,MATCH(1,(INT(C666)+MOD(D666,1)&lt;INT(Sheet3!$A$2:$A$500)+TIME(18,0,0))*(INT(E666)+MOD(F666,1)&gt;=INT(Sheet3!$A$2:$A$500)),0)),0)</f>
        <v>0</v>
      </c>
      <c r="N666" s="1" t="n">
        <f aca="false">IF(OR( AND(Q666=6,D666&gt;=TIME(17,0,0),OR(K666="12H Night",K666="Couple Half Night",K666="24H Night",K666="Couple Full Night")), AND(Q666=7,D666&gt;=TIME(6,0,0),D666&lt;TIME(12,0,0),OR(K666="12H Day",K666="Couple Half Day",K666="24H Day",K666="Couple Full Day")) ),1,0)</f>
        <v>1</v>
      </c>
      <c r="O666" s="1" t="n">
        <f aca="false">IF(OR( AND(MONTH(C666)=12,DAY(C666)&gt;=26), AND(MONTH(C666)=4,DAY(C666)&gt;=15), MONTH(C666)=5, AND(MONTH(C666)=6,DAY(C666)&lt;=10) ),1,0)</f>
        <v>1</v>
      </c>
      <c r="P666" s="1" t="str">
        <f aca="false">IF(OR(MONTH(C666)=3,MONTH(C666)=4,MONTH(C666)=5,MONTH(C666)=6), "Summer", IF(OR(MONTH(C666)=7,MONTH(C666)=8,MONTH(C666)=9,MONTH(C666)=10), "Monsoon", "Winter"))</f>
        <v>Summer</v>
      </c>
      <c r="Q666" s="1" t="n">
        <f aca="false">WEEKDAY(C666,2)</f>
        <v>6</v>
      </c>
      <c r="R666" s="0" t="n">
        <f aca="false">ROUNDDOWN(((INT(C666)+MOD(D666,1))-(INT(I666)+MOD(J666,1))),0)</f>
        <v>0</v>
      </c>
      <c r="S666" s="10"/>
    </row>
    <row r="667" customFormat="false" ht="192.95" hidden="false" customHeight="false" outlineLevel="0" collapsed="false">
      <c r="A667" s="8" t="s">
        <v>1064</v>
      </c>
      <c r="B667" s="22" t="s">
        <v>1189</v>
      </c>
      <c r="C667" s="18" t="n">
        <v>46131.7916666667</v>
      </c>
      <c r="D667" s="19" t="n">
        <v>46131.7916666667</v>
      </c>
      <c r="E667" s="18" t="n">
        <v>46132.75</v>
      </c>
      <c r="F667" s="19" t="n">
        <v>46132.75</v>
      </c>
      <c r="G667" s="20" t="n">
        <v>5000</v>
      </c>
      <c r="H667" s="8" t="n">
        <v>12</v>
      </c>
      <c r="I667" s="10" t="n">
        <v>46128</v>
      </c>
      <c r="J667" s="11" t="n">
        <v>0.891793981485533</v>
      </c>
      <c r="K667" s="1" t="str">
        <f aca="false">IF(L667&gt;24,     IF(H667=2,"Couple Extended Day","Extended Day"), IF(L667&lt;=12,     IF(AND(MOD(D667,1)&gt;=TIME(6,0,0),MOD(D667,1)&lt;TIME(18,0,0)),         IF(H667=2,"Couple Half Day","12H Day"),         IF(H667=2,"Couple Half Night","12H Night")), IF(L667&lt;=24,     IF(AND(MOD(D667,1)&gt;=TIME(6,0,0),MOD(D667,1)&lt;TIME(18,0,0)),         IF(H667=2,"Couple Full Day","24H Day"),         IF(H667=2,"Couple Full Night","24H Night")), "Check Data")))</f>
        <v>24H Night</v>
      </c>
      <c r="L667" s="12" t="n">
        <f aca="false">((INT(E667)+MOD(F667,1))-(INT(C667)+MOD(D667,1)))*24</f>
        <v>22.9999999990105</v>
      </c>
      <c r="M667" s="1" t="n">
        <f aca="false">IFERROR(INDEX(Sheet3!$B$2:$B$500,MATCH(1,(INT(C667)+MOD(D667,1)&lt;INT(Sheet3!$A$2:$A$500)+TIME(18,0,0))*(INT(E667)+MOD(F667,1)&gt;=INT(Sheet3!$A$2:$A$500)),0)),0)</f>
        <v>0</v>
      </c>
      <c r="N667" s="1" t="n">
        <f aca="false">IF(OR( AND(Q667=6,D667&gt;=TIME(17,0,0),OR(K667="12H Night",K667="Couple Half Night",K667="24H Night",K667="Couple Full Night")), AND(Q667=7,D667&gt;=TIME(6,0,0),D667&lt;TIME(12,0,0),OR(K667="12H Day",K667="Couple Half Day",K667="24H Day",K667="Couple Full Day")) ),1,0)</f>
        <v>0</v>
      </c>
      <c r="O667" s="1" t="n">
        <f aca="false">IF(OR( AND(MONTH(C667)=12,DAY(C667)&gt;=26), AND(MONTH(C667)=4,DAY(C667)&gt;=15), MONTH(C667)=5, AND(MONTH(C667)=6,DAY(C667)&lt;=10) ),1,0)</f>
        <v>1</v>
      </c>
      <c r="P667" s="1" t="str">
        <f aca="false">IF(OR(MONTH(C667)=3,MONTH(C667)=4,MONTH(C667)=5,MONTH(C667)=6), "Summer", IF(OR(MONTH(C667)=7,MONTH(C667)=8,MONTH(C667)=9,MONTH(C667)=10), "Monsoon", "Winter"))</f>
        <v>Summer</v>
      </c>
      <c r="Q667" s="1" t="n">
        <f aca="false">WEEKDAY(C667,2)</f>
        <v>7</v>
      </c>
      <c r="R667" s="0" t="n">
        <f aca="false">ROUNDDOWN(((INT(C667)+MOD(D667,1))-(INT(I667)+MOD(J667,1))),0)</f>
        <v>2</v>
      </c>
      <c r="S667" s="10"/>
    </row>
    <row r="668" customFormat="false" ht="146.45" hidden="false" customHeight="false" outlineLevel="0" collapsed="false">
      <c r="A668" s="8" t="s">
        <v>1190</v>
      </c>
      <c r="B668" s="22" t="s">
        <v>1191</v>
      </c>
      <c r="C668" s="18" t="n">
        <v>46133.7916666667</v>
      </c>
      <c r="D668" s="19" t="n">
        <v>46133.7916666667</v>
      </c>
      <c r="E668" s="18" t="n">
        <v>46134.75</v>
      </c>
      <c r="F668" s="19" t="n">
        <v>46134.75</v>
      </c>
      <c r="G668" s="20" t="n">
        <v>5000</v>
      </c>
      <c r="H668" s="8" t="n">
        <v>8</v>
      </c>
      <c r="I668" s="10" t="n">
        <v>46132</v>
      </c>
      <c r="J668" s="11" t="n">
        <v>0.692604166666574</v>
      </c>
      <c r="K668" s="1" t="str">
        <f aca="false">IF(L668&gt;24,     IF(H668=2,"Couple Extended Day","Extended Day"), IF(L668&lt;=12,     IF(AND(MOD(D668,1)&gt;=TIME(6,0,0),MOD(D668,1)&lt;TIME(18,0,0)),         IF(H668=2,"Couple Half Day","12H Day"),         IF(H668=2,"Couple Half Night","12H Night")), IF(L668&lt;=24,     IF(AND(MOD(D668,1)&gt;=TIME(6,0,0),MOD(D668,1)&lt;TIME(18,0,0)),         IF(H668=2,"Couple Full Day","24H Day"),         IF(H668=2,"Couple Full Night","24H Night")), "Check Data")))</f>
        <v>24H Night</v>
      </c>
      <c r="L668" s="12" t="n">
        <f aca="false">((INT(E668)+MOD(F668,1))-(INT(C668)+MOD(D668,1)))*24</f>
        <v>22.9999999990105</v>
      </c>
      <c r="M668" s="1" t="n">
        <f aca="false">IFERROR(INDEX(Sheet3!$B$2:$B$500,MATCH(1,(INT(C668)+MOD(D668,1)&lt;INT(Sheet3!$A$2:$A$500)+TIME(18,0,0))*(INT(E668)+MOD(F668,1)&gt;=INT(Sheet3!$A$2:$A$500)),0)),0)</f>
        <v>0</v>
      </c>
      <c r="N668" s="1" t="n">
        <f aca="false">IF(OR( AND(Q668=6,D668&gt;=TIME(17,0,0),OR(K668="12H Night",K668="Couple Half Night",K668="24H Night",K668="Couple Full Night")), AND(Q668=7,D668&gt;=TIME(6,0,0),D668&lt;TIME(12,0,0),OR(K668="12H Day",K668="Couple Half Day",K668="24H Day",K668="Couple Full Day")) ),1,0)</f>
        <v>0</v>
      </c>
      <c r="O668" s="1" t="n">
        <f aca="false">IF(OR( AND(MONTH(C668)=12,DAY(C668)&gt;=26), AND(MONTH(C668)=4,DAY(C668)&gt;=15), MONTH(C668)=5, AND(MONTH(C668)=6,DAY(C668)&lt;=10) ),1,0)</f>
        <v>1</v>
      </c>
      <c r="P668" s="1" t="str">
        <f aca="false">IF(OR(MONTH(C668)=3,MONTH(C668)=4,MONTH(C668)=5,MONTH(C668)=6), "Summer", IF(OR(MONTH(C668)=7,MONTH(C668)=8,MONTH(C668)=9,MONTH(C668)=10), "Monsoon", "Winter"))</f>
        <v>Summer</v>
      </c>
      <c r="Q668" s="1" t="n">
        <f aca="false">WEEKDAY(C668,2)</f>
        <v>2</v>
      </c>
      <c r="R668" s="0" t="n">
        <f aca="false">ROUNDDOWN(((INT(C668)+MOD(D668,1))-(INT(I668)+MOD(J668,1))),0)</f>
        <v>1</v>
      </c>
      <c r="S668" s="10"/>
    </row>
    <row r="669" customFormat="false" ht="264.75" hidden="false" customHeight="false" outlineLevel="0" collapsed="false">
      <c r="A669" s="8" t="s">
        <v>481</v>
      </c>
      <c r="B669" s="22" t="s">
        <v>1192</v>
      </c>
      <c r="C669" s="18" t="n">
        <v>46134.7916666667</v>
      </c>
      <c r="D669" s="19" t="n">
        <v>46134.7916666667</v>
      </c>
      <c r="E669" s="18" t="n">
        <v>46135.75</v>
      </c>
      <c r="F669" s="19" t="n">
        <v>46135.75</v>
      </c>
      <c r="G669" s="20" t="n">
        <v>5000</v>
      </c>
      <c r="H669" s="8" t="n">
        <v>15</v>
      </c>
      <c r="I669" s="10" t="n">
        <v>46119</v>
      </c>
      <c r="J669" s="11" t="n">
        <v>0.541956018518252</v>
      </c>
      <c r="K669" s="1" t="str">
        <f aca="false">IF(L669&gt;24,     IF(H669=2,"Couple Extended Day","Extended Day"), IF(L669&lt;=12,     IF(AND(MOD(D669,1)&gt;=TIME(6,0,0),MOD(D669,1)&lt;TIME(18,0,0)),         IF(H669=2,"Couple Half Day","12H Day"),         IF(H669=2,"Couple Half Night","12H Night")), IF(L669&lt;=24,     IF(AND(MOD(D669,1)&gt;=TIME(6,0,0),MOD(D669,1)&lt;TIME(18,0,0)),         IF(H669=2,"Couple Full Day","24H Day"),         IF(H669=2,"Couple Full Night","24H Night")), "Check Data")))</f>
        <v>24H Night</v>
      </c>
      <c r="L669" s="12" t="n">
        <f aca="false">((INT(E669)+MOD(F669,1))-(INT(C669)+MOD(D669,1)))*24</f>
        <v>22.9999999990105</v>
      </c>
      <c r="M669" s="1" t="n">
        <f aca="false">IFERROR(INDEX(Sheet3!$B$2:$B$500,MATCH(1,(INT(C669)+MOD(D669,1)&lt;INT(Sheet3!$A$2:$A$500)+TIME(18,0,0))*(INT(E669)+MOD(F669,1)&gt;=INT(Sheet3!$A$2:$A$500)),0)),0)</f>
        <v>0</v>
      </c>
      <c r="N669" s="1" t="n">
        <f aca="false">IF(OR( AND(Q669=6,D669&gt;=TIME(17,0,0),OR(K669="12H Night",K669="Couple Half Night",K669="24H Night",K669="Couple Full Night")), AND(Q669=7,D669&gt;=TIME(6,0,0),D669&lt;TIME(12,0,0),OR(K669="12H Day",K669="Couple Half Day",K669="24H Day",K669="Couple Full Day")) ),1,0)</f>
        <v>0</v>
      </c>
      <c r="O669" s="1" t="n">
        <f aca="false">IF(OR( AND(MONTH(C669)=12,DAY(C669)&gt;=26), AND(MONTH(C669)=4,DAY(C669)&gt;=15), MONTH(C669)=5, AND(MONTH(C669)=6,DAY(C669)&lt;=10) ),1,0)</f>
        <v>1</v>
      </c>
      <c r="P669" s="1" t="str">
        <f aca="false">IF(OR(MONTH(C669)=3,MONTH(C669)=4,MONTH(C669)=5,MONTH(C669)=6), "Summer", IF(OR(MONTH(C669)=7,MONTH(C669)=8,MONTH(C669)=9,MONTH(C669)=10), "Monsoon", "Winter"))</f>
        <v>Summer</v>
      </c>
      <c r="Q669" s="1" t="n">
        <f aca="false">WEEKDAY(C669,2)</f>
        <v>3</v>
      </c>
      <c r="R669" s="0" t="n">
        <f aca="false">ROUNDDOWN(((INT(C669)+MOD(D669,1))-(INT(I669)+MOD(J669,1))),0)</f>
        <v>15</v>
      </c>
      <c r="S669" s="10"/>
    </row>
    <row r="670" customFormat="false" ht="133.05" hidden="false" customHeight="false" outlineLevel="0" collapsed="false">
      <c r="A670" s="8" t="s">
        <v>1193</v>
      </c>
      <c r="B670" s="22" t="s">
        <v>1194</v>
      </c>
      <c r="C670" s="18" t="n">
        <v>46135.7916666667</v>
      </c>
      <c r="D670" s="19" t="n">
        <v>46135.7916666667</v>
      </c>
      <c r="E670" s="18" t="n">
        <v>46136.75</v>
      </c>
      <c r="F670" s="19" t="n">
        <v>46136.75</v>
      </c>
      <c r="G670" s="20" t="n">
        <v>5000</v>
      </c>
      <c r="H670" s="8" t="n">
        <v>2</v>
      </c>
      <c r="I670" s="10" t="n">
        <v>46135</v>
      </c>
      <c r="J670" s="11" t="n">
        <v>0.545868055560278</v>
      </c>
      <c r="K670" s="1" t="str">
        <f aca="false">IF(L670&gt;24,     IF(H670=2,"Couple Extended Day","Extended Day"), IF(L670&lt;=12,     IF(AND(MOD(D670,1)&gt;=TIME(6,0,0),MOD(D670,1)&lt;TIME(18,0,0)),         IF(H670=2,"Couple Half Day","12H Day"),         IF(H670=2,"Couple Half Night","12H Night")), IF(L670&lt;=24,     IF(AND(MOD(D670,1)&gt;=TIME(6,0,0),MOD(D670,1)&lt;TIME(18,0,0)),         IF(H670=2,"Couple Full Day","24H Day"),         IF(H670=2,"Couple Full Night","24H Night")), "Check Data")))</f>
        <v>Couple Full Night</v>
      </c>
      <c r="L670" s="12" t="n">
        <f aca="false">((INT(E670)+MOD(F670,1))-(INT(C670)+MOD(D670,1)))*24</f>
        <v>22.9999999990105</v>
      </c>
      <c r="M670" s="1" t="n">
        <f aca="false">IFERROR(INDEX(Sheet3!$B$2:$B$500,MATCH(1,(INT(C670)+MOD(D670,1)&lt;INT(Sheet3!$A$2:$A$500)+TIME(18,0,0))*(INT(E670)+MOD(F670,1)&gt;=INT(Sheet3!$A$2:$A$500)),0)),0)</f>
        <v>0</v>
      </c>
      <c r="N670" s="1" t="n">
        <f aca="false">IF(OR( AND(Q670=6,D670&gt;=TIME(17,0,0),OR(K670="12H Night",K670="Couple Half Night",K670="24H Night",K670="Couple Full Night")), AND(Q670=7,D670&gt;=TIME(6,0,0),D670&lt;TIME(12,0,0),OR(K670="12H Day",K670="Couple Half Day",K670="24H Day",K670="Couple Full Day")) ),1,0)</f>
        <v>0</v>
      </c>
      <c r="O670" s="1" t="n">
        <f aca="false">IF(OR( AND(MONTH(C670)=12,DAY(C670)&gt;=26), AND(MONTH(C670)=4,DAY(C670)&gt;=15), MONTH(C670)=5, AND(MONTH(C670)=6,DAY(C670)&lt;=10) ),1,0)</f>
        <v>1</v>
      </c>
      <c r="P670" s="1" t="str">
        <f aca="false">IF(OR(MONTH(C670)=3,MONTH(C670)=4,MONTH(C670)=5,MONTH(C670)=6), "Summer", IF(OR(MONTH(C670)=7,MONTH(C670)=8,MONTH(C670)=9,MONTH(C670)=10), "Monsoon", "Winter"))</f>
        <v>Summer</v>
      </c>
      <c r="Q670" s="1" t="n">
        <f aca="false">WEEKDAY(C670,2)</f>
        <v>4</v>
      </c>
      <c r="R670" s="0" t="n">
        <f aca="false">ROUNDDOWN(((INT(C670)+MOD(D670,1))-(INT(I670)+MOD(J670,1))),0)</f>
        <v>0</v>
      </c>
      <c r="S670" s="10"/>
    </row>
    <row r="671" customFormat="false" ht="133.05" hidden="false" customHeight="false" outlineLevel="0" collapsed="false">
      <c r="A671" s="8" t="s">
        <v>1195</v>
      </c>
      <c r="B671" s="22" t="s">
        <v>1023</v>
      </c>
      <c r="C671" s="18" t="n">
        <v>46136.7916666667</v>
      </c>
      <c r="D671" s="19" t="n">
        <v>46136.7916666667</v>
      </c>
      <c r="E671" s="18" t="n">
        <v>46137.3333333333</v>
      </c>
      <c r="F671" s="19" t="n">
        <v>0</v>
      </c>
      <c r="G671" s="20" t="n">
        <v>3000</v>
      </c>
      <c r="H671" s="8" t="n">
        <v>12</v>
      </c>
      <c r="I671" s="10" t="n">
        <v>46136</v>
      </c>
      <c r="J671" s="11" t="n">
        <v>0.527615740742477</v>
      </c>
      <c r="K671" s="1" t="str">
        <f aca="false">IF(L671&gt;24,     IF(H671=2,"Couple Extended Day","Extended Day"), IF(L671&lt;=12,     IF(AND(MOD(D671,1)&gt;=TIME(6,0,0),MOD(D671,1)&lt;TIME(18,0,0)),         IF(H671=2,"Couple Half Day","12H Day"),         IF(H671=2,"Couple Half Night","12H Night")), IF(L671&lt;=24,     IF(AND(MOD(D671,1)&gt;=TIME(6,0,0),MOD(D671,1)&lt;TIME(18,0,0)),         IF(H671=2,"Couple Full Day","24H Day"),         IF(H671=2,"Couple Full Night","24H Night")), "Check Data")))</f>
        <v>12H Night</v>
      </c>
      <c r="L671" s="12" t="n">
        <f aca="false">((INT(E671)+MOD(F671,1))-(INT(C671)+MOD(D671,1)))*24</f>
        <v>4.99999999901047</v>
      </c>
      <c r="M671" s="1" t="n">
        <f aca="false">IFERROR(INDEX(Sheet3!$B$2:$B$500,MATCH(1,(INT(C671)+MOD(D671,1)&lt;INT(Sheet3!$A$2:$A$500)+TIME(18,0,0))*(INT(E671)+MOD(F671,1)&gt;=INT(Sheet3!$A$2:$A$500)),0)),0)</f>
        <v>0</v>
      </c>
      <c r="N671" s="1" t="n">
        <f aca="false">IF(OR( AND(Q671=6,D671&gt;=TIME(17,0,0),OR(K671="12H Night",K671="Couple Half Night",K671="24H Night",K671="Couple Full Night")), AND(Q671=7,D671&gt;=TIME(6,0,0),D671&lt;TIME(12,0,0),OR(K671="12H Day",K671="Couple Half Day",K671="24H Day",K671="Couple Full Day")) ),1,0)</f>
        <v>0</v>
      </c>
      <c r="O671" s="1" t="n">
        <f aca="false">IF(OR( AND(MONTH(C671)=12,DAY(C671)&gt;=26), AND(MONTH(C671)=4,DAY(C671)&gt;=15), MONTH(C671)=5, AND(MONTH(C671)=6,DAY(C671)&lt;=10) ),1,0)</f>
        <v>1</v>
      </c>
      <c r="P671" s="1" t="str">
        <f aca="false">IF(OR(MONTH(C671)=3,MONTH(C671)=4,MONTH(C671)=5,MONTH(C671)=6), "Summer", IF(OR(MONTH(C671)=7,MONTH(C671)=8,MONTH(C671)=9,MONTH(C671)=10), "Monsoon", "Winter"))</f>
        <v>Summer</v>
      </c>
      <c r="Q671" s="1" t="n">
        <f aca="false">WEEKDAY(C671,2)</f>
        <v>5</v>
      </c>
      <c r="R671" s="0" t="n">
        <f aca="false">ROUNDDOWN(((INT(C671)+MOD(D671,1))-(INT(I671)+MOD(J671,1))),0)</f>
        <v>0</v>
      </c>
      <c r="S671" s="10"/>
    </row>
    <row r="672" customFormat="false" ht="225.35" hidden="false" customHeight="false" outlineLevel="0" collapsed="false">
      <c r="A672" s="8" t="s">
        <v>1196</v>
      </c>
      <c r="B672" s="22" t="s">
        <v>1197</v>
      </c>
      <c r="C672" s="18" t="n">
        <v>46137.4166666667</v>
      </c>
      <c r="D672" s="19" t="n">
        <v>46137.4166666667</v>
      </c>
      <c r="E672" s="18" t="n">
        <v>46137.75</v>
      </c>
      <c r="F672" s="19" t="n">
        <v>46137.75</v>
      </c>
      <c r="G672" s="20" t="n">
        <v>4500</v>
      </c>
      <c r="H672" s="8" t="n">
        <v>2</v>
      </c>
      <c r="I672" s="10" t="n">
        <v>46134</v>
      </c>
      <c r="J672" s="11" t="n">
        <v>0.65525462962978</v>
      </c>
      <c r="K672" s="1" t="str">
        <f aca="false">IF(L672&gt;24,     IF(H672=2,"Couple Extended Day","Extended Day"), IF(L672&lt;=12,     IF(AND(MOD(D672,1)&gt;=TIME(6,0,0),MOD(D672,1)&lt;TIME(18,0,0)),         IF(H672=2,"Couple Half Day","12H Day"),         IF(H672=2,"Couple Half Night","12H Night")), IF(L672&lt;=24,     IF(AND(MOD(D672,1)&gt;=TIME(6,0,0),MOD(D672,1)&lt;TIME(18,0,0)),         IF(H672=2,"Couple Full Day","24H Day"),         IF(H672=2,"Couple Full Night","24H Night")), "Check Data")))</f>
        <v>Couple Half Day</v>
      </c>
      <c r="L672" s="12" t="n">
        <f aca="false">((INT(E672)+MOD(F672,1))-(INT(C672)+MOD(D672,1)))*24</f>
        <v>7.99999999901047</v>
      </c>
      <c r="M672" s="1" t="n">
        <f aca="false">IFERROR(INDEX(Sheet3!$B$2:$B$500,MATCH(1,(INT(C672)+MOD(D672,1)&lt;INT(Sheet3!$A$2:$A$500)+TIME(18,0,0))*(INT(E672)+MOD(F672,1)&gt;=INT(Sheet3!$A$2:$A$500)),0)),0)</f>
        <v>0</v>
      </c>
      <c r="N672" s="1" t="n">
        <f aca="false">IF(OR( AND(Q672=6,D672&gt;=TIME(17,0,0),OR(K672="12H Night",K672="Couple Half Night",K672="24H Night",K672="Couple Full Night")), AND(Q672=7,D672&gt;=TIME(6,0,0),D672&lt;TIME(12,0,0),OR(K672="12H Day",K672="Couple Half Day",K672="24H Day",K672="Couple Full Day")) ),1,0)</f>
        <v>0</v>
      </c>
      <c r="O672" s="1" t="n">
        <f aca="false">IF(OR( AND(MONTH(C672)=12,DAY(C672)&gt;=26), AND(MONTH(C672)=4,DAY(C672)&gt;=15), MONTH(C672)=5, AND(MONTH(C672)=6,DAY(C672)&lt;=10) ),1,0)</f>
        <v>1</v>
      </c>
      <c r="P672" s="1" t="str">
        <f aca="false">IF(OR(MONTH(C672)=3,MONTH(C672)=4,MONTH(C672)=5,MONTH(C672)=6), "Summer", IF(OR(MONTH(C672)=7,MONTH(C672)=8,MONTH(C672)=9,MONTH(C672)=10), "Monsoon", "Winter"))</f>
        <v>Summer</v>
      </c>
      <c r="Q672" s="1" t="n">
        <f aca="false">WEEKDAY(C672,2)</f>
        <v>6</v>
      </c>
      <c r="R672" s="0" t="n">
        <f aca="false">ROUNDDOWN(((INT(C672)+MOD(D672,1))-(INT(I672)+MOD(J672,1))),0)</f>
        <v>2</v>
      </c>
      <c r="S672" s="10"/>
    </row>
    <row r="673" customFormat="false" ht="133.3" hidden="false" customHeight="false" outlineLevel="0" collapsed="false">
      <c r="A673" s="8" t="s">
        <v>1198</v>
      </c>
      <c r="B673" s="22" t="s">
        <v>1199</v>
      </c>
      <c r="C673" s="18" t="n">
        <v>46137.7916666667</v>
      </c>
      <c r="D673" s="19" t="n">
        <v>46137.7916666667</v>
      </c>
      <c r="E673" s="18" t="n">
        <v>46138.75</v>
      </c>
      <c r="F673" s="19" t="n">
        <v>46138.75</v>
      </c>
      <c r="G673" s="20" t="n">
        <v>12000</v>
      </c>
      <c r="H673" s="8" t="n">
        <v>15</v>
      </c>
      <c r="I673" s="10" t="n">
        <v>46133</v>
      </c>
      <c r="J673" s="11" t="n">
        <v>0.923796296294317</v>
      </c>
      <c r="K673" s="1" t="str">
        <f aca="false">IF(L673&gt;24,     IF(H673=2,"Couple Extended Day","Extended Day"), IF(L673&lt;=12,     IF(AND(MOD(D673,1)&gt;=TIME(6,0,0),MOD(D673,1)&lt;TIME(18,0,0)),         IF(H673=2,"Couple Half Day","12H Day"),         IF(H673=2,"Couple Half Night","12H Night")), IF(L673&lt;=24,     IF(AND(MOD(D673,1)&gt;=TIME(6,0,0),MOD(D673,1)&lt;TIME(18,0,0)),         IF(H673=2,"Couple Full Day","24H Day"),         IF(H673=2,"Couple Full Night","24H Night")), "Check Data")))</f>
        <v>24H Night</v>
      </c>
      <c r="L673" s="12" t="n">
        <f aca="false">((INT(E673)+MOD(F673,1))-(INT(C673)+MOD(D673,1)))*24</f>
        <v>22.9999999990105</v>
      </c>
      <c r="M673" s="1" t="n">
        <f aca="false">IFERROR(INDEX(Sheet3!$B$2:$B$500,MATCH(1,(INT(C673)+MOD(D673,1)&lt;INT(Sheet3!$A$2:$A$500)+TIME(18,0,0))*(INT(E673)+MOD(F673,1)&gt;=INT(Sheet3!$A$2:$A$500)),0)),0)</f>
        <v>0</v>
      </c>
      <c r="N673" s="1" t="n">
        <f aca="false">IF(OR( AND(Q673=6,D673&gt;=TIME(17,0,0),OR(K673="12H Night",K673="Couple Half Night",K673="24H Night",K673="Couple Full Night")), AND(Q673=7,D673&gt;=TIME(6,0,0),D673&lt;TIME(12,0,0),OR(K673="12H Day",K673="Couple Half Day",K673="24H Day",K673="Couple Full Day")) ),1,0)</f>
        <v>1</v>
      </c>
      <c r="O673" s="1" t="n">
        <f aca="false">IF(OR( AND(MONTH(C673)=12,DAY(C673)&gt;=26), AND(MONTH(C673)=4,DAY(C673)&gt;=15), MONTH(C673)=5, AND(MONTH(C673)=6,DAY(C673)&lt;=10) ),1,0)</f>
        <v>1</v>
      </c>
      <c r="P673" s="1" t="str">
        <f aca="false">IF(OR(MONTH(C673)=3,MONTH(C673)=4,MONTH(C673)=5,MONTH(C673)=6), "Summer", IF(OR(MONTH(C673)=7,MONTH(C673)=8,MONTH(C673)=9,MONTH(C673)=10), "Monsoon", "Winter"))</f>
        <v>Summer</v>
      </c>
      <c r="Q673" s="1" t="n">
        <f aca="false">WEEKDAY(C673,2)</f>
        <v>6</v>
      </c>
      <c r="R673" s="0" t="n">
        <f aca="false">ROUNDDOWN(((INT(C673)+MOD(D673,1))-(INT(I673)+MOD(J673,1))),0)</f>
        <v>3</v>
      </c>
      <c r="S673" s="10"/>
    </row>
    <row r="674" customFormat="false" ht="146.45" hidden="false" customHeight="false" outlineLevel="0" collapsed="false">
      <c r="A674" s="8" t="s">
        <v>1200</v>
      </c>
      <c r="B674" s="22" t="s">
        <v>1201</v>
      </c>
      <c r="C674" s="18" t="n">
        <v>46138.875</v>
      </c>
      <c r="D674" s="19" t="n">
        <v>46138.875</v>
      </c>
      <c r="E674" s="18" t="n">
        <v>46138.9583333333</v>
      </c>
      <c r="F674" s="19" t="n">
        <v>0</v>
      </c>
      <c r="G674" s="20" t="n">
        <v>1000</v>
      </c>
      <c r="H674" s="8" t="n">
        <v>10</v>
      </c>
      <c r="I674" s="10" t="n">
        <v>46138</v>
      </c>
      <c r="J674" s="11" t="n">
        <v>0.843229166668611</v>
      </c>
      <c r="K674" s="1" t="str">
        <f aca="false">IF(L674&gt;24,     IF(H674=2,"Couple Extended Day","Extended Day"), IF(L674&lt;=12,     IF(AND(MOD(D674,1)&gt;=TIME(6,0,0),MOD(D674,1)&lt;TIME(18,0,0)),         IF(H674=2,"Couple Half Day","12H Day"),         IF(H674=2,"Couple Half Night","12H Night")), IF(L674&lt;=24,     IF(AND(MOD(D674,1)&gt;=TIME(6,0,0),MOD(D674,1)&lt;TIME(18,0,0)),         IF(H674=2,"Couple Full Day","24H Day"),         IF(H674=2,"Couple Full Night","24H Night")), "Check Data")))</f>
        <v>12H Night</v>
      </c>
      <c r="L674" s="12" t="n">
        <f aca="false">((INT(E674)+MOD(F674,1))-(INT(C674)+MOD(D674,1)))*24</f>
        <v>-21</v>
      </c>
      <c r="M674" s="1" t="n">
        <f aca="false">IFERROR(INDEX(Sheet3!$B$2:$B$500,MATCH(1,(INT(C674)+MOD(D674,1)&lt;INT(Sheet3!$A$2:$A$500)+TIME(18,0,0))*(INT(E674)+MOD(F674,1)&gt;=INT(Sheet3!$A$2:$A$500)),0)),0)</f>
        <v>0</v>
      </c>
      <c r="N674" s="1" t="n">
        <f aca="false">IF(OR( AND(Q674=6,D674&gt;=TIME(17,0,0),OR(K674="12H Night",K674="Couple Half Night",K674="24H Night",K674="Couple Full Night")), AND(Q674=7,D674&gt;=TIME(6,0,0),D674&lt;TIME(12,0,0),OR(K674="12H Day",K674="Couple Half Day",K674="24H Day",K674="Couple Full Day")) ),1,0)</f>
        <v>0</v>
      </c>
      <c r="O674" s="1" t="n">
        <f aca="false">IF(OR( AND(MONTH(C674)=12,DAY(C674)&gt;=26), AND(MONTH(C674)=4,DAY(C674)&gt;=15), MONTH(C674)=5, AND(MONTH(C674)=6,DAY(C674)&lt;=10) ),1,0)</f>
        <v>1</v>
      </c>
      <c r="P674" s="1" t="str">
        <f aca="false">IF(OR(MONTH(C674)=3,MONTH(C674)=4,MONTH(C674)=5,MONTH(C674)=6), "Summer", IF(OR(MONTH(C674)=7,MONTH(C674)=8,MONTH(C674)=9,MONTH(C674)=10), "Monsoon", "Winter"))</f>
        <v>Summer</v>
      </c>
      <c r="Q674" s="1" t="n">
        <f aca="false">WEEKDAY(C674,2)</f>
        <v>7</v>
      </c>
      <c r="R674" s="0" t="n">
        <f aca="false">ROUNDDOWN(((INT(C674)+MOD(D674,1))-(INT(I674)+MOD(J674,1))),0)</f>
        <v>0</v>
      </c>
      <c r="S674" s="10"/>
    </row>
    <row r="675" customFormat="false" ht="93.85" hidden="false" customHeight="false" outlineLevel="0" collapsed="false">
      <c r="A675" s="8" t="s">
        <v>1202</v>
      </c>
      <c r="B675" s="22" t="s">
        <v>1203</v>
      </c>
      <c r="C675" s="18" t="n">
        <v>46139.5833333333</v>
      </c>
      <c r="D675" s="19" t="n">
        <v>0</v>
      </c>
      <c r="E675" s="18" t="n">
        <v>46139.75</v>
      </c>
      <c r="F675" s="19" t="n">
        <v>46139.75</v>
      </c>
      <c r="G675" s="20" t="n">
        <v>2000</v>
      </c>
      <c r="H675" s="8" t="n">
        <v>2</v>
      </c>
      <c r="I675" s="10" t="n">
        <v>46139</v>
      </c>
      <c r="J675" s="11" t="n">
        <v>0.554918981477384</v>
      </c>
      <c r="K675" s="1" t="str">
        <f aca="false">IF(L675&gt;24,     IF(H675=2,"Couple Extended Day","Extended Day"), IF(L675&lt;=12,     IF(AND(MOD(D675,1)&gt;=TIME(6,0,0),MOD(D675,1)&lt;TIME(18,0,0)),         IF(H675=2,"Couple Half Day","12H Day"),         IF(H675=2,"Couple Half Night","12H Night")), IF(L675&lt;=24,     IF(AND(MOD(D675,1)&gt;=TIME(6,0,0),MOD(D675,1)&lt;TIME(18,0,0)),         IF(H675=2,"Couple Full Day","24H Day"),         IF(H675=2,"Couple Full Night","24H Night")), "Check Data")))</f>
        <v>Couple Full Night</v>
      </c>
      <c r="L675" s="12" t="n">
        <f aca="false">((INT(E675)+MOD(F675,1))-(INT(C675)+MOD(D675,1)))*24</f>
        <v>18</v>
      </c>
      <c r="M675" s="1" t="n">
        <f aca="false">IFERROR(INDEX(Sheet3!$B$2:$B$500,MATCH(1,(INT(C675)+MOD(D675,1)&lt;INT(Sheet3!$A$2:$A$500)+TIME(18,0,0))*(INT(E675)+MOD(F675,1)&gt;=INT(Sheet3!$A$2:$A$500)),0)),0)</f>
        <v>0</v>
      </c>
      <c r="N675" s="1" t="n">
        <f aca="false">IF(OR( AND(Q675=6,D675&gt;=TIME(17,0,0),OR(K675="12H Night",K675="Couple Half Night",K675="24H Night",K675="Couple Full Night")), AND(Q675=7,D675&gt;=TIME(6,0,0),D675&lt;TIME(12,0,0),OR(K675="12H Day",K675="Couple Half Day",K675="24H Day",K675="Couple Full Day")) ),1,0)</f>
        <v>0</v>
      </c>
      <c r="O675" s="1" t="n">
        <f aca="false">IF(OR( AND(MONTH(C675)=12,DAY(C675)&gt;=26), AND(MONTH(C675)=4,DAY(C675)&gt;=15), MONTH(C675)=5, AND(MONTH(C675)=6,DAY(C675)&lt;=10) ),1,0)</f>
        <v>1</v>
      </c>
      <c r="P675" s="1" t="str">
        <f aca="false">IF(OR(MONTH(C675)=3,MONTH(C675)=4,MONTH(C675)=5,MONTH(C675)=6), "Summer", IF(OR(MONTH(C675)=7,MONTH(C675)=8,MONTH(C675)=9,MONTH(C675)=10), "Monsoon", "Winter"))</f>
        <v>Summer</v>
      </c>
      <c r="Q675" s="1" t="n">
        <f aca="false">WEEKDAY(C675,2)</f>
        <v>1</v>
      </c>
      <c r="R675" s="0" t="n">
        <f aca="false">ROUNDDOWN(((INT(C675)+MOD(D675,1))-(INT(I675)+MOD(J675,1))),0)</f>
        <v>-0</v>
      </c>
      <c r="S675" s="10"/>
    </row>
    <row r="676" customFormat="false" ht="120.15" hidden="false" customHeight="false" outlineLevel="0" collapsed="false">
      <c r="A676" s="8" t="s">
        <v>1204</v>
      </c>
      <c r="B676" s="22" t="s">
        <v>1205</v>
      </c>
      <c r="C676" s="18" t="n">
        <v>46139.8333333333</v>
      </c>
      <c r="D676" s="19" t="n">
        <v>0</v>
      </c>
      <c r="E676" s="18" t="n">
        <v>46140.75</v>
      </c>
      <c r="F676" s="19" t="n">
        <v>46140.75</v>
      </c>
      <c r="G676" s="20" t="n">
        <v>4500</v>
      </c>
      <c r="H676" s="8" t="n">
        <v>12</v>
      </c>
      <c r="I676" s="10" t="n">
        <v>46139</v>
      </c>
      <c r="J676" s="11" t="n">
        <v>0.829131944439722</v>
      </c>
      <c r="K676" s="1" t="str">
        <f aca="false">IF(L676&gt;24,     IF(H676=2,"Couple Extended Day","Extended Day"), IF(L676&lt;=12,     IF(AND(MOD(D676,1)&gt;=TIME(6,0,0),MOD(D676,1)&lt;TIME(18,0,0)),         IF(H676=2,"Couple Half Day","12H Day"),         IF(H676=2,"Couple Half Night","12H Night")), IF(L676&lt;=24,     IF(AND(MOD(D676,1)&gt;=TIME(6,0,0),MOD(D676,1)&lt;TIME(18,0,0)),         IF(H676=2,"Couple Full Day","24H Day"),         IF(H676=2,"Couple Full Night","24H Night")), "Check Data")))</f>
        <v>Extended Day</v>
      </c>
      <c r="L676" s="12" t="n">
        <f aca="false">((INT(E676)+MOD(F676,1))-(INT(C676)+MOD(D676,1)))*24</f>
        <v>42</v>
      </c>
      <c r="M676" s="1" t="n">
        <f aca="false">IFERROR(INDEX(Sheet3!$B$2:$B$500,MATCH(1,(INT(C676)+MOD(D676,1)&lt;INT(Sheet3!$A$2:$A$500)+TIME(18,0,0))*(INT(E676)+MOD(F676,1)&gt;=INT(Sheet3!$A$2:$A$500)),0)),0)</f>
        <v>0</v>
      </c>
      <c r="N676" s="1" t="n">
        <f aca="false">IF(OR( AND(Q676=6,D676&gt;=TIME(17,0,0),OR(K676="12H Night",K676="Couple Half Night",K676="24H Night",K676="Couple Full Night")), AND(Q676=7,D676&gt;=TIME(6,0,0),D676&lt;TIME(12,0,0),OR(K676="12H Day",K676="Couple Half Day",K676="24H Day",K676="Couple Full Day")) ),1,0)</f>
        <v>0</v>
      </c>
      <c r="O676" s="1" t="n">
        <f aca="false">IF(OR( AND(MONTH(C676)=12,DAY(C676)&gt;=26), AND(MONTH(C676)=4,DAY(C676)&gt;=15), MONTH(C676)=5, AND(MONTH(C676)=6,DAY(C676)&lt;=10) ),1,0)</f>
        <v>1</v>
      </c>
      <c r="P676" s="1" t="str">
        <f aca="false">IF(OR(MONTH(C676)=3,MONTH(C676)=4,MONTH(C676)=5,MONTH(C676)=6), "Summer", IF(OR(MONTH(C676)=7,MONTH(C676)=8,MONTH(C676)=9,MONTH(C676)=10), "Monsoon", "Winter"))</f>
        <v>Summer</v>
      </c>
      <c r="Q676" s="1" t="n">
        <f aca="false">WEEKDAY(C676,2)</f>
        <v>1</v>
      </c>
      <c r="R676" s="0" t="n">
        <f aca="false">ROUNDDOWN(((INT(C676)+MOD(D676,1))-(INT(I676)+MOD(J676,1))),0)</f>
        <v>-0</v>
      </c>
      <c r="S676" s="10"/>
    </row>
    <row r="677" customFormat="false" ht="192.95" hidden="false" customHeight="false" outlineLevel="0" collapsed="false">
      <c r="A677" s="8" t="s">
        <v>1206</v>
      </c>
      <c r="B677" s="22" t="s">
        <v>1207</v>
      </c>
      <c r="C677" s="18" t="n">
        <v>46140.7916666667</v>
      </c>
      <c r="D677" s="19" t="n">
        <v>46140.7916666667</v>
      </c>
      <c r="E677" s="18" t="n">
        <v>46141.75</v>
      </c>
      <c r="F677" s="19" t="n">
        <v>46141.75</v>
      </c>
      <c r="G677" s="20" t="n">
        <v>5500</v>
      </c>
      <c r="H677" s="8" t="n">
        <v>12</v>
      </c>
      <c r="I677" s="10" t="n">
        <v>46139</v>
      </c>
      <c r="J677" s="11" t="n">
        <v>0.877476851848773</v>
      </c>
      <c r="K677" s="1" t="str">
        <f aca="false">IF(L677&gt;24,     IF(H677=2,"Couple Extended Day","Extended Day"), IF(L677&lt;=12,     IF(AND(MOD(D677,1)&gt;=TIME(6,0,0),MOD(D677,1)&lt;TIME(18,0,0)),         IF(H677=2,"Couple Half Day","12H Day"),         IF(H677=2,"Couple Half Night","12H Night")), IF(L677&lt;=24,     IF(AND(MOD(D677,1)&gt;=TIME(6,0,0),MOD(D677,1)&lt;TIME(18,0,0)),         IF(H677=2,"Couple Full Day","24H Day"),         IF(H677=2,"Couple Full Night","24H Night")), "Check Data")))</f>
        <v>24H Night</v>
      </c>
      <c r="L677" s="12" t="n">
        <f aca="false">((INT(E677)+MOD(F677,1))-(INT(C677)+MOD(D677,1)))*24</f>
        <v>22.9999999990105</v>
      </c>
      <c r="M677" s="1" t="n">
        <f aca="false">IFERROR(INDEX(Sheet3!$B$2:$B$500,MATCH(1,(INT(C677)+MOD(D677,1)&lt;INT(Sheet3!$A$2:$A$500)+TIME(18,0,0))*(INT(E677)+MOD(F677,1)&gt;=INT(Sheet3!$A$2:$A$500)),0)),0)</f>
        <v>0</v>
      </c>
      <c r="N677" s="1" t="n">
        <f aca="false">IF(OR( AND(Q677=6,D677&gt;=TIME(17,0,0),OR(K677="12H Night",K677="Couple Half Night",K677="24H Night",K677="Couple Full Night")), AND(Q677=7,D677&gt;=TIME(6,0,0),D677&lt;TIME(12,0,0),OR(K677="12H Day",K677="Couple Half Day",K677="24H Day",K677="Couple Full Day")) ),1,0)</f>
        <v>0</v>
      </c>
      <c r="O677" s="1" t="n">
        <f aca="false">IF(OR( AND(MONTH(C677)=12,DAY(C677)&gt;=26), AND(MONTH(C677)=4,DAY(C677)&gt;=15), MONTH(C677)=5, AND(MONTH(C677)=6,DAY(C677)&lt;=10) ),1,0)</f>
        <v>1</v>
      </c>
      <c r="P677" s="1" t="str">
        <f aca="false">IF(OR(MONTH(C677)=3,MONTH(C677)=4,MONTH(C677)=5,MONTH(C677)=6), "Summer", IF(OR(MONTH(C677)=7,MONTH(C677)=8,MONTH(C677)=9,MONTH(C677)=10), "Monsoon", "Winter"))</f>
        <v>Summer</v>
      </c>
      <c r="Q677" s="1" t="n">
        <f aca="false">WEEKDAY(C677,2)</f>
        <v>2</v>
      </c>
      <c r="R677" s="0" t="n">
        <f aca="false">ROUNDDOWN(((INT(C677)+MOD(D677,1))-(INT(I677)+MOD(J677,1))),0)</f>
        <v>0</v>
      </c>
      <c r="S677" s="10"/>
    </row>
    <row r="678" customFormat="false" ht="192.95" hidden="false" customHeight="false" outlineLevel="0" collapsed="false">
      <c r="A678" s="8" t="s">
        <v>1208</v>
      </c>
      <c r="B678" s="22" t="s">
        <v>1209</v>
      </c>
      <c r="C678" s="18" t="n">
        <v>46142.7916666667</v>
      </c>
      <c r="D678" s="19" t="n">
        <v>46142.7916666667</v>
      </c>
      <c r="E678" s="18" t="n">
        <v>46143.75</v>
      </c>
      <c r="F678" s="19" t="n">
        <v>46143.75</v>
      </c>
      <c r="G678" s="20" t="n">
        <v>5000</v>
      </c>
      <c r="H678" s="8" t="n">
        <v>10</v>
      </c>
      <c r="I678" s="10" t="n">
        <v>46141</v>
      </c>
      <c r="J678" s="11" t="n">
        <v>0.812546296292569</v>
      </c>
      <c r="K678" s="1" t="str">
        <f aca="false">IF(L678&gt;24,     IF(H678=2,"Couple Extended Day","Extended Day"), IF(L678&lt;=12,     IF(AND(MOD(D678,1)&gt;=TIME(6,0,0),MOD(D678,1)&lt;TIME(18,0,0)),         IF(H678=2,"Couple Half Day","12H Day"),         IF(H678=2,"Couple Half Night","12H Night")), IF(L678&lt;=24,     IF(AND(MOD(D678,1)&gt;=TIME(6,0,0),MOD(D678,1)&lt;TIME(18,0,0)),         IF(H678=2,"Couple Full Day","24H Day"),         IF(H678=2,"Couple Full Night","24H Night")), "Check Data")))</f>
        <v>24H Night</v>
      </c>
      <c r="L678" s="12" t="n">
        <f aca="false">((INT(E678)+MOD(F678,1))-(INT(C678)+MOD(D678,1)))*24</f>
        <v>22.9999999990105</v>
      </c>
      <c r="M678" s="1" t="n">
        <f aca="false">IFERROR(INDEX(Sheet3!$B$2:$B$500,MATCH(1,(INT(C678)+MOD(D678,1)&lt;INT(Sheet3!$A$2:$A$500)+TIME(18,0,0))*(INT(E678)+MOD(F678,1)&gt;=INT(Sheet3!$A$2:$A$500)),0)),0)</f>
        <v>0</v>
      </c>
      <c r="N678" s="1" t="n">
        <f aca="false">IF(OR( AND(Q678=6,D678&gt;=TIME(17,0,0),OR(K678="12H Night",K678="Couple Half Night",K678="24H Night",K678="Couple Full Night")), AND(Q678=7,D678&gt;=TIME(6,0,0),D678&lt;TIME(12,0,0),OR(K678="12H Day",K678="Couple Half Day",K678="24H Day",K678="Couple Full Day")) ),1,0)</f>
        <v>0</v>
      </c>
      <c r="O678" s="1" t="n">
        <f aca="false">IF(OR( AND(MONTH(C678)=12,DAY(C678)&gt;=26), AND(MONTH(C678)=4,DAY(C678)&gt;=15), MONTH(C678)=5, AND(MONTH(C678)=6,DAY(C678)&lt;=10) ),1,0)</f>
        <v>1</v>
      </c>
      <c r="P678" s="1" t="str">
        <f aca="false">IF(OR(MONTH(C678)=3,MONTH(C678)=4,MONTH(C678)=5,MONTH(C678)=6), "Summer", IF(OR(MONTH(C678)=7,MONTH(C678)=8,MONTH(C678)=9,MONTH(C678)=10), "Monsoon", "Winter"))</f>
        <v>Summer</v>
      </c>
      <c r="Q678" s="1" t="n">
        <f aca="false">WEEKDAY(C678,2)</f>
        <v>4</v>
      </c>
      <c r="R678" s="0" t="n">
        <f aca="false">ROUNDDOWN(((INT(C678)+MOD(D678,1))-(INT(I678)+MOD(J678,1))),0)</f>
        <v>0</v>
      </c>
      <c r="S678" s="10"/>
    </row>
    <row r="679" customFormat="false" ht="159.6" hidden="false" customHeight="false" outlineLevel="0" collapsed="false">
      <c r="A679" s="8" t="s">
        <v>1185</v>
      </c>
      <c r="B679" s="22" t="s">
        <v>1210</v>
      </c>
      <c r="C679" s="18" t="n">
        <v>46143.7916666667</v>
      </c>
      <c r="D679" s="19" t="n">
        <v>46143.7916666667</v>
      </c>
      <c r="E679" s="18" t="n">
        <v>46144.75</v>
      </c>
      <c r="F679" s="19" t="n">
        <v>46144.75</v>
      </c>
      <c r="G679" s="20" t="n">
        <v>4500</v>
      </c>
      <c r="H679" s="8" t="n">
        <v>10</v>
      </c>
      <c r="I679" s="10" t="n">
        <v>46143</v>
      </c>
      <c r="J679" s="11" t="n">
        <v>0.762627314819838</v>
      </c>
      <c r="K679" s="1" t="str">
        <f aca="false">IF(L679&gt;24,     IF(H679=2,"Couple Extended Day","Extended Day"), IF(L679&lt;=12,     IF(AND(MOD(D679,1)&gt;=TIME(6,0,0),MOD(D679,1)&lt;TIME(18,0,0)),         IF(H679=2,"Couple Half Day","12H Day"),         IF(H679=2,"Couple Half Night","12H Night")), IF(L679&lt;=24,     IF(AND(MOD(D679,1)&gt;=TIME(6,0,0),MOD(D679,1)&lt;TIME(18,0,0)),         IF(H679=2,"Couple Full Day","24H Day"),         IF(H679=2,"Couple Full Night","24H Night")), "Check Data")))</f>
        <v>24H Night</v>
      </c>
      <c r="L679" s="12" t="n">
        <f aca="false">((INT(E679)+MOD(F679,1))-(INT(C679)+MOD(D679,1)))*24</f>
        <v>22.9999999990105</v>
      </c>
      <c r="M679" s="1" t="n">
        <f aca="false">IFERROR(INDEX(Sheet3!$B$2:$B$500,MATCH(1,(INT(C679)+MOD(D679,1)&lt;INT(Sheet3!$A$2:$A$500)+TIME(18,0,0))*(INT(E679)+MOD(F679,1)&gt;=INT(Sheet3!$A$2:$A$500)),0)),0)</f>
        <v>0</v>
      </c>
      <c r="N679" s="1" t="n">
        <f aca="false">IF(OR( AND(Q679=6,D679&gt;=TIME(17,0,0),OR(K679="12H Night",K679="Couple Half Night",K679="24H Night",K679="Couple Full Night")), AND(Q679=7,D679&gt;=TIME(6,0,0),D679&lt;TIME(12,0,0),OR(K679="12H Day",K679="Couple Half Day",K679="24H Day",K679="Couple Full Day")) ),1,0)</f>
        <v>0</v>
      </c>
      <c r="O679" s="1" t="n">
        <f aca="false">IF(OR( AND(MONTH(C679)=12,DAY(C679)&gt;=26), AND(MONTH(C679)=4,DAY(C679)&gt;=15), MONTH(C679)=5, AND(MONTH(C679)=6,DAY(C679)&lt;=10) ),1,0)</f>
        <v>1</v>
      </c>
      <c r="P679" s="1" t="str">
        <f aca="false">IF(OR(MONTH(C679)=3,MONTH(C679)=4,MONTH(C679)=5,MONTH(C679)=6), "Summer", IF(OR(MONTH(C679)=7,MONTH(C679)=8,MONTH(C679)=9,MONTH(C679)=10), "Monsoon", "Winter"))</f>
        <v>Summer</v>
      </c>
      <c r="Q679" s="1" t="n">
        <f aca="false">WEEKDAY(C679,2)</f>
        <v>5</v>
      </c>
      <c r="R679" s="0" t="n">
        <f aca="false">ROUNDDOWN(((INT(C679)+MOD(D679,1))-(INT(I679)+MOD(J679,1))),0)</f>
        <v>0</v>
      </c>
      <c r="S679" s="10"/>
    </row>
    <row r="680" customFormat="false" ht="212.2" hidden="false" customHeight="false" outlineLevel="0" collapsed="false">
      <c r="A680" s="8" t="s">
        <v>1211</v>
      </c>
      <c r="B680" s="22" t="s">
        <v>1212</v>
      </c>
      <c r="C680" s="18" t="n">
        <v>46144.7916666667</v>
      </c>
      <c r="D680" s="19" t="n">
        <v>46144.7916666667</v>
      </c>
      <c r="E680" s="18" t="n">
        <v>46145.75</v>
      </c>
      <c r="F680" s="19" t="n">
        <v>46145.75</v>
      </c>
      <c r="G680" s="20" t="n">
        <v>13500</v>
      </c>
      <c r="H680" s="8" t="n">
        <v>15</v>
      </c>
      <c r="I680" s="10" t="n">
        <v>46141</v>
      </c>
      <c r="J680" s="11" t="n">
        <v>0.599907407406134</v>
      </c>
      <c r="K680" s="1" t="str">
        <f aca="false">IF(L680&gt;24,     IF(H680=2,"Couple Extended Day","Extended Day"), IF(L680&lt;=12,     IF(AND(MOD(D680,1)&gt;=TIME(6,0,0),MOD(D680,1)&lt;TIME(18,0,0)),         IF(H680=2,"Couple Half Day","12H Day"),         IF(H680=2,"Couple Half Night","12H Night")), IF(L680&lt;=24,     IF(AND(MOD(D680,1)&gt;=TIME(6,0,0),MOD(D680,1)&lt;TIME(18,0,0)),         IF(H680=2,"Couple Full Day","24H Day"),         IF(H680=2,"Couple Full Night","24H Night")), "Check Data")))</f>
        <v>24H Night</v>
      </c>
      <c r="L680" s="12" t="n">
        <f aca="false">((INT(E680)+MOD(F680,1))-(INT(C680)+MOD(D680,1)))*24</f>
        <v>22.9999999990105</v>
      </c>
      <c r="M680" s="1" t="n">
        <f aca="false">IFERROR(INDEX(Sheet3!$B$2:$B$500,MATCH(1,(INT(C680)+MOD(D680,1)&lt;INT(Sheet3!$A$2:$A$500)+TIME(18,0,0))*(INT(E680)+MOD(F680,1)&gt;=INT(Sheet3!$A$2:$A$500)),0)),0)</f>
        <v>0</v>
      </c>
      <c r="N680" s="1" t="n">
        <f aca="false">IF(OR( AND(Q680=6,D680&gt;=TIME(17,0,0),OR(K680="12H Night",K680="Couple Half Night",K680="24H Night",K680="Couple Full Night")), AND(Q680=7,D680&gt;=TIME(6,0,0),D680&lt;TIME(12,0,0),OR(K680="12H Day",K680="Couple Half Day",K680="24H Day",K680="Couple Full Day")) ),1,0)</f>
        <v>1</v>
      </c>
      <c r="O680" s="1" t="n">
        <f aca="false">IF(OR( AND(MONTH(C680)=12,DAY(C680)&gt;=26), AND(MONTH(C680)=4,DAY(C680)&gt;=15), MONTH(C680)=5, AND(MONTH(C680)=6,DAY(C680)&lt;=10) ),1,0)</f>
        <v>1</v>
      </c>
      <c r="P680" s="1" t="str">
        <f aca="false">IF(OR(MONTH(C680)=3,MONTH(C680)=4,MONTH(C680)=5,MONTH(C680)=6), "Summer", IF(OR(MONTH(C680)=7,MONTH(C680)=8,MONTH(C680)=9,MONTH(C680)=10), "Monsoon", "Winter"))</f>
        <v>Summer</v>
      </c>
      <c r="Q680" s="1" t="n">
        <f aca="false">WEEKDAY(C680,2)</f>
        <v>6</v>
      </c>
      <c r="R680" s="0" t="n">
        <f aca="false">ROUNDDOWN(((INT(C680)+MOD(D680,1))-(INT(I680)+MOD(J680,1))),0)</f>
        <v>3</v>
      </c>
      <c r="S680" s="10"/>
    </row>
    <row r="681" customFormat="false" ht="120.15" hidden="false" customHeight="false" outlineLevel="0" collapsed="false">
      <c r="A681" s="8" t="s">
        <v>1213</v>
      </c>
      <c r="B681" s="22" t="s">
        <v>1214</v>
      </c>
      <c r="C681" s="18" t="n">
        <v>46146.375</v>
      </c>
      <c r="D681" s="19" t="n">
        <v>46146.375</v>
      </c>
      <c r="E681" s="18" t="n">
        <v>46146.75</v>
      </c>
      <c r="F681" s="19" t="n">
        <v>46146.75</v>
      </c>
      <c r="G681" s="20" t="n">
        <v>3500</v>
      </c>
      <c r="H681" s="8" t="n">
        <v>18</v>
      </c>
      <c r="I681" s="10" t="n">
        <v>46143</v>
      </c>
      <c r="J681" s="11" t="n">
        <v>0.691712962958264</v>
      </c>
      <c r="K681" s="1" t="str">
        <f aca="false">IF(L681&gt;24,     IF(H681=2,"Couple Extended Day","Extended Day"), IF(L681&lt;=12,     IF(AND(MOD(D681,1)&gt;=TIME(6,0,0),MOD(D681,1)&lt;TIME(18,0,0)),         IF(H681=2,"Couple Half Day","12H Day"),         IF(H681=2,"Couple Half Night","12H Night")), IF(L681&lt;=24,     IF(AND(MOD(D681,1)&gt;=TIME(6,0,0),MOD(D681,1)&lt;TIME(18,0,0)),         IF(H681=2,"Couple Full Day","24H Day"),         IF(H681=2,"Couple Full Night","24H Night")), "Check Data")))</f>
        <v>12H Day</v>
      </c>
      <c r="L681" s="12" t="n">
        <f aca="false">((INT(E681)+MOD(F681,1))-(INT(C681)+MOD(D681,1)))*24</f>
        <v>9</v>
      </c>
      <c r="M681" s="1" t="n">
        <f aca="false">IFERROR(INDEX(Sheet3!$B$2:$B$500,MATCH(1,(INT(C681)+MOD(D681,1)&lt;INT(Sheet3!$A$2:$A$500)+TIME(18,0,0))*(INT(E681)+MOD(F681,1)&gt;=INT(Sheet3!$A$2:$A$500)),0)),0)</f>
        <v>0</v>
      </c>
      <c r="N681" s="1" t="n">
        <f aca="false">IF(OR( AND(Q681=6,D681&gt;=TIME(17,0,0),OR(K681="12H Night",K681="Couple Half Night",K681="24H Night",K681="Couple Full Night")), AND(Q681=7,D681&gt;=TIME(6,0,0),D681&lt;TIME(12,0,0),OR(K681="12H Day",K681="Couple Half Day",K681="24H Day",K681="Couple Full Day")) ),1,0)</f>
        <v>0</v>
      </c>
      <c r="O681" s="1" t="n">
        <f aca="false">IF(OR( AND(MONTH(C681)=12,DAY(C681)&gt;=26), AND(MONTH(C681)=4,DAY(C681)&gt;=15), MONTH(C681)=5, AND(MONTH(C681)=6,DAY(C681)&lt;=10) ),1,0)</f>
        <v>1</v>
      </c>
      <c r="P681" s="1" t="str">
        <f aca="false">IF(OR(MONTH(C681)=3,MONTH(C681)=4,MONTH(C681)=5,MONTH(C681)=6), "Summer", IF(OR(MONTH(C681)=7,MONTH(C681)=8,MONTH(C681)=9,MONTH(C681)=10), "Monsoon", "Winter"))</f>
        <v>Summer</v>
      </c>
      <c r="Q681" s="1" t="n">
        <f aca="false">WEEKDAY(C681,2)</f>
        <v>1</v>
      </c>
      <c r="R681" s="0" t="n">
        <f aca="false">ROUNDDOWN(((INT(C681)+MOD(D681,1))-(INT(I681)+MOD(J681,1))),0)</f>
        <v>2</v>
      </c>
      <c r="S681" s="10"/>
    </row>
    <row r="682" customFormat="false" ht="212.2" hidden="false" customHeight="false" outlineLevel="0" collapsed="false">
      <c r="A682" s="8" t="s">
        <v>1215</v>
      </c>
      <c r="B682" s="22" t="s">
        <v>1216</v>
      </c>
      <c r="C682" s="18" t="n">
        <v>46147.375</v>
      </c>
      <c r="D682" s="19" t="n">
        <v>46147.375</v>
      </c>
      <c r="E682" s="18" t="n">
        <v>46147.75</v>
      </c>
      <c r="F682" s="19" t="n">
        <v>46147.75</v>
      </c>
      <c r="G682" s="20" t="n">
        <v>5500</v>
      </c>
      <c r="H682" s="8" t="n">
        <v>2</v>
      </c>
      <c r="I682" s="10" t="n">
        <v>46146</v>
      </c>
      <c r="J682" s="11" t="n">
        <v>0.869270833332847</v>
      </c>
      <c r="K682" s="1" t="str">
        <f aca="false">IF(L682&gt;24,     IF(H682=2,"Couple Extended Day","Extended Day"), IF(L682&lt;=12,     IF(AND(MOD(D682,1)&gt;=TIME(6,0,0),MOD(D682,1)&lt;TIME(18,0,0)),         IF(H682=2,"Couple Half Day","12H Day"),         IF(H682=2,"Couple Half Night","12H Night")), IF(L682&lt;=24,     IF(AND(MOD(D682,1)&gt;=TIME(6,0,0),MOD(D682,1)&lt;TIME(18,0,0)),         IF(H682=2,"Couple Full Day","24H Day"),         IF(H682=2,"Couple Full Night","24H Night")), "Check Data")))</f>
        <v>Couple Half Day</v>
      </c>
      <c r="L682" s="12" t="n">
        <f aca="false">((INT(E682)+MOD(F682,1))-(INT(C682)+MOD(D682,1)))*24</f>
        <v>9</v>
      </c>
      <c r="M682" s="1" t="n">
        <f aca="false">IFERROR(INDEX(Sheet3!$B$2:$B$500,MATCH(1,(INT(C682)+MOD(D682,1)&lt;INT(Sheet3!$A$2:$A$500)+TIME(18,0,0))*(INT(E682)+MOD(F682,1)&gt;=INT(Sheet3!$A$2:$A$500)),0)),0)</f>
        <v>0</v>
      </c>
      <c r="N682" s="1" t="n">
        <f aca="false">IF(OR( AND(Q682=6,D682&gt;=TIME(17,0,0),OR(K682="12H Night",K682="Couple Half Night",K682="24H Night",K682="Couple Full Night")), AND(Q682=7,D682&gt;=TIME(6,0,0),D682&lt;TIME(12,0,0),OR(K682="12H Day",K682="Couple Half Day",K682="24H Day",K682="Couple Full Day")) ),1,0)</f>
        <v>0</v>
      </c>
      <c r="O682" s="1" t="n">
        <f aca="false">IF(OR( AND(MONTH(C682)=12,DAY(C682)&gt;=26), AND(MONTH(C682)=4,DAY(C682)&gt;=15), MONTH(C682)=5, AND(MONTH(C682)=6,DAY(C682)&lt;=10) ),1,0)</f>
        <v>1</v>
      </c>
      <c r="P682" s="1" t="str">
        <f aca="false">IF(OR(MONTH(C682)=3,MONTH(C682)=4,MONTH(C682)=5,MONTH(C682)=6), "Summer", IF(OR(MONTH(C682)=7,MONTH(C682)=8,MONTH(C682)=9,MONTH(C682)=10), "Monsoon", "Winter"))</f>
        <v>Summer</v>
      </c>
      <c r="Q682" s="1" t="n">
        <f aca="false">WEEKDAY(C682,2)</f>
        <v>2</v>
      </c>
      <c r="R682" s="0" t="n">
        <f aca="false">ROUNDDOWN(((INT(C682)+MOD(D682,1))-(INT(I682)+MOD(J682,1))),0)</f>
        <v>0</v>
      </c>
      <c r="S682" s="10"/>
    </row>
    <row r="683" customFormat="false" ht="133.05" hidden="false" customHeight="false" outlineLevel="0" collapsed="false">
      <c r="A683" s="8" t="s">
        <v>1217</v>
      </c>
      <c r="B683" s="22" t="s">
        <v>1218</v>
      </c>
      <c r="C683" s="18" t="n">
        <v>46147.7916666667</v>
      </c>
      <c r="D683" s="19" t="n">
        <v>46147.7916666667</v>
      </c>
      <c r="E683" s="18" t="n">
        <v>46148.75</v>
      </c>
      <c r="F683" s="19" t="n">
        <v>46148.75</v>
      </c>
      <c r="G683" s="20" t="n">
        <v>5000</v>
      </c>
      <c r="H683" s="8" t="n">
        <v>6</v>
      </c>
      <c r="I683" s="10" t="n">
        <v>46144</v>
      </c>
      <c r="J683" s="11" t="n">
        <v>0.591666666667153</v>
      </c>
      <c r="K683" s="1" t="str">
        <f aca="false">IF(L683&gt;24,     IF(H683=2,"Couple Extended Day","Extended Day"), IF(L683&lt;=12,     IF(AND(MOD(D683,1)&gt;=TIME(6,0,0),MOD(D683,1)&lt;TIME(18,0,0)),         IF(H683=2,"Couple Half Day","12H Day"),         IF(H683=2,"Couple Half Night","12H Night")), IF(L683&lt;=24,     IF(AND(MOD(D683,1)&gt;=TIME(6,0,0),MOD(D683,1)&lt;TIME(18,0,0)),         IF(H683=2,"Couple Full Day","24H Day"),         IF(H683=2,"Couple Full Night","24H Night")), "Check Data")))</f>
        <v>24H Night</v>
      </c>
      <c r="L683" s="12" t="n">
        <f aca="false">((INT(E683)+MOD(F683,1))-(INT(C683)+MOD(D683,1)))*24</f>
        <v>22.9999999990105</v>
      </c>
      <c r="M683" s="1" t="n">
        <f aca="false">IFERROR(INDEX(Sheet3!$B$2:$B$500,MATCH(1,(INT(C683)+MOD(D683,1)&lt;INT(Sheet3!$A$2:$A$500)+TIME(18,0,0))*(INT(E683)+MOD(F683,1)&gt;=INT(Sheet3!$A$2:$A$500)),0)),0)</f>
        <v>0</v>
      </c>
      <c r="N683" s="1" t="n">
        <f aca="false">IF(OR( AND(Q683=6,D683&gt;=TIME(17,0,0),OR(K683="12H Night",K683="Couple Half Night",K683="24H Night",K683="Couple Full Night")), AND(Q683=7,D683&gt;=TIME(6,0,0),D683&lt;TIME(12,0,0),OR(K683="12H Day",K683="Couple Half Day",K683="24H Day",K683="Couple Full Day")) ),1,0)</f>
        <v>0</v>
      </c>
      <c r="O683" s="1" t="n">
        <f aca="false">IF(OR( AND(MONTH(C683)=12,DAY(C683)&gt;=26), AND(MONTH(C683)=4,DAY(C683)&gt;=15), MONTH(C683)=5, AND(MONTH(C683)=6,DAY(C683)&lt;=10) ),1,0)</f>
        <v>1</v>
      </c>
      <c r="P683" s="1" t="str">
        <f aca="false">IF(OR(MONTH(C683)=3,MONTH(C683)=4,MONTH(C683)=5,MONTH(C683)=6), "Summer", IF(OR(MONTH(C683)=7,MONTH(C683)=8,MONTH(C683)=9,MONTH(C683)=10), "Monsoon", "Winter"))</f>
        <v>Summer</v>
      </c>
      <c r="Q683" s="1" t="n">
        <f aca="false">WEEKDAY(C683,2)</f>
        <v>2</v>
      </c>
      <c r="R683" s="0" t="n">
        <f aca="false">ROUNDDOWN(((INT(C683)+MOD(D683,1))-(INT(I683)+MOD(J683,1))),0)</f>
        <v>3</v>
      </c>
      <c r="S683" s="10"/>
    </row>
    <row r="684" customFormat="false" ht="133.05" hidden="false" customHeight="false" outlineLevel="0" collapsed="false">
      <c r="A684" s="8" t="s">
        <v>1219</v>
      </c>
      <c r="B684" s="22" t="s">
        <v>1220</v>
      </c>
      <c r="C684" s="18" t="n">
        <v>46148.7916666667</v>
      </c>
      <c r="D684" s="19" t="n">
        <v>46148.7916666667</v>
      </c>
      <c r="E684" s="18" t="n">
        <v>46149.75</v>
      </c>
      <c r="F684" s="19" t="n">
        <v>46149.75</v>
      </c>
      <c r="G684" s="20" t="n">
        <v>5000</v>
      </c>
      <c r="H684" s="8" t="n">
        <v>14</v>
      </c>
      <c r="I684" s="10" t="n">
        <v>46146</v>
      </c>
      <c r="J684" s="11" t="n">
        <v>0.541724537033588</v>
      </c>
      <c r="K684" s="1" t="str">
        <f aca="false">IF(L684&gt;24,     IF(H684=2,"Couple Extended Day","Extended Day"), IF(L684&lt;=12,     IF(AND(MOD(D684,1)&gt;=TIME(6,0,0),MOD(D684,1)&lt;TIME(18,0,0)),         IF(H684=2,"Couple Half Day","12H Day"),         IF(H684=2,"Couple Half Night","12H Night")), IF(L684&lt;=24,     IF(AND(MOD(D684,1)&gt;=TIME(6,0,0),MOD(D684,1)&lt;TIME(18,0,0)),         IF(H684=2,"Couple Full Day","24H Day"),         IF(H684=2,"Couple Full Night","24H Night")), "Check Data")))</f>
        <v>24H Night</v>
      </c>
      <c r="L684" s="12" t="n">
        <f aca="false">((INT(E684)+MOD(F684,1))-(INT(C684)+MOD(D684,1)))*24</f>
        <v>22.9999999990105</v>
      </c>
      <c r="M684" s="1" t="n">
        <f aca="false">IFERROR(INDEX(Sheet3!$B$2:$B$500,MATCH(1,(INT(C684)+MOD(D684,1)&lt;INT(Sheet3!$A$2:$A$500)+TIME(18,0,0))*(INT(E684)+MOD(F684,1)&gt;=INT(Sheet3!$A$2:$A$500)),0)),0)</f>
        <v>0</v>
      </c>
      <c r="N684" s="1" t="n">
        <f aca="false">IF(OR( AND(Q684=6,D684&gt;=TIME(17,0,0),OR(K684="12H Night",K684="Couple Half Night",K684="24H Night",K684="Couple Full Night")), AND(Q684=7,D684&gt;=TIME(6,0,0),D684&lt;TIME(12,0,0),OR(K684="12H Day",K684="Couple Half Day",K684="24H Day",K684="Couple Full Day")) ),1,0)</f>
        <v>0</v>
      </c>
      <c r="O684" s="1" t="n">
        <f aca="false">IF(OR( AND(MONTH(C684)=12,DAY(C684)&gt;=26), AND(MONTH(C684)=4,DAY(C684)&gt;=15), MONTH(C684)=5, AND(MONTH(C684)=6,DAY(C684)&lt;=10) ),1,0)</f>
        <v>1</v>
      </c>
      <c r="P684" s="1" t="str">
        <f aca="false">IF(OR(MONTH(C684)=3,MONTH(C684)=4,MONTH(C684)=5,MONTH(C684)=6), "Summer", IF(OR(MONTH(C684)=7,MONTH(C684)=8,MONTH(C684)=9,MONTH(C684)=10), "Monsoon", "Winter"))</f>
        <v>Summer</v>
      </c>
      <c r="Q684" s="1" t="n">
        <f aca="false">WEEKDAY(C684,2)</f>
        <v>3</v>
      </c>
      <c r="R684" s="0" t="n">
        <f aca="false">ROUNDDOWN(((INT(C684)+MOD(D684,1))-(INT(I684)+MOD(J684,1))),0)</f>
        <v>2</v>
      </c>
      <c r="S684" s="10"/>
    </row>
    <row r="685" customFormat="false" ht="133.05" hidden="false" customHeight="false" outlineLevel="0" collapsed="false">
      <c r="A685" s="8" t="s">
        <v>1221</v>
      </c>
      <c r="B685" s="22" t="s">
        <v>1222</v>
      </c>
      <c r="C685" s="18" t="n">
        <v>46149.7916666667</v>
      </c>
      <c r="D685" s="19" t="n">
        <v>46149.7916666667</v>
      </c>
      <c r="E685" s="18" t="n">
        <v>46150.75</v>
      </c>
      <c r="F685" s="19" t="n">
        <v>46150.75</v>
      </c>
      <c r="G685" s="20" t="n">
        <v>5000</v>
      </c>
      <c r="H685" s="8" t="n">
        <v>10</v>
      </c>
      <c r="I685" s="10" t="n">
        <v>46148</v>
      </c>
      <c r="J685" s="11" t="n">
        <v>0.62688657407125</v>
      </c>
      <c r="K685" s="1" t="str">
        <f aca="false">IF(L685&gt;24,     IF(H685=2,"Couple Extended Day","Extended Day"), IF(L685&lt;=12,     IF(AND(MOD(D685,1)&gt;=TIME(6,0,0),MOD(D685,1)&lt;TIME(18,0,0)),         IF(H685=2,"Couple Half Day","12H Day"),         IF(H685=2,"Couple Half Night","12H Night")), IF(L685&lt;=24,     IF(AND(MOD(D685,1)&gt;=TIME(6,0,0),MOD(D685,1)&lt;TIME(18,0,0)),         IF(H685=2,"Couple Full Day","24H Day"),         IF(H685=2,"Couple Full Night","24H Night")), "Check Data")))</f>
        <v>24H Night</v>
      </c>
      <c r="L685" s="12" t="n">
        <f aca="false">((INT(E685)+MOD(F685,1))-(INT(C685)+MOD(D685,1)))*24</f>
        <v>22.9999999990105</v>
      </c>
      <c r="M685" s="1" t="n">
        <f aca="false">IFERROR(INDEX(Sheet3!$B$2:$B$500,MATCH(1,(INT(C685)+MOD(D685,1)&lt;INT(Sheet3!$A$2:$A$500)+TIME(18,0,0))*(INT(E685)+MOD(F685,1)&gt;=INT(Sheet3!$A$2:$A$500)),0)),0)</f>
        <v>0</v>
      </c>
      <c r="N685" s="1" t="n">
        <f aca="false">IF(OR( AND(Q685=6,D685&gt;=TIME(17,0,0),OR(K685="12H Night",K685="Couple Half Night",K685="24H Night",K685="Couple Full Night")), AND(Q685=7,D685&gt;=TIME(6,0,0),D685&lt;TIME(12,0,0),OR(K685="12H Day",K685="Couple Half Day",K685="24H Day",K685="Couple Full Day")) ),1,0)</f>
        <v>0</v>
      </c>
      <c r="O685" s="1" t="n">
        <f aca="false">IF(OR( AND(MONTH(C685)=12,DAY(C685)&gt;=26), AND(MONTH(C685)=4,DAY(C685)&gt;=15), MONTH(C685)=5, AND(MONTH(C685)=6,DAY(C685)&lt;=10) ),1,0)</f>
        <v>1</v>
      </c>
      <c r="P685" s="1" t="str">
        <f aca="false">IF(OR(MONTH(C685)=3,MONTH(C685)=4,MONTH(C685)=5,MONTH(C685)=6), "Summer", IF(OR(MONTH(C685)=7,MONTH(C685)=8,MONTH(C685)=9,MONTH(C685)=10), "Monsoon", "Winter"))</f>
        <v>Summer</v>
      </c>
      <c r="Q685" s="1" t="n">
        <f aca="false">WEEKDAY(C685,2)</f>
        <v>4</v>
      </c>
      <c r="R685" s="0" t="n">
        <f aca="false">ROUNDDOWN(((INT(C685)+MOD(D685,1))-(INT(I685)+MOD(J685,1))),0)</f>
        <v>1</v>
      </c>
      <c r="S685" s="10"/>
    </row>
    <row r="686" customFormat="false" ht="212.2" hidden="false" customHeight="false" outlineLevel="0" collapsed="false">
      <c r="A686" s="8" t="s">
        <v>1223</v>
      </c>
      <c r="B686" s="22" t="s">
        <v>1224</v>
      </c>
      <c r="C686" s="18" t="n">
        <v>46150.7916666667</v>
      </c>
      <c r="D686" s="19" t="n">
        <v>46150.7916666667</v>
      </c>
      <c r="E686" s="18" t="n">
        <v>46151.75</v>
      </c>
      <c r="F686" s="19" t="n">
        <v>46151.75</v>
      </c>
      <c r="G686" s="20" t="n">
        <v>6000</v>
      </c>
      <c r="H686" s="8" t="n">
        <v>10</v>
      </c>
      <c r="I686" s="10" t="n">
        <v>46145</v>
      </c>
      <c r="J686" s="11" t="n">
        <v>0.90226851851912</v>
      </c>
      <c r="K686" s="1" t="str">
        <f aca="false">IF(L686&gt;24,     IF(H686=2,"Couple Extended Day","Extended Day"), IF(L686&lt;=12,     IF(AND(MOD(D686,1)&gt;=TIME(6,0,0),MOD(D686,1)&lt;TIME(18,0,0)),         IF(H686=2,"Couple Half Day","12H Day"),         IF(H686=2,"Couple Half Night","12H Night")), IF(L686&lt;=24,     IF(AND(MOD(D686,1)&gt;=TIME(6,0,0),MOD(D686,1)&lt;TIME(18,0,0)),         IF(H686=2,"Couple Full Day","24H Day"),         IF(H686=2,"Couple Full Night","24H Night")), "Check Data")))</f>
        <v>24H Night</v>
      </c>
      <c r="L686" s="12" t="n">
        <f aca="false">((INT(E686)+MOD(F686,1))-(INT(C686)+MOD(D686,1)))*24</f>
        <v>22.9999999990105</v>
      </c>
      <c r="M686" s="1" t="n">
        <f aca="false">IFERROR(INDEX(Sheet3!$B$2:$B$500,MATCH(1,(INT(C686)+MOD(D686,1)&lt;INT(Sheet3!$A$2:$A$500)+TIME(18,0,0))*(INT(E686)+MOD(F686,1)&gt;=INT(Sheet3!$A$2:$A$500)),0)),0)</f>
        <v>0</v>
      </c>
      <c r="N686" s="1" t="n">
        <f aca="false">IF(OR( AND(Q686=6,D686&gt;=TIME(17,0,0),OR(K686="12H Night",K686="Couple Half Night",K686="24H Night",K686="Couple Full Night")), AND(Q686=7,D686&gt;=TIME(6,0,0),D686&lt;TIME(12,0,0),OR(K686="12H Day",K686="Couple Half Day",K686="24H Day",K686="Couple Full Day")) ),1,0)</f>
        <v>0</v>
      </c>
      <c r="O686" s="1" t="n">
        <f aca="false">IF(OR( AND(MONTH(C686)=12,DAY(C686)&gt;=26), AND(MONTH(C686)=4,DAY(C686)&gt;=15), MONTH(C686)=5, AND(MONTH(C686)=6,DAY(C686)&lt;=10) ),1,0)</f>
        <v>1</v>
      </c>
      <c r="P686" s="1" t="str">
        <f aca="false">IF(OR(MONTH(C686)=3,MONTH(C686)=4,MONTH(C686)=5,MONTH(C686)=6), "Summer", IF(OR(MONTH(C686)=7,MONTH(C686)=8,MONTH(C686)=9,MONTH(C686)=10), "Monsoon", "Winter"))</f>
        <v>Summer</v>
      </c>
      <c r="Q686" s="1" t="n">
        <f aca="false">WEEKDAY(C686,2)</f>
        <v>5</v>
      </c>
      <c r="R686" s="0" t="n">
        <f aca="false">ROUNDDOWN(((INT(C686)+MOD(D686,1))-(INT(I686)+MOD(J686,1))),0)</f>
        <v>4</v>
      </c>
      <c r="S686" s="10"/>
    </row>
    <row r="687" customFormat="false" ht="204.9" hidden="false" customHeight="false" outlineLevel="0" collapsed="false">
      <c r="A687" s="8" t="s">
        <v>1225</v>
      </c>
      <c r="B687" s="22" t="s">
        <v>1226</v>
      </c>
      <c r="C687" s="18" t="n">
        <v>46151.7916666667</v>
      </c>
      <c r="D687" s="19" t="n">
        <v>46151.7916666667</v>
      </c>
      <c r="E687" s="18" t="n">
        <v>46152.75</v>
      </c>
      <c r="F687" s="19" t="n">
        <v>46152.75</v>
      </c>
      <c r="G687" s="20" t="n">
        <v>13500</v>
      </c>
      <c r="H687" s="8" t="n">
        <v>18</v>
      </c>
      <c r="I687" s="10" t="n">
        <v>46148</v>
      </c>
      <c r="J687" s="11" t="n">
        <v>0.731273148150648</v>
      </c>
      <c r="K687" s="1" t="str">
        <f aca="false">IF(L687&gt;24,     IF(H687=2,"Couple Extended Day","Extended Day"), IF(L687&lt;=12,     IF(AND(MOD(D687,1)&gt;=TIME(6,0,0),MOD(D687,1)&lt;TIME(18,0,0)),         IF(H687=2,"Couple Half Day","12H Day"),         IF(H687=2,"Couple Half Night","12H Night")), IF(L687&lt;=24,     IF(AND(MOD(D687,1)&gt;=TIME(6,0,0),MOD(D687,1)&lt;TIME(18,0,0)),         IF(H687=2,"Couple Full Day","24H Day"),         IF(H687=2,"Couple Full Night","24H Night")), "Check Data")))</f>
        <v>24H Night</v>
      </c>
      <c r="L687" s="12" t="n">
        <f aca="false">((INT(E687)+MOD(F687,1))-(INT(C687)+MOD(D687,1)))*24</f>
        <v>22.9999999990105</v>
      </c>
      <c r="M687" s="1" t="n">
        <f aca="false">IFERROR(INDEX(Sheet3!$B$2:$B$500,MATCH(1,(INT(C687)+MOD(D687,1)&lt;INT(Sheet3!$A$2:$A$500)+TIME(18,0,0))*(INT(E687)+MOD(F687,1)&gt;=INT(Sheet3!$A$2:$A$500)),0)),0)</f>
        <v>0</v>
      </c>
      <c r="N687" s="1" t="n">
        <f aca="false">IF(OR( AND(Q687=6,D687&gt;=TIME(17,0,0),OR(K687="12H Night",K687="Couple Half Night",K687="24H Night",K687="Couple Full Night")), AND(Q687=7,D687&gt;=TIME(6,0,0),D687&lt;TIME(12,0,0),OR(K687="12H Day",K687="Couple Half Day",K687="24H Day",K687="Couple Full Day")) ),1,0)</f>
        <v>1</v>
      </c>
      <c r="O687" s="1" t="n">
        <f aca="false">IF(OR( AND(MONTH(C687)=12,DAY(C687)&gt;=26), AND(MONTH(C687)=4,DAY(C687)&gt;=15), MONTH(C687)=5, AND(MONTH(C687)=6,DAY(C687)&lt;=10) ),1,0)</f>
        <v>1</v>
      </c>
      <c r="P687" s="1" t="str">
        <f aca="false">IF(OR(MONTH(C687)=3,MONTH(C687)=4,MONTH(C687)=5,MONTH(C687)=6), "Summer", IF(OR(MONTH(C687)=7,MONTH(C687)=8,MONTH(C687)=9,MONTH(C687)=10), "Monsoon", "Winter"))</f>
        <v>Summer</v>
      </c>
      <c r="Q687" s="1" t="n">
        <f aca="false">WEEKDAY(C687,2)</f>
        <v>6</v>
      </c>
      <c r="R687" s="0" t="n">
        <f aca="false">ROUNDDOWN(((INT(C687)+MOD(D687,1))-(INT(I687)+MOD(J687,1))),0)</f>
        <v>3</v>
      </c>
      <c r="S687" s="10"/>
    </row>
    <row r="688" customFormat="false" ht="204.9" hidden="false" customHeight="false" outlineLevel="0" collapsed="false">
      <c r="A688" s="8" t="s">
        <v>1227</v>
      </c>
      <c r="B688" s="22" t="s">
        <v>1228</v>
      </c>
      <c r="C688" s="18" t="n">
        <v>46152.8333333333</v>
      </c>
      <c r="D688" s="19" t="n">
        <v>0</v>
      </c>
      <c r="E688" s="18" t="n">
        <v>46153.3333333333</v>
      </c>
      <c r="F688" s="19" t="n">
        <v>0</v>
      </c>
      <c r="G688" s="20" t="n">
        <v>4000</v>
      </c>
      <c r="H688" s="8" t="n">
        <v>10</v>
      </c>
      <c r="I688" s="10" t="n">
        <v>46151</v>
      </c>
      <c r="J688" s="11" t="n">
        <v>0.96875</v>
      </c>
      <c r="K688" s="1" t="str">
        <f aca="false">IF(L688&gt;24,     IF(H688=2,"Couple Extended Day","Extended Day"), IF(L688&lt;=12,     IF(AND(MOD(D688,1)&gt;=TIME(6,0,0),MOD(D688,1)&lt;TIME(18,0,0)),         IF(H688=2,"Couple Half Day","12H Day"),         IF(H688=2,"Couple Half Night","12H Night")), IF(L688&lt;=24,     IF(AND(MOD(D688,1)&gt;=TIME(6,0,0),MOD(D688,1)&lt;TIME(18,0,0)),         IF(H688=2,"Couple Full Day","24H Day"),         IF(H688=2,"Couple Full Night","24H Night")), "Check Data")))</f>
        <v>24H Night</v>
      </c>
      <c r="L688" s="12" t="n">
        <f aca="false">((INT(E688)+MOD(F688,1))-(INT(C688)+MOD(D688,1)))*24</f>
        <v>24</v>
      </c>
      <c r="M688" s="1" t="n">
        <f aca="false">IFERROR(INDEX(Sheet3!$B$2:$B$500,MATCH(1,(INT(C688)+MOD(D688,1)&lt;INT(Sheet3!$A$2:$A$500)+TIME(18,0,0))*(INT(E688)+MOD(F688,1)&gt;=INT(Sheet3!$A$2:$A$500)),0)),0)</f>
        <v>0</v>
      </c>
      <c r="N688" s="1" t="n">
        <f aca="false">IF(OR( AND(Q688=6,D688&gt;=TIME(17,0,0),OR(K688="12H Night",K688="Couple Half Night",K688="24H Night",K688="Couple Full Night")), AND(Q688=7,D688&gt;=TIME(6,0,0),D688&lt;TIME(12,0,0),OR(K688="12H Day",K688="Couple Half Day",K688="24H Day",K688="Couple Full Day")) ),1,0)</f>
        <v>0</v>
      </c>
      <c r="O688" s="1" t="n">
        <f aca="false">IF(OR( AND(MONTH(C688)=12,DAY(C688)&gt;=26), AND(MONTH(C688)=4,DAY(C688)&gt;=15), MONTH(C688)=5, AND(MONTH(C688)=6,DAY(C688)&lt;=10) ),1,0)</f>
        <v>1</v>
      </c>
      <c r="P688" s="1" t="str">
        <f aca="false">IF(OR(MONTH(C688)=3,MONTH(C688)=4,MONTH(C688)=5,MONTH(C688)=6), "Summer", IF(OR(MONTH(C688)=7,MONTH(C688)=8,MONTH(C688)=9,MONTH(C688)=10), "Monsoon", "Winter"))</f>
        <v>Summer</v>
      </c>
      <c r="Q688" s="1" t="n">
        <f aca="false">WEEKDAY(C688,2)</f>
        <v>7</v>
      </c>
      <c r="R688" s="0" t="n">
        <f aca="false">ROUNDDOWN(((INT(C688)+MOD(D688,1))-(INT(I688)+MOD(J688,1))),0)</f>
        <v>0</v>
      </c>
      <c r="S688" s="10"/>
    </row>
    <row r="689" customFormat="false" ht="212.2" hidden="false" customHeight="false" outlineLevel="0" collapsed="false">
      <c r="A689" s="8" t="s">
        <v>1229</v>
      </c>
      <c r="B689" s="22" t="s">
        <v>1230</v>
      </c>
      <c r="C689" s="18" t="n">
        <v>46153.375</v>
      </c>
      <c r="D689" s="19" t="n">
        <v>46153.375</v>
      </c>
      <c r="E689" s="18" t="n">
        <v>46153.75</v>
      </c>
      <c r="F689" s="19" t="n">
        <v>46153.75</v>
      </c>
      <c r="G689" s="20" t="n">
        <v>4000</v>
      </c>
      <c r="H689" s="8" t="n">
        <v>10</v>
      </c>
      <c r="I689" s="10" t="n">
        <v>46152</v>
      </c>
      <c r="J689" s="11" t="n">
        <v>0.931620370371088</v>
      </c>
      <c r="K689" s="1" t="str">
        <f aca="false">IF(L689&gt;24,     IF(H689=2,"Couple Extended Day","Extended Day"), IF(L689&lt;=12,     IF(AND(MOD(D689,1)&gt;=TIME(6,0,0),MOD(D689,1)&lt;TIME(18,0,0)),         IF(H689=2,"Couple Half Day","12H Day"),         IF(H689=2,"Couple Half Night","12H Night")), IF(L689&lt;=24,     IF(AND(MOD(D689,1)&gt;=TIME(6,0,0),MOD(D689,1)&lt;TIME(18,0,0)),         IF(H689=2,"Couple Full Day","24H Day"),         IF(H689=2,"Couple Full Night","24H Night")), "Check Data")))</f>
        <v>12H Day</v>
      </c>
      <c r="L689" s="12" t="n">
        <f aca="false">((INT(E689)+MOD(F689,1))-(INT(C689)+MOD(D689,1)))*24</f>
        <v>9</v>
      </c>
      <c r="M689" s="1" t="n">
        <f aca="false">IFERROR(INDEX(Sheet3!$B$2:$B$500,MATCH(1,(INT(C689)+MOD(D689,1)&lt;INT(Sheet3!$A$2:$A$500)+TIME(18,0,0))*(INT(E689)+MOD(F689,1)&gt;=INT(Sheet3!$A$2:$A$500)),0)),0)</f>
        <v>0</v>
      </c>
      <c r="N689" s="1" t="n">
        <f aca="false">IF(OR( AND(Q689=6,D689&gt;=TIME(17,0,0),OR(K689="12H Night",K689="Couple Half Night",K689="24H Night",K689="Couple Full Night")), AND(Q689=7,D689&gt;=TIME(6,0,0),D689&lt;TIME(12,0,0),OR(K689="12H Day",K689="Couple Half Day",K689="24H Day",K689="Couple Full Day")) ),1,0)</f>
        <v>0</v>
      </c>
      <c r="O689" s="1" t="n">
        <f aca="false">IF(OR( AND(MONTH(C689)=12,DAY(C689)&gt;=26), AND(MONTH(C689)=4,DAY(C689)&gt;=15), MONTH(C689)=5, AND(MONTH(C689)=6,DAY(C689)&lt;=10) ),1,0)</f>
        <v>1</v>
      </c>
      <c r="P689" s="1" t="str">
        <f aca="false">IF(OR(MONTH(C689)=3,MONTH(C689)=4,MONTH(C689)=5,MONTH(C689)=6), "Summer", IF(OR(MONTH(C689)=7,MONTH(C689)=8,MONTH(C689)=9,MONTH(C689)=10), "Monsoon", "Winter"))</f>
        <v>Summer</v>
      </c>
      <c r="Q689" s="1" t="n">
        <f aca="false">WEEKDAY(C689,2)</f>
        <v>1</v>
      </c>
      <c r="R689" s="0" t="n">
        <f aca="false">ROUNDDOWN(((INT(C689)+MOD(D689,1))-(INT(I689)+MOD(J689,1))),0)</f>
        <v>0</v>
      </c>
      <c r="S689" s="10"/>
    </row>
    <row r="690" customFormat="false" ht="145.05" hidden="false" customHeight="false" outlineLevel="0" collapsed="false">
      <c r="A690" s="8" t="s">
        <v>1231</v>
      </c>
      <c r="B690" s="22" t="s">
        <v>1232</v>
      </c>
      <c r="C690" s="18" t="n">
        <v>46153.7916666667</v>
      </c>
      <c r="D690" s="19" t="n">
        <v>46153.7916666667</v>
      </c>
      <c r="E690" s="18" t="n">
        <v>46154.75</v>
      </c>
      <c r="F690" s="19" t="n">
        <v>46154.75</v>
      </c>
      <c r="G690" s="20" t="n">
        <v>5500</v>
      </c>
      <c r="H690" s="8" t="n">
        <v>7</v>
      </c>
      <c r="I690" s="10" t="n">
        <v>46147</v>
      </c>
      <c r="J690" s="11" t="n">
        <v>0.460428240738113</v>
      </c>
      <c r="K690" s="1" t="str">
        <f aca="false">IF(L690&gt;24,     IF(H690=2,"Couple Extended Day","Extended Day"), IF(L690&lt;=12,     IF(AND(MOD(D690,1)&gt;=TIME(6,0,0),MOD(D690,1)&lt;TIME(18,0,0)),         IF(H690=2,"Couple Half Day","12H Day"),         IF(H690=2,"Couple Half Night","12H Night")), IF(L690&lt;=24,     IF(AND(MOD(D690,1)&gt;=TIME(6,0,0),MOD(D690,1)&lt;TIME(18,0,0)),         IF(H690=2,"Couple Full Day","24H Day"),         IF(H690=2,"Couple Full Night","24H Night")), "Check Data")))</f>
        <v>24H Night</v>
      </c>
      <c r="L690" s="12" t="n">
        <f aca="false">((INT(E690)+MOD(F690,1))-(INT(C690)+MOD(D690,1)))*24</f>
        <v>22.9999999990105</v>
      </c>
      <c r="M690" s="1" t="n">
        <f aca="false">IFERROR(INDEX(Sheet3!$B$2:$B$500,MATCH(1,(INT(C690)+MOD(D690,1)&lt;INT(Sheet3!$A$2:$A$500)+TIME(18,0,0))*(INT(E690)+MOD(F690,1)&gt;=INT(Sheet3!$A$2:$A$500)),0)),0)</f>
        <v>0</v>
      </c>
      <c r="N690" s="1" t="n">
        <f aca="false">IF(OR( AND(Q690=6,D690&gt;=TIME(17,0,0),OR(K690="12H Night",K690="Couple Half Night",K690="24H Night",K690="Couple Full Night")), AND(Q690=7,D690&gt;=TIME(6,0,0),D690&lt;TIME(12,0,0),OR(K690="12H Day",K690="Couple Half Day",K690="24H Day",K690="Couple Full Day")) ),1,0)</f>
        <v>0</v>
      </c>
      <c r="O690" s="1" t="n">
        <f aca="false">IF(OR( AND(MONTH(C690)=12,DAY(C690)&gt;=26), AND(MONTH(C690)=4,DAY(C690)&gt;=15), MONTH(C690)=5, AND(MONTH(C690)=6,DAY(C690)&lt;=10) ),1,0)</f>
        <v>1</v>
      </c>
      <c r="P690" s="1" t="str">
        <f aca="false">IF(OR(MONTH(C690)=3,MONTH(C690)=4,MONTH(C690)=5,MONTH(C690)=6), "Summer", IF(OR(MONTH(C690)=7,MONTH(C690)=8,MONTH(C690)=9,MONTH(C690)=10), "Monsoon", "Winter"))</f>
        <v>Summer</v>
      </c>
      <c r="Q690" s="1" t="n">
        <f aca="false">WEEKDAY(C690,2)</f>
        <v>1</v>
      </c>
      <c r="R690" s="0" t="n">
        <f aca="false">ROUNDDOWN(((INT(C690)+MOD(D690,1))-(INT(I690)+MOD(J690,1))),0)</f>
        <v>6</v>
      </c>
      <c r="S690" s="10"/>
    </row>
    <row r="691" customFormat="false" ht="145.05" hidden="false" customHeight="false" outlineLevel="0" collapsed="false">
      <c r="A691" s="8" t="s">
        <v>1233</v>
      </c>
      <c r="B691" s="22" t="s">
        <v>1234</v>
      </c>
      <c r="C691" s="18" t="n">
        <v>46154.7916666667</v>
      </c>
      <c r="D691" s="19" t="n">
        <v>46154.7916666667</v>
      </c>
      <c r="E691" s="18" t="n">
        <v>46155.75</v>
      </c>
      <c r="F691" s="19" t="n">
        <v>46155.75</v>
      </c>
      <c r="G691" s="20" t="n">
        <v>6000</v>
      </c>
      <c r="H691" s="8" t="n">
        <v>17</v>
      </c>
      <c r="I691" s="10" t="n">
        <v>46152</v>
      </c>
      <c r="J691" s="11" t="n">
        <v>0.612071759256655</v>
      </c>
      <c r="K691" s="1" t="str">
        <f aca="false">IF(L691&gt;24,     IF(H691=2,"Couple Extended Day","Extended Day"), IF(L691&lt;=12,     IF(AND(MOD(D691,1)&gt;=TIME(6,0,0),MOD(D691,1)&lt;TIME(18,0,0)),         IF(H691=2,"Couple Half Day","12H Day"),         IF(H691=2,"Couple Half Night","12H Night")), IF(L691&lt;=24,     IF(AND(MOD(D691,1)&gt;=TIME(6,0,0),MOD(D691,1)&lt;TIME(18,0,0)),         IF(H691=2,"Couple Full Day","24H Day"),         IF(H691=2,"Couple Full Night","24H Night")), "Check Data")))</f>
        <v>24H Night</v>
      </c>
      <c r="L691" s="12" t="n">
        <f aca="false">((INT(E691)+MOD(F691,1))-(INT(C691)+MOD(D691,1)))*24</f>
        <v>22.9999999990105</v>
      </c>
      <c r="M691" s="1" t="n">
        <f aca="false">IFERROR(INDEX(Sheet3!$B$2:$B$500,MATCH(1,(INT(C691)+MOD(D691,1)&lt;INT(Sheet3!$A$2:$A$500)+TIME(18,0,0))*(INT(E691)+MOD(F691,1)&gt;=INT(Sheet3!$A$2:$A$500)),0)),0)</f>
        <v>0</v>
      </c>
      <c r="N691" s="1" t="n">
        <f aca="false">IF(OR( AND(Q691=6,D691&gt;=TIME(17,0,0),OR(K691="12H Night",K691="Couple Half Night",K691="24H Night",K691="Couple Full Night")), AND(Q691=7,D691&gt;=TIME(6,0,0),D691&lt;TIME(12,0,0),OR(K691="12H Day",K691="Couple Half Day",K691="24H Day",K691="Couple Full Day")) ),1,0)</f>
        <v>0</v>
      </c>
      <c r="O691" s="1" t="n">
        <f aca="false">IF(OR( AND(MONTH(C691)=12,DAY(C691)&gt;=26), AND(MONTH(C691)=4,DAY(C691)&gt;=15), MONTH(C691)=5, AND(MONTH(C691)=6,DAY(C691)&lt;=10) ),1,0)</f>
        <v>1</v>
      </c>
      <c r="P691" s="1" t="str">
        <f aca="false">IF(OR(MONTH(C691)=3,MONTH(C691)=4,MONTH(C691)=5,MONTH(C691)=6), "Summer", IF(OR(MONTH(C691)=7,MONTH(C691)=8,MONTH(C691)=9,MONTH(C691)=10), "Monsoon", "Winter"))</f>
        <v>Summer</v>
      </c>
      <c r="Q691" s="1" t="n">
        <f aca="false">WEEKDAY(C691,2)</f>
        <v>2</v>
      </c>
      <c r="R691" s="0" t="n">
        <f aca="false">ROUNDDOWN(((INT(C691)+MOD(D691,1))-(INT(I691)+MOD(J691,1))),0)</f>
        <v>2</v>
      </c>
      <c r="S691" s="10"/>
    </row>
    <row r="692" customFormat="false" ht="192.95" hidden="false" customHeight="false" outlineLevel="0" collapsed="false">
      <c r="A692" s="8" t="s">
        <v>1235</v>
      </c>
      <c r="B692" s="22" t="s">
        <v>1236</v>
      </c>
      <c r="C692" s="18" t="n">
        <v>46155.7916666667</v>
      </c>
      <c r="D692" s="19" t="n">
        <v>46155.7916666667</v>
      </c>
      <c r="E692" s="18" t="n">
        <v>46156.7916666667</v>
      </c>
      <c r="F692" s="19" t="n">
        <v>46156.7916666667</v>
      </c>
      <c r="G692" s="20" t="n">
        <v>6000</v>
      </c>
      <c r="H692" s="8" t="n">
        <v>8</v>
      </c>
      <c r="I692" s="10" t="n">
        <v>46154</v>
      </c>
      <c r="J692" s="11" t="n">
        <v>0.922199074077072</v>
      </c>
      <c r="K692" s="1" t="str">
        <f aca="false">IF(L692&gt;24,     IF(H692=2,"Couple Extended Day","Extended Day"), IF(L692&lt;=12,     IF(AND(MOD(D692,1)&gt;=TIME(6,0,0),MOD(D692,1)&lt;TIME(18,0,0)),         IF(H692=2,"Couple Half Day","12H Day"),         IF(H692=2,"Couple Half Night","12H Night")), IF(L692&lt;=24,     IF(AND(MOD(D692,1)&gt;=TIME(6,0,0),MOD(D692,1)&lt;TIME(18,0,0)),         IF(H692=2,"Couple Full Day","24H Day"),         IF(H692=2,"Couple Full Night","24H Night")), "Check Data")))</f>
        <v>24H Night</v>
      </c>
      <c r="L692" s="12" t="n">
        <f aca="false">((INT(E692)+MOD(F692,1))-(INT(C692)+MOD(D692,1)))*24</f>
        <v>24</v>
      </c>
      <c r="M692" s="1" t="n">
        <f aca="false">IFERROR(INDEX(Sheet3!$B$2:$B$500,MATCH(1,(INT(C692)+MOD(D692,1)&lt;INT(Sheet3!$A$2:$A$500)+TIME(18,0,0))*(INT(E692)+MOD(F692,1)&gt;=INT(Sheet3!$A$2:$A$500)),0)),0)</f>
        <v>0</v>
      </c>
      <c r="N692" s="1" t="n">
        <f aca="false">IF(OR( AND(Q692=6,D692&gt;=TIME(17,0,0),OR(K692="12H Night",K692="Couple Half Night",K692="24H Night",K692="Couple Full Night")), AND(Q692=7,D692&gt;=TIME(6,0,0),D692&lt;TIME(12,0,0),OR(K692="12H Day",K692="Couple Half Day",K692="24H Day",K692="Couple Full Day")) ),1,0)</f>
        <v>0</v>
      </c>
      <c r="O692" s="1" t="n">
        <f aca="false">IF(OR( AND(MONTH(C692)=12,DAY(C692)&gt;=26), AND(MONTH(C692)=4,DAY(C692)&gt;=15), MONTH(C692)=5, AND(MONTH(C692)=6,DAY(C692)&lt;=10) ),1,0)</f>
        <v>1</v>
      </c>
      <c r="P692" s="1" t="str">
        <f aca="false">IF(OR(MONTH(C692)=3,MONTH(C692)=4,MONTH(C692)=5,MONTH(C692)=6), "Summer", IF(OR(MONTH(C692)=7,MONTH(C692)=8,MONTH(C692)=9,MONTH(C692)=10), "Monsoon", "Winter"))</f>
        <v>Summer</v>
      </c>
      <c r="Q692" s="1" t="n">
        <f aca="false">WEEKDAY(C692,2)</f>
        <v>3</v>
      </c>
      <c r="R692" s="0" t="n">
        <f aca="false">ROUNDDOWN(((INT(C692)+MOD(D692,1))-(INT(I692)+MOD(J692,1))),0)</f>
        <v>0</v>
      </c>
      <c r="S692" s="10"/>
    </row>
    <row r="693" customFormat="false" ht="192.95" hidden="false" customHeight="false" outlineLevel="0" collapsed="false">
      <c r="A693" s="8" t="s">
        <v>1237</v>
      </c>
      <c r="B693" s="22" t="s">
        <v>1238</v>
      </c>
      <c r="C693" s="18" t="n">
        <v>46156.7916666667</v>
      </c>
      <c r="D693" s="19" t="n">
        <v>46156.7916666667</v>
      </c>
      <c r="E693" s="18" t="n">
        <v>46157.75</v>
      </c>
      <c r="F693" s="19" t="n">
        <v>46157.75</v>
      </c>
      <c r="G693" s="20" t="n">
        <v>6000</v>
      </c>
      <c r="H693" s="8" t="n">
        <v>8</v>
      </c>
      <c r="I693" s="10" t="n">
        <v>46153</v>
      </c>
      <c r="J693" s="11" t="n">
        <v>0.940011574071829</v>
      </c>
      <c r="K693" s="1" t="str">
        <f aca="false">IF(L693&gt;24,     IF(H693=2,"Couple Extended Day","Extended Day"), IF(L693&lt;=12,     IF(AND(MOD(D693,1)&gt;=TIME(6,0,0),MOD(D693,1)&lt;TIME(18,0,0)),         IF(H693=2,"Couple Half Day","12H Day"),         IF(H693=2,"Couple Half Night","12H Night")), IF(L693&lt;=24,     IF(AND(MOD(D693,1)&gt;=TIME(6,0,0),MOD(D693,1)&lt;TIME(18,0,0)),         IF(H693=2,"Couple Full Day","24H Day"),         IF(H693=2,"Couple Full Night","24H Night")), "Check Data")))</f>
        <v>24H Night</v>
      </c>
      <c r="L693" s="12" t="n">
        <f aca="false">((INT(E693)+MOD(F693,1))-(INT(C693)+MOD(D693,1)))*24</f>
        <v>22.9999999990105</v>
      </c>
      <c r="M693" s="1" t="n">
        <f aca="false">IFERROR(INDEX(Sheet3!$B$2:$B$500,MATCH(1,(INT(C693)+MOD(D693,1)&lt;INT(Sheet3!$A$2:$A$500)+TIME(18,0,0))*(INT(E693)+MOD(F693,1)&gt;=INT(Sheet3!$A$2:$A$500)),0)),0)</f>
        <v>0</v>
      </c>
      <c r="N693" s="1" t="n">
        <f aca="false">IF(OR( AND(Q693=6,D693&gt;=TIME(17,0,0),OR(K693="12H Night",K693="Couple Half Night",K693="24H Night",K693="Couple Full Night")), AND(Q693=7,D693&gt;=TIME(6,0,0),D693&lt;TIME(12,0,0),OR(K693="12H Day",K693="Couple Half Day",K693="24H Day",K693="Couple Full Day")) ),1,0)</f>
        <v>0</v>
      </c>
      <c r="O693" s="1" t="n">
        <f aca="false">IF(OR( AND(MONTH(C693)=12,DAY(C693)&gt;=26), AND(MONTH(C693)=4,DAY(C693)&gt;=15), MONTH(C693)=5, AND(MONTH(C693)=6,DAY(C693)&lt;=10) ),1,0)</f>
        <v>1</v>
      </c>
      <c r="P693" s="1" t="str">
        <f aca="false">IF(OR(MONTH(C693)=3,MONTH(C693)=4,MONTH(C693)=5,MONTH(C693)=6), "Summer", IF(OR(MONTH(C693)=7,MONTH(C693)=8,MONTH(C693)=9,MONTH(C693)=10), "Monsoon", "Winter"))</f>
        <v>Summer</v>
      </c>
      <c r="Q693" s="1" t="n">
        <f aca="false">WEEKDAY(C693,2)</f>
        <v>4</v>
      </c>
      <c r="R693" s="0" t="n">
        <f aca="false">ROUNDDOWN(((INT(C693)+MOD(D693,1))-(INT(I693)+MOD(J693,1))),0)</f>
        <v>2</v>
      </c>
      <c r="S693" s="10"/>
    </row>
    <row r="694" customFormat="false" ht="192.95" hidden="false" customHeight="false" outlineLevel="0" collapsed="false">
      <c r="A694" s="8" t="s">
        <v>1239</v>
      </c>
      <c r="B694" s="22" t="s">
        <v>1240</v>
      </c>
      <c r="C694" s="18" t="n">
        <v>46157.7916666667</v>
      </c>
      <c r="D694" s="19" t="n">
        <v>46157.7916666667</v>
      </c>
      <c r="E694" s="18" t="n">
        <v>46158.75</v>
      </c>
      <c r="F694" s="19" t="n">
        <v>46158.75</v>
      </c>
      <c r="G694" s="20" t="n">
        <v>6500</v>
      </c>
      <c r="H694" s="8" t="n">
        <v>8</v>
      </c>
      <c r="I694" s="10" t="n">
        <v>46151</v>
      </c>
      <c r="J694" s="11" t="n">
        <v>0.413240740745093</v>
      </c>
      <c r="K694" s="1" t="str">
        <f aca="false">IF(L694&gt;24,     IF(H694=2,"Couple Extended Day","Extended Day"), IF(L694&lt;=12,     IF(AND(MOD(D694,1)&gt;=TIME(6,0,0),MOD(D694,1)&lt;TIME(18,0,0)),         IF(H694=2,"Couple Half Day","12H Day"),         IF(H694=2,"Couple Half Night","12H Night")), IF(L694&lt;=24,     IF(AND(MOD(D694,1)&gt;=TIME(6,0,0),MOD(D694,1)&lt;TIME(18,0,0)),         IF(H694=2,"Couple Full Day","24H Day"),         IF(H694=2,"Couple Full Night","24H Night")), "Check Data")))</f>
        <v>24H Night</v>
      </c>
      <c r="L694" s="12" t="n">
        <f aca="false">((INT(E694)+MOD(F694,1))-(INT(C694)+MOD(D694,1)))*24</f>
        <v>22.9999999990105</v>
      </c>
      <c r="M694" s="1" t="n">
        <f aca="false">IFERROR(INDEX(Sheet3!$B$2:$B$500,MATCH(1,(INT(C694)+MOD(D694,1)&lt;INT(Sheet3!$A$2:$A$500)+TIME(18,0,0))*(INT(E694)+MOD(F694,1)&gt;=INT(Sheet3!$A$2:$A$500)),0)),0)</f>
        <v>0</v>
      </c>
      <c r="N694" s="1" t="n">
        <f aca="false">IF(OR( AND(Q694=6,D694&gt;=TIME(17,0,0),OR(K694="12H Night",K694="Couple Half Night",K694="24H Night",K694="Couple Full Night")), AND(Q694=7,D694&gt;=TIME(6,0,0),D694&lt;TIME(12,0,0),OR(K694="12H Day",K694="Couple Half Day",K694="24H Day",K694="Couple Full Day")) ),1,0)</f>
        <v>0</v>
      </c>
      <c r="O694" s="1" t="n">
        <f aca="false">IF(OR( AND(MONTH(C694)=12,DAY(C694)&gt;=26), AND(MONTH(C694)=4,DAY(C694)&gt;=15), MONTH(C694)=5, AND(MONTH(C694)=6,DAY(C694)&lt;=10) ),1,0)</f>
        <v>1</v>
      </c>
      <c r="P694" s="1" t="str">
        <f aca="false">IF(OR(MONTH(C694)=3,MONTH(C694)=4,MONTH(C694)=5,MONTH(C694)=6), "Summer", IF(OR(MONTH(C694)=7,MONTH(C694)=8,MONTH(C694)=9,MONTH(C694)=10), "Monsoon", "Winter"))</f>
        <v>Summer</v>
      </c>
      <c r="Q694" s="1" t="n">
        <f aca="false">WEEKDAY(C694,2)</f>
        <v>5</v>
      </c>
      <c r="R694" s="0" t="n">
        <f aca="false">ROUNDDOWN(((INT(C694)+MOD(D694,1))-(INT(I694)+MOD(J694,1))),0)</f>
        <v>6</v>
      </c>
      <c r="S694" s="10"/>
    </row>
    <row r="695" customFormat="false" ht="159.6" hidden="false" customHeight="false" outlineLevel="0" collapsed="false">
      <c r="A695" s="8" t="s">
        <v>1241</v>
      </c>
      <c r="B695" s="22" t="s">
        <v>1242</v>
      </c>
      <c r="C695" s="18" t="n">
        <v>46158.7916666667</v>
      </c>
      <c r="D695" s="19" t="n">
        <v>46158.7916666667</v>
      </c>
      <c r="E695" s="18" t="n">
        <v>46159.75</v>
      </c>
      <c r="F695" s="19" t="n">
        <v>46159.75</v>
      </c>
      <c r="G695" s="20" t="n">
        <v>14000</v>
      </c>
      <c r="H695" s="8" t="n">
        <v>15</v>
      </c>
      <c r="I695" s="10" t="n">
        <v>46155</v>
      </c>
      <c r="J695" s="11" t="n">
        <v>0.679189814814884</v>
      </c>
      <c r="K695" s="1" t="str">
        <f aca="false">IF(L695&gt;24,     IF(H695=2,"Couple Extended Day","Extended Day"), IF(L695&lt;=12,     IF(AND(MOD(D695,1)&gt;=TIME(6,0,0),MOD(D695,1)&lt;TIME(18,0,0)),         IF(H695=2,"Couple Half Day","12H Day"),         IF(H695=2,"Couple Half Night","12H Night")), IF(L695&lt;=24,     IF(AND(MOD(D695,1)&gt;=TIME(6,0,0),MOD(D695,1)&lt;TIME(18,0,0)),         IF(H695=2,"Couple Full Day","24H Day"),         IF(H695=2,"Couple Full Night","24H Night")), "Check Data")))</f>
        <v>24H Night</v>
      </c>
      <c r="L695" s="12" t="n">
        <f aca="false">((INT(E695)+MOD(F695,1))-(INT(C695)+MOD(D695,1)))*24</f>
        <v>22.9999999990105</v>
      </c>
      <c r="M695" s="1" t="n">
        <f aca="false">IFERROR(INDEX(Sheet3!$B$2:$B$500,MATCH(1,(INT(C695)+MOD(D695,1)&lt;INT(Sheet3!$A$2:$A$500)+TIME(18,0,0))*(INT(E695)+MOD(F695,1)&gt;=INT(Sheet3!$A$2:$A$500)),0)),0)</f>
        <v>0</v>
      </c>
      <c r="N695" s="1" t="n">
        <f aca="false">IF(OR( AND(Q695=6,D695&gt;=TIME(17,0,0),OR(K695="12H Night",K695="Couple Half Night",K695="24H Night",K695="Couple Full Night")), AND(Q695=7,D695&gt;=TIME(6,0,0),D695&lt;TIME(12,0,0),OR(K695="12H Day",K695="Couple Half Day",K695="24H Day",K695="Couple Full Day")) ),1,0)</f>
        <v>1</v>
      </c>
      <c r="O695" s="1" t="n">
        <f aca="false">IF(OR( AND(MONTH(C695)=12,DAY(C695)&gt;=26), AND(MONTH(C695)=4,DAY(C695)&gt;=15), MONTH(C695)=5, AND(MONTH(C695)=6,DAY(C695)&lt;=10) ),1,0)</f>
        <v>1</v>
      </c>
      <c r="P695" s="1" t="str">
        <f aca="false">IF(OR(MONTH(C695)=3,MONTH(C695)=4,MONTH(C695)=5,MONTH(C695)=6), "Summer", IF(OR(MONTH(C695)=7,MONTH(C695)=8,MONTH(C695)=9,MONTH(C695)=10), "Monsoon", "Winter"))</f>
        <v>Summer</v>
      </c>
      <c r="Q695" s="1" t="n">
        <f aca="false">WEEKDAY(C695,2)</f>
        <v>6</v>
      </c>
      <c r="R695" s="0" t="n">
        <f aca="false">ROUNDDOWN(((INT(C695)+MOD(D695,1))-(INT(I695)+MOD(J695,1))),0)</f>
        <v>3</v>
      </c>
      <c r="S695" s="10"/>
    </row>
    <row r="696" customFormat="false" ht="212.2" hidden="false" customHeight="false" outlineLevel="0" collapsed="false">
      <c r="A696" s="8" t="s">
        <v>1243</v>
      </c>
      <c r="B696" s="22" t="s">
        <v>1244</v>
      </c>
      <c r="C696" s="18" t="n">
        <v>46159.7916666667</v>
      </c>
      <c r="D696" s="19" t="n">
        <v>46159.7916666667</v>
      </c>
      <c r="E696" s="18" t="n">
        <v>46160.75</v>
      </c>
      <c r="F696" s="19" t="n">
        <v>46160.75</v>
      </c>
      <c r="G696" s="20" t="n">
        <v>6000</v>
      </c>
      <c r="H696" s="8" t="n">
        <v>10</v>
      </c>
      <c r="I696" s="10" t="n">
        <v>46156</v>
      </c>
      <c r="J696" s="11" t="n">
        <v>0.925659722226551</v>
      </c>
      <c r="K696" s="1" t="str">
        <f aca="false">IF(L696&gt;24,     IF(H696=2,"Couple Extended Day","Extended Day"), IF(L696&lt;=12,     IF(AND(MOD(D696,1)&gt;=TIME(6,0,0),MOD(D696,1)&lt;TIME(18,0,0)),         IF(H696=2,"Couple Half Day","12H Day"),         IF(H696=2,"Couple Half Night","12H Night")), IF(L696&lt;=24,     IF(AND(MOD(D696,1)&gt;=TIME(6,0,0),MOD(D696,1)&lt;TIME(18,0,0)),         IF(H696=2,"Couple Full Day","24H Day"),         IF(H696=2,"Couple Full Night","24H Night")), "Check Data")))</f>
        <v>24H Night</v>
      </c>
      <c r="L696" s="12" t="n">
        <f aca="false">((INT(E696)+MOD(F696,1))-(INT(C696)+MOD(D696,1)))*24</f>
        <v>22.9999999990105</v>
      </c>
      <c r="M696" s="1" t="n">
        <f aca="false">IFERROR(INDEX(Sheet3!$B$2:$B$500,MATCH(1,(INT(C696)+MOD(D696,1)&lt;INT(Sheet3!$A$2:$A$500)+TIME(18,0,0))*(INT(E696)+MOD(F696,1)&gt;=INT(Sheet3!$A$2:$A$500)),0)),0)</f>
        <v>0</v>
      </c>
      <c r="N696" s="1" t="n">
        <f aca="false">IF(OR( AND(Q696=6,D696&gt;=TIME(17,0,0),OR(K696="12H Night",K696="Couple Half Night",K696="24H Night",K696="Couple Full Night")), AND(Q696=7,D696&gt;=TIME(6,0,0),D696&lt;TIME(12,0,0),OR(K696="12H Day",K696="Couple Half Day",K696="24H Day",K696="Couple Full Day")) ),1,0)</f>
        <v>0</v>
      </c>
      <c r="O696" s="1" t="n">
        <f aca="false">IF(OR( AND(MONTH(C696)=12,DAY(C696)&gt;=26), AND(MONTH(C696)=4,DAY(C696)&gt;=15), MONTH(C696)=5, AND(MONTH(C696)=6,DAY(C696)&lt;=10) ),1,0)</f>
        <v>1</v>
      </c>
      <c r="P696" s="1" t="str">
        <f aca="false">IF(OR(MONTH(C696)=3,MONTH(C696)=4,MONTH(C696)=5,MONTH(C696)=6), "Summer", IF(OR(MONTH(C696)=7,MONTH(C696)=8,MONTH(C696)=9,MONTH(C696)=10), "Monsoon", "Winter"))</f>
        <v>Summer</v>
      </c>
      <c r="Q696" s="1" t="n">
        <f aca="false">WEEKDAY(C696,2)</f>
        <v>7</v>
      </c>
      <c r="R696" s="0" t="n">
        <f aca="false">ROUNDDOWN(((INT(C696)+MOD(D696,1))-(INT(I696)+MOD(J696,1))),0)</f>
        <v>2</v>
      </c>
      <c r="S696" s="10"/>
    </row>
    <row r="697" customFormat="false" ht="225.35" hidden="false" customHeight="false" outlineLevel="0" collapsed="false">
      <c r="A697" s="8" t="s">
        <v>1245</v>
      </c>
      <c r="B697" s="22" t="s">
        <v>1246</v>
      </c>
      <c r="C697" s="18" t="n">
        <v>46160.7916666667</v>
      </c>
      <c r="D697" s="19" t="n">
        <v>46160.7916666667</v>
      </c>
      <c r="E697" s="18" t="n">
        <v>46161.75</v>
      </c>
      <c r="F697" s="19" t="n">
        <v>46161.75</v>
      </c>
      <c r="G697" s="20" t="n">
        <v>6000</v>
      </c>
      <c r="H697" s="8" t="n">
        <v>10</v>
      </c>
      <c r="I697" s="10" t="n">
        <v>46155</v>
      </c>
      <c r="J697" s="11" t="n">
        <v>0.883194444439143</v>
      </c>
      <c r="K697" s="1" t="str">
        <f aca="false">IF(L697&gt;24,     IF(H697=2,"Couple Extended Day","Extended Day"), IF(L697&lt;=12,     IF(AND(MOD(D697,1)&gt;=TIME(6,0,0),MOD(D697,1)&lt;TIME(18,0,0)),         IF(H697=2,"Couple Half Day","12H Day"),         IF(H697=2,"Couple Half Night","12H Night")), IF(L697&lt;=24,     IF(AND(MOD(D697,1)&gt;=TIME(6,0,0),MOD(D697,1)&lt;TIME(18,0,0)),         IF(H697=2,"Couple Full Day","24H Day"),         IF(H697=2,"Couple Full Night","24H Night")), "Check Data")))</f>
        <v>24H Night</v>
      </c>
      <c r="L697" s="12" t="n">
        <f aca="false">((INT(E697)+MOD(F697,1))-(INT(C697)+MOD(D697,1)))*24</f>
        <v>22.9999999990105</v>
      </c>
      <c r="M697" s="1" t="n">
        <f aca="false">IFERROR(INDEX(Sheet3!$B$2:$B$500,MATCH(1,(INT(C697)+MOD(D697,1)&lt;INT(Sheet3!$A$2:$A$500)+TIME(18,0,0))*(INT(E697)+MOD(F697,1)&gt;=INT(Sheet3!$A$2:$A$500)),0)),0)</f>
        <v>0</v>
      </c>
      <c r="N697" s="1" t="n">
        <f aca="false">IF(OR( AND(Q697=6,D697&gt;=TIME(17,0,0),OR(K697="12H Night",K697="Couple Half Night",K697="24H Night",K697="Couple Full Night")), AND(Q697=7,D697&gt;=TIME(6,0,0),D697&lt;TIME(12,0,0),OR(K697="12H Day",K697="Couple Half Day",K697="24H Day",K697="Couple Full Day")) ),1,0)</f>
        <v>0</v>
      </c>
      <c r="O697" s="1" t="n">
        <f aca="false">IF(OR( AND(MONTH(C697)=12,DAY(C697)&gt;=26), AND(MONTH(C697)=4,DAY(C697)&gt;=15), MONTH(C697)=5, AND(MONTH(C697)=6,DAY(C697)&lt;=10) ),1,0)</f>
        <v>1</v>
      </c>
      <c r="P697" s="1" t="str">
        <f aca="false">IF(OR(MONTH(C697)=3,MONTH(C697)=4,MONTH(C697)=5,MONTH(C697)=6), "Summer", IF(OR(MONTH(C697)=7,MONTH(C697)=8,MONTH(C697)=9,MONTH(C697)=10), "Monsoon", "Winter"))</f>
        <v>Summer</v>
      </c>
      <c r="Q697" s="1" t="n">
        <f aca="false">WEEKDAY(C697,2)</f>
        <v>1</v>
      </c>
      <c r="R697" s="0" t="n">
        <f aca="false">ROUNDDOWN(((INT(C697)+MOD(D697,1))-(INT(I697)+MOD(J697,1))),0)</f>
        <v>4</v>
      </c>
      <c r="S697" s="10"/>
    </row>
    <row r="698" customFormat="false" ht="192.95" hidden="false" customHeight="false" outlineLevel="0" collapsed="false">
      <c r="A698" s="8" t="s">
        <v>1247</v>
      </c>
      <c r="B698" s="22" t="s">
        <v>1248</v>
      </c>
      <c r="C698" s="18" t="n">
        <v>46161.7916666667</v>
      </c>
      <c r="D698" s="19" t="n">
        <v>46161.7916666667</v>
      </c>
      <c r="E698" s="18" t="n">
        <v>46162.75</v>
      </c>
      <c r="F698" s="19" t="n">
        <v>46162.75</v>
      </c>
      <c r="G698" s="20" t="n">
        <v>6500</v>
      </c>
      <c r="H698" s="8" t="n">
        <v>12</v>
      </c>
      <c r="I698" s="10" t="n">
        <v>46158</v>
      </c>
      <c r="J698" s="11" t="n">
        <v>0.0313657407386921</v>
      </c>
      <c r="K698" s="1" t="str">
        <f aca="false">IF(L698&gt;24,     IF(H698=2,"Couple Extended Day","Extended Day"), IF(L698&lt;=12,     IF(AND(MOD(D698,1)&gt;=TIME(6,0,0),MOD(D698,1)&lt;TIME(18,0,0)),         IF(H698=2,"Couple Half Day","12H Day"),         IF(H698=2,"Couple Half Night","12H Night")), IF(L698&lt;=24,     IF(AND(MOD(D698,1)&gt;=TIME(6,0,0),MOD(D698,1)&lt;TIME(18,0,0)),         IF(H698=2,"Couple Full Day","24H Day"),         IF(H698=2,"Couple Full Night","24H Night")), "Check Data")))</f>
        <v>24H Night</v>
      </c>
      <c r="L698" s="12" t="n">
        <f aca="false">((INT(E698)+MOD(F698,1))-(INT(C698)+MOD(D698,1)))*24</f>
        <v>22.9999999990105</v>
      </c>
      <c r="M698" s="1" t="n">
        <f aca="false">IFERROR(INDEX(Sheet3!$B$2:$B$500,MATCH(1,(INT(C698)+MOD(D698,1)&lt;INT(Sheet3!$A$2:$A$500)+TIME(18,0,0))*(INT(E698)+MOD(F698,1)&gt;=INT(Sheet3!$A$2:$A$500)),0)),0)</f>
        <v>0</v>
      </c>
      <c r="N698" s="1" t="n">
        <f aca="false">IF(OR( AND(Q698=6,D698&gt;=TIME(17,0,0),OR(K698="12H Night",K698="Couple Half Night",K698="24H Night",K698="Couple Full Night")), AND(Q698=7,D698&gt;=TIME(6,0,0),D698&lt;TIME(12,0,0),OR(K698="12H Day",K698="Couple Half Day",K698="24H Day",K698="Couple Full Day")) ),1,0)</f>
        <v>0</v>
      </c>
      <c r="O698" s="1" t="n">
        <f aca="false">IF(OR( AND(MONTH(C698)=12,DAY(C698)&gt;=26), AND(MONTH(C698)=4,DAY(C698)&gt;=15), MONTH(C698)=5, AND(MONTH(C698)=6,DAY(C698)&lt;=10) ),1,0)</f>
        <v>1</v>
      </c>
      <c r="P698" s="1" t="str">
        <f aca="false">IF(OR(MONTH(C698)=3,MONTH(C698)=4,MONTH(C698)=5,MONTH(C698)=6), "Summer", IF(OR(MONTH(C698)=7,MONTH(C698)=8,MONTH(C698)=9,MONTH(C698)=10), "Monsoon", "Winter"))</f>
        <v>Summer</v>
      </c>
      <c r="Q698" s="1" t="n">
        <f aca="false">WEEKDAY(C698,2)</f>
        <v>2</v>
      </c>
      <c r="R698" s="0" t="n">
        <f aca="false">ROUNDDOWN(((INT(C698)+MOD(D698,1))-(INT(I698)+MOD(J698,1))),0)</f>
        <v>3</v>
      </c>
      <c r="S698" s="10"/>
    </row>
    <row r="699" customFormat="false" ht="192.95" hidden="false" customHeight="false" outlineLevel="0" collapsed="false">
      <c r="A699" s="8" t="s">
        <v>1249</v>
      </c>
      <c r="B699" s="22" t="s">
        <v>1250</v>
      </c>
      <c r="C699" s="18" t="n">
        <v>46162.7916666667</v>
      </c>
      <c r="D699" s="19" t="n">
        <v>46162.7916666667</v>
      </c>
      <c r="E699" s="18" t="n">
        <v>46163.75</v>
      </c>
      <c r="F699" s="19" t="n">
        <v>46163.75</v>
      </c>
      <c r="G699" s="20" t="n">
        <v>6000</v>
      </c>
      <c r="H699" s="8" t="n">
        <v>15</v>
      </c>
      <c r="I699" s="10" t="n">
        <v>46152</v>
      </c>
      <c r="J699" s="11" t="n">
        <v>0.364571759258982</v>
      </c>
      <c r="K699" s="1" t="str">
        <f aca="false">IF(L699&gt;24,     IF(H699=2,"Couple Extended Day","Extended Day"), IF(L699&lt;=12,     IF(AND(MOD(D699,1)&gt;=TIME(6,0,0),MOD(D699,1)&lt;TIME(18,0,0)),         IF(H699=2,"Couple Half Day","12H Day"),         IF(H699=2,"Couple Half Night","12H Night")), IF(L699&lt;=24,     IF(AND(MOD(D699,1)&gt;=TIME(6,0,0),MOD(D699,1)&lt;TIME(18,0,0)),         IF(H699=2,"Couple Full Day","24H Day"),         IF(H699=2,"Couple Full Night","24H Night")), "Check Data")))</f>
        <v>24H Night</v>
      </c>
      <c r="L699" s="12" t="n">
        <f aca="false">((INT(E699)+MOD(F699,1))-(INT(C699)+MOD(D699,1)))*24</f>
        <v>22.9999999990105</v>
      </c>
      <c r="M699" s="1" t="n">
        <f aca="false">IFERROR(INDEX(Sheet3!$B$2:$B$500,MATCH(1,(INT(C699)+MOD(D699,1)&lt;INT(Sheet3!$A$2:$A$500)+TIME(18,0,0))*(INT(E699)+MOD(F699,1)&gt;=INT(Sheet3!$A$2:$A$500)),0)),0)</f>
        <v>0</v>
      </c>
      <c r="N699" s="1" t="n">
        <f aca="false">IF(OR( AND(Q699=6,D699&gt;=TIME(17,0,0),OR(K699="12H Night",K699="Couple Half Night",K699="24H Night",K699="Couple Full Night")), AND(Q699=7,D699&gt;=TIME(6,0,0),D699&lt;TIME(12,0,0),OR(K699="12H Day",K699="Couple Half Day",K699="24H Day",K699="Couple Full Day")) ),1,0)</f>
        <v>0</v>
      </c>
      <c r="O699" s="1" t="n">
        <f aca="false">IF(OR( AND(MONTH(C699)=12,DAY(C699)&gt;=26), AND(MONTH(C699)=4,DAY(C699)&gt;=15), MONTH(C699)=5, AND(MONTH(C699)=6,DAY(C699)&lt;=10) ),1,0)</f>
        <v>1</v>
      </c>
      <c r="P699" s="1" t="str">
        <f aca="false">IF(OR(MONTH(C699)=3,MONTH(C699)=4,MONTH(C699)=5,MONTH(C699)=6), "Summer", IF(OR(MONTH(C699)=7,MONTH(C699)=8,MONTH(C699)=9,MONTH(C699)=10), "Monsoon", "Winter"))</f>
        <v>Summer</v>
      </c>
      <c r="Q699" s="1" t="n">
        <f aca="false">WEEKDAY(C699,2)</f>
        <v>3</v>
      </c>
      <c r="R699" s="0" t="n">
        <f aca="false">ROUNDDOWN(((INT(C699)+MOD(D699,1))-(INT(I699)+MOD(J699,1))),0)</f>
        <v>10</v>
      </c>
      <c r="S699" s="10"/>
    </row>
    <row r="700" customFormat="false" ht="192.95" hidden="false" customHeight="false" outlineLevel="0" collapsed="false">
      <c r="A700" s="8" t="s">
        <v>1251</v>
      </c>
      <c r="B700" s="22" t="s">
        <v>1252</v>
      </c>
      <c r="C700" s="18" t="n">
        <v>46163.7916666667</v>
      </c>
      <c r="D700" s="19" t="n">
        <v>46163.7916666667</v>
      </c>
      <c r="E700" s="18" t="n">
        <v>46164.75</v>
      </c>
      <c r="F700" s="19" t="n">
        <v>46164.75</v>
      </c>
      <c r="G700" s="20" t="n">
        <v>6000</v>
      </c>
      <c r="H700" s="8" t="n">
        <v>10</v>
      </c>
      <c r="I700" s="10" t="n">
        <v>46157</v>
      </c>
      <c r="J700" s="11" t="n">
        <v>0.74024305555213</v>
      </c>
      <c r="K700" s="1" t="str">
        <f aca="false">IF(L700&gt;24,     IF(H700=2,"Couple Extended Day","Extended Day"), IF(L700&lt;=12,     IF(AND(MOD(D700,1)&gt;=TIME(6,0,0),MOD(D700,1)&lt;TIME(18,0,0)),         IF(H700=2,"Couple Half Day","12H Day"),         IF(H700=2,"Couple Half Night","12H Night")), IF(L700&lt;=24,     IF(AND(MOD(D700,1)&gt;=TIME(6,0,0),MOD(D700,1)&lt;TIME(18,0,0)),         IF(H700=2,"Couple Full Day","24H Day"),         IF(H700=2,"Couple Full Night","24H Night")), "Check Data")))</f>
        <v>24H Night</v>
      </c>
      <c r="L700" s="12" t="n">
        <f aca="false">((INT(E700)+MOD(F700,1))-(INT(C700)+MOD(D700,1)))*24</f>
        <v>22.9999999990105</v>
      </c>
      <c r="M700" s="1" t="n">
        <f aca="false">IFERROR(INDEX(Sheet3!$B$2:$B$500,MATCH(1,(INT(C700)+MOD(D700,1)&lt;INT(Sheet3!$A$2:$A$500)+TIME(18,0,0))*(INT(E700)+MOD(F700,1)&gt;=INT(Sheet3!$A$2:$A$500)),0)),0)</f>
        <v>0</v>
      </c>
      <c r="N700" s="1" t="n">
        <f aca="false">IF(OR( AND(Q700=6,D700&gt;=TIME(17,0,0),OR(K700="12H Night",K700="Couple Half Night",K700="24H Night",K700="Couple Full Night")), AND(Q700=7,D700&gt;=TIME(6,0,0),D700&lt;TIME(12,0,0),OR(K700="12H Day",K700="Couple Half Day",K700="24H Day",K700="Couple Full Day")) ),1,0)</f>
        <v>0</v>
      </c>
      <c r="O700" s="1" t="n">
        <f aca="false">IF(OR( AND(MONTH(C700)=12,DAY(C700)&gt;=26), AND(MONTH(C700)=4,DAY(C700)&gt;=15), MONTH(C700)=5, AND(MONTH(C700)=6,DAY(C700)&lt;=10) ),1,0)</f>
        <v>1</v>
      </c>
      <c r="P700" s="1" t="str">
        <f aca="false">IF(OR(MONTH(C700)=3,MONTH(C700)=4,MONTH(C700)=5,MONTH(C700)=6), "Summer", IF(OR(MONTH(C700)=7,MONTH(C700)=8,MONTH(C700)=9,MONTH(C700)=10), "Monsoon", "Winter"))</f>
        <v>Summer</v>
      </c>
      <c r="Q700" s="1" t="n">
        <f aca="false">WEEKDAY(C700,2)</f>
        <v>4</v>
      </c>
      <c r="R700" s="0" t="n">
        <f aca="false">ROUNDDOWN(((INT(C700)+MOD(D700,1))-(INT(I700)+MOD(J700,1))),0)</f>
        <v>6</v>
      </c>
      <c r="S700" s="10"/>
    </row>
    <row r="701" customFormat="false" ht="192.95" hidden="false" customHeight="false" outlineLevel="0" collapsed="false">
      <c r="A701" s="8" t="s">
        <v>1253</v>
      </c>
      <c r="B701" s="22" t="s">
        <v>1254</v>
      </c>
      <c r="C701" s="18" t="n">
        <v>46164.7916666667</v>
      </c>
      <c r="D701" s="19" t="n">
        <v>46164.7916666667</v>
      </c>
      <c r="E701" s="18" t="n">
        <v>46165.75</v>
      </c>
      <c r="F701" s="19" t="n">
        <v>46165.75</v>
      </c>
      <c r="G701" s="20" t="n">
        <v>6000</v>
      </c>
      <c r="H701" s="8" t="n">
        <v>4</v>
      </c>
      <c r="I701" s="10" t="n">
        <v>46156</v>
      </c>
      <c r="J701" s="11" t="n">
        <v>0.826145833329063</v>
      </c>
      <c r="K701" s="1" t="str">
        <f aca="false">IF(L701&gt;24,     IF(H701=2,"Couple Extended Day","Extended Day"), IF(L701&lt;=12,     IF(AND(MOD(D701,1)&gt;=TIME(6,0,0),MOD(D701,1)&lt;TIME(18,0,0)),         IF(H701=2,"Couple Half Day","12H Day"),         IF(H701=2,"Couple Half Night","12H Night")), IF(L701&lt;=24,     IF(AND(MOD(D701,1)&gt;=TIME(6,0,0),MOD(D701,1)&lt;TIME(18,0,0)),         IF(H701=2,"Couple Full Day","24H Day"),         IF(H701=2,"Couple Full Night","24H Night")), "Check Data")))</f>
        <v>24H Night</v>
      </c>
      <c r="L701" s="12" t="n">
        <f aca="false">((INT(E701)+MOD(F701,1))-(INT(C701)+MOD(D701,1)))*24</f>
        <v>22.9999999990105</v>
      </c>
      <c r="M701" s="1" t="n">
        <f aca="false">IFERROR(INDEX(Sheet3!$B$2:$B$500,MATCH(1,(INT(C701)+MOD(D701,1)&lt;INT(Sheet3!$A$2:$A$500)+TIME(18,0,0))*(INT(E701)+MOD(F701,1)&gt;=INT(Sheet3!$A$2:$A$500)),0)),0)</f>
        <v>0</v>
      </c>
      <c r="N701" s="1" t="n">
        <f aca="false">IF(OR( AND(Q701=6,D701&gt;=TIME(17,0,0),OR(K701="12H Night",K701="Couple Half Night",K701="24H Night",K701="Couple Full Night")), AND(Q701=7,D701&gt;=TIME(6,0,0),D701&lt;TIME(12,0,0),OR(K701="12H Day",K701="Couple Half Day",K701="24H Day",K701="Couple Full Day")) ),1,0)</f>
        <v>0</v>
      </c>
      <c r="O701" s="1" t="n">
        <f aca="false">IF(OR( AND(MONTH(C701)=12,DAY(C701)&gt;=26), AND(MONTH(C701)=4,DAY(C701)&gt;=15), MONTH(C701)=5, AND(MONTH(C701)=6,DAY(C701)&lt;=10) ),1,0)</f>
        <v>1</v>
      </c>
      <c r="P701" s="1" t="str">
        <f aca="false">IF(OR(MONTH(C701)=3,MONTH(C701)=4,MONTH(C701)=5,MONTH(C701)=6), "Summer", IF(OR(MONTH(C701)=7,MONTH(C701)=8,MONTH(C701)=9,MONTH(C701)=10), "Monsoon", "Winter"))</f>
        <v>Summer</v>
      </c>
      <c r="Q701" s="1" t="n">
        <f aca="false">WEEKDAY(C701,2)</f>
        <v>5</v>
      </c>
      <c r="R701" s="0" t="n">
        <f aca="false">ROUNDDOWN(((INT(C701)+MOD(D701,1))-(INT(I701)+MOD(J701,1))),0)</f>
        <v>7</v>
      </c>
      <c r="S701" s="10"/>
    </row>
    <row r="702" customFormat="false" ht="146.45" hidden="false" customHeight="false" outlineLevel="0" collapsed="false">
      <c r="A702" s="8" t="s">
        <v>1255</v>
      </c>
      <c r="B702" s="22" t="s">
        <v>1256</v>
      </c>
      <c r="C702" s="18" t="n">
        <v>46165.7916666667</v>
      </c>
      <c r="D702" s="19" t="n">
        <v>46165.7916666667</v>
      </c>
      <c r="E702" s="18" t="n">
        <v>46166.75</v>
      </c>
      <c r="F702" s="19" t="n">
        <v>46166.75</v>
      </c>
      <c r="G702" s="20" t="n">
        <v>14000</v>
      </c>
      <c r="H702" s="8" t="n">
        <v>10</v>
      </c>
      <c r="I702" s="10" t="n">
        <v>46161</v>
      </c>
      <c r="J702" s="11" t="n">
        <v>0.626111111108912</v>
      </c>
      <c r="K702" s="1" t="str">
        <f aca="false">IF(L702&gt;24,     IF(H702=2,"Couple Extended Day","Extended Day"), IF(L702&lt;=12,     IF(AND(MOD(D702,1)&gt;=TIME(6,0,0),MOD(D702,1)&lt;TIME(18,0,0)),         IF(H702=2,"Couple Half Day","12H Day"),         IF(H702=2,"Couple Half Night","12H Night")), IF(L702&lt;=24,     IF(AND(MOD(D702,1)&gt;=TIME(6,0,0),MOD(D702,1)&lt;TIME(18,0,0)),         IF(H702=2,"Couple Full Day","24H Day"),         IF(H702=2,"Couple Full Night","24H Night")), "Check Data")))</f>
        <v>24H Night</v>
      </c>
      <c r="L702" s="12" t="n">
        <f aca="false">((INT(E702)+MOD(F702,1))-(INT(C702)+MOD(D702,1)))*24</f>
        <v>22.9999999990105</v>
      </c>
      <c r="M702" s="1" t="n">
        <f aca="false">IFERROR(INDEX(Sheet3!$B$2:$B$500,MATCH(1,(INT(C702)+MOD(D702,1)&lt;INT(Sheet3!$A$2:$A$500)+TIME(18,0,0))*(INT(E702)+MOD(F702,1)&gt;=INT(Sheet3!$A$2:$A$500)),0)),0)</f>
        <v>0</v>
      </c>
      <c r="N702" s="1" t="n">
        <f aca="false">IF(OR( AND(Q702=6,D702&gt;=TIME(17,0,0),OR(K702="12H Night",K702="Couple Half Night",K702="24H Night",K702="Couple Full Night")), AND(Q702=7,D702&gt;=TIME(6,0,0),D702&lt;TIME(12,0,0),OR(K702="12H Day",K702="Couple Half Day",K702="24H Day",K702="Couple Full Day")) ),1,0)</f>
        <v>1</v>
      </c>
      <c r="O702" s="1" t="n">
        <f aca="false">IF(OR( AND(MONTH(C702)=12,DAY(C702)&gt;=26), AND(MONTH(C702)=4,DAY(C702)&gt;=15), MONTH(C702)=5, AND(MONTH(C702)=6,DAY(C702)&lt;=10) ),1,0)</f>
        <v>1</v>
      </c>
      <c r="P702" s="1" t="str">
        <f aca="false">IF(OR(MONTH(C702)=3,MONTH(C702)=4,MONTH(C702)=5,MONTH(C702)=6), "Summer", IF(OR(MONTH(C702)=7,MONTH(C702)=8,MONTH(C702)=9,MONTH(C702)=10), "Monsoon", "Winter"))</f>
        <v>Summer</v>
      </c>
      <c r="Q702" s="1" t="n">
        <f aca="false">WEEKDAY(C702,2)</f>
        <v>6</v>
      </c>
      <c r="R702" s="0" t="n">
        <f aca="false">ROUNDDOWN(((INT(C702)+MOD(D702,1))-(INT(I702)+MOD(J702,1))),0)</f>
        <v>4</v>
      </c>
      <c r="S702" s="10"/>
    </row>
    <row r="703" customFormat="false" ht="212.2" hidden="false" customHeight="false" outlineLevel="0" collapsed="false">
      <c r="A703" s="8" t="s">
        <v>1257</v>
      </c>
      <c r="B703" s="22" t="s">
        <v>1258</v>
      </c>
      <c r="C703" s="18" t="n">
        <v>46166.7916666667</v>
      </c>
      <c r="D703" s="19" t="n">
        <v>46166.7916666667</v>
      </c>
      <c r="E703" s="18" t="n">
        <v>46167.75</v>
      </c>
      <c r="F703" s="19" t="n">
        <v>46167.75</v>
      </c>
      <c r="G703" s="20" t="n">
        <v>6500</v>
      </c>
      <c r="H703" s="8" t="n">
        <v>15</v>
      </c>
      <c r="I703" s="10" t="n">
        <v>46164</v>
      </c>
      <c r="J703" s="11" t="n">
        <v>0.804016203706852</v>
      </c>
      <c r="K703" s="1" t="str">
        <f aca="false">IF(L703&gt;24,     IF(H703=2,"Couple Extended Day","Extended Day"), IF(L703&lt;=12,     IF(AND(MOD(D703,1)&gt;=TIME(6,0,0),MOD(D703,1)&lt;TIME(18,0,0)),         IF(H703=2,"Couple Half Day","12H Day"),         IF(H703=2,"Couple Half Night","12H Night")), IF(L703&lt;=24,     IF(AND(MOD(D703,1)&gt;=TIME(6,0,0),MOD(D703,1)&lt;TIME(18,0,0)),         IF(H703=2,"Couple Full Day","24H Day"),         IF(H703=2,"Couple Full Night","24H Night")), "Check Data")))</f>
        <v>24H Night</v>
      </c>
      <c r="L703" s="12" t="n">
        <f aca="false">((INT(E703)+MOD(F703,1))-(INT(C703)+MOD(D703,1)))*24</f>
        <v>22.9999999990105</v>
      </c>
      <c r="M703" s="1" t="n">
        <f aca="false">IFERROR(INDEX(Sheet3!$B$2:$B$500,MATCH(1,(INT(C703)+MOD(D703,1)&lt;INT(Sheet3!$A$2:$A$500)+TIME(18,0,0))*(INT(E703)+MOD(F703,1)&gt;=INT(Sheet3!$A$2:$A$500)),0)),0)</f>
        <v>0</v>
      </c>
      <c r="N703" s="1" t="n">
        <f aca="false">IF(OR( AND(Q703=6,D703&gt;=TIME(17,0,0),OR(K703="12H Night",K703="Couple Half Night",K703="24H Night",K703="Couple Full Night")), AND(Q703=7,D703&gt;=TIME(6,0,0),D703&lt;TIME(12,0,0),OR(K703="12H Day",K703="Couple Half Day",K703="24H Day",K703="Couple Full Day")) ),1,0)</f>
        <v>0</v>
      </c>
      <c r="O703" s="1" t="n">
        <f aca="false">IF(OR( AND(MONTH(C703)=12,DAY(C703)&gt;=26), AND(MONTH(C703)=4,DAY(C703)&gt;=15), MONTH(C703)=5, AND(MONTH(C703)=6,DAY(C703)&lt;=10) ),1,0)</f>
        <v>1</v>
      </c>
      <c r="P703" s="1" t="str">
        <f aca="false">IF(OR(MONTH(C703)=3,MONTH(C703)=4,MONTH(C703)=5,MONTH(C703)=6), "Summer", IF(OR(MONTH(C703)=7,MONTH(C703)=8,MONTH(C703)=9,MONTH(C703)=10), "Monsoon", "Winter"))</f>
        <v>Summer</v>
      </c>
      <c r="Q703" s="1" t="n">
        <f aca="false">WEEKDAY(C703,2)</f>
        <v>7</v>
      </c>
      <c r="R703" s="0" t="n">
        <f aca="false">ROUNDDOWN(((INT(C703)+MOD(D703,1))-(INT(I703)+MOD(J703,1))),0)</f>
        <v>1</v>
      </c>
      <c r="S703" s="10"/>
    </row>
    <row r="704" customFormat="false" ht="146.45" hidden="false" customHeight="false" outlineLevel="0" collapsed="false">
      <c r="A704" s="8" t="s">
        <v>1259</v>
      </c>
      <c r="B704" s="22" t="s">
        <v>1260</v>
      </c>
      <c r="C704" s="18" t="n">
        <v>46167.7916666667</v>
      </c>
      <c r="D704" s="19" t="n">
        <v>46167.7916666667</v>
      </c>
      <c r="E704" s="18" t="n">
        <v>46168.75</v>
      </c>
      <c r="F704" s="19" t="n">
        <v>46168.75</v>
      </c>
      <c r="G704" s="20" t="n">
        <v>6500</v>
      </c>
      <c r="H704" s="8" t="n">
        <v>15</v>
      </c>
      <c r="I704" s="10" t="n">
        <v>46162</v>
      </c>
      <c r="J704" s="11" t="n">
        <v>0.55777777777985</v>
      </c>
      <c r="K704" s="1" t="str">
        <f aca="false">IF(L704&gt;24,     IF(H704=2,"Couple Extended Day","Extended Day"), IF(L704&lt;=12,     IF(AND(MOD(D704,1)&gt;=TIME(6,0,0),MOD(D704,1)&lt;TIME(18,0,0)),         IF(H704=2,"Couple Half Day","12H Day"),         IF(H704=2,"Couple Half Night","12H Night")), IF(L704&lt;=24,     IF(AND(MOD(D704,1)&gt;=TIME(6,0,0),MOD(D704,1)&lt;TIME(18,0,0)),         IF(H704=2,"Couple Full Day","24H Day"),         IF(H704=2,"Couple Full Night","24H Night")), "Check Data")))</f>
        <v>24H Night</v>
      </c>
      <c r="L704" s="12" t="n">
        <f aca="false">((INT(E704)+MOD(F704,1))-(INT(C704)+MOD(D704,1)))*24</f>
        <v>22.9999999990105</v>
      </c>
      <c r="M704" s="1" t="n">
        <f aca="false">IFERROR(INDEX(Sheet3!$B$2:$B$500,MATCH(1,(INT(C704)+MOD(D704,1)&lt;INT(Sheet3!$A$2:$A$500)+TIME(18,0,0))*(INT(E704)+MOD(F704,1)&gt;=INT(Sheet3!$A$2:$A$500)),0)),0)</f>
        <v>0</v>
      </c>
      <c r="N704" s="1" t="n">
        <f aca="false">IF(OR( AND(Q704=6,D704&gt;=TIME(17,0,0),OR(K704="12H Night",K704="Couple Half Night",K704="24H Night",K704="Couple Full Night")), AND(Q704=7,D704&gt;=TIME(6,0,0),D704&lt;TIME(12,0,0),OR(K704="12H Day",K704="Couple Half Day",K704="24H Day",K704="Couple Full Day")) ),1,0)</f>
        <v>0</v>
      </c>
      <c r="O704" s="1" t="n">
        <f aca="false">IF(OR( AND(MONTH(C704)=12,DAY(C704)&gt;=26), AND(MONTH(C704)=4,DAY(C704)&gt;=15), MONTH(C704)=5, AND(MONTH(C704)=6,DAY(C704)&lt;=10) ),1,0)</f>
        <v>1</v>
      </c>
      <c r="P704" s="1" t="str">
        <f aca="false">IF(OR(MONTH(C704)=3,MONTH(C704)=4,MONTH(C704)=5,MONTH(C704)=6), "Summer", IF(OR(MONTH(C704)=7,MONTH(C704)=8,MONTH(C704)=9,MONTH(C704)=10), "Monsoon", "Winter"))</f>
        <v>Summer</v>
      </c>
      <c r="Q704" s="1" t="n">
        <f aca="false">WEEKDAY(C704,2)</f>
        <v>1</v>
      </c>
      <c r="R704" s="0" t="n">
        <f aca="false">ROUNDDOWN(((INT(C704)+MOD(D704,1))-(INT(I704)+MOD(J704,1))),0)</f>
        <v>5</v>
      </c>
      <c r="S704" s="10"/>
    </row>
    <row r="705" customFormat="false" ht="192.95" hidden="false" customHeight="false" outlineLevel="0" collapsed="false">
      <c r="A705" s="8" t="s">
        <v>1261</v>
      </c>
      <c r="B705" s="22" t="s">
        <v>1262</v>
      </c>
      <c r="C705" s="18" t="n">
        <v>46168.7916666667</v>
      </c>
      <c r="D705" s="19" t="n">
        <v>46168.7916666667</v>
      </c>
      <c r="E705" s="18" t="n">
        <v>46169.75</v>
      </c>
      <c r="F705" s="19" t="n">
        <v>46169.75</v>
      </c>
      <c r="G705" s="20" t="n">
        <v>6500</v>
      </c>
      <c r="H705" s="8" t="n">
        <v>8</v>
      </c>
      <c r="I705" s="10" t="n">
        <v>46160</v>
      </c>
      <c r="J705" s="11" t="n">
        <v>0.919490740736366</v>
      </c>
      <c r="K705" s="1" t="str">
        <f aca="false">IF(L705&gt;24,     IF(H705=2,"Couple Extended Day","Extended Day"), IF(L705&lt;=12,     IF(AND(MOD(D705,1)&gt;=TIME(6,0,0),MOD(D705,1)&lt;TIME(18,0,0)),         IF(H705=2,"Couple Half Day","12H Day"),         IF(H705=2,"Couple Half Night","12H Night")), IF(L705&lt;=24,     IF(AND(MOD(D705,1)&gt;=TIME(6,0,0),MOD(D705,1)&lt;TIME(18,0,0)),         IF(H705=2,"Couple Full Day","24H Day"),         IF(H705=2,"Couple Full Night","24H Night")), "Check Data")))</f>
        <v>24H Night</v>
      </c>
      <c r="L705" s="12" t="n">
        <f aca="false">((INT(E705)+MOD(F705,1))-(INT(C705)+MOD(D705,1)))*24</f>
        <v>22.9999999990105</v>
      </c>
      <c r="M705" s="1" t="n">
        <f aca="false">IFERROR(INDEX(Sheet3!$B$2:$B$500,MATCH(1,(INT(C705)+MOD(D705,1)&lt;INT(Sheet3!$A$2:$A$500)+TIME(18,0,0))*(INT(E705)+MOD(F705,1)&gt;=INT(Sheet3!$A$2:$A$500)),0)),0)</f>
        <v>0</v>
      </c>
      <c r="N705" s="1" t="n">
        <f aca="false">IF(OR( AND(Q705=6,D705&gt;=TIME(17,0,0),OR(K705="12H Night",K705="Couple Half Night",K705="24H Night",K705="Couple Full Night")), AND(Q705=7,D705&gt;=TIME(6,0,0),D705&lt;TIME(12,0,0),OR(K705="12H Day",K705="Couple Half Day",K705="24H Day",K705="Couple Full Day")) ),1,0)</f>
        <v>0</v>
      </c>
      <c r="O705" s="1" t="n">
        <f aca="false">IF(OR( AND(MONTH(C705)=12,DAY(C705)&gt;=26), AND(MONTH(C705)=4,DAY(C705)&gt;=15), MONTH(C705)=5, AND(MONTH(C705)=6,DAY(C705)&lt;=10) ),1,0)</f>
        <v>1</v>
      </c>
      <c r="P705" s="1" t="str">
        <f aca="false">IF(OR(MONTH(C705)=3,MONTH(C705)=4,MONTH(C705)=5,MONTH(C705)=6), "Summer", IF(OR(MONTH(C705)=7,MONTH(C705)=8,MONTH(C705)=9,MONTH(C705)=10), "Monsoon", "Winter"))</f>
        <v>Summer</v>
      </c>
      <c r="Q705" s="1" t="n">
        <f aca="false">WEEKDAY(C705,2)</f>
        <v>2</v>
      </c>
      <c r="R705" s="0" t="n">
        <f aca="false">ROUNDDOWN(((INT(C705)+MOD(D705,1))-(INT(I705)+MOD(J705,1))),0)</f>
        <v>7</v>
      </c>
      <c r="S705" s="10"/>
    </row>
    <row r="706" customFormat="false" ht="192.95" hidden="false" customHeight="false" outlineLevel="0" collapsed="false">
      <c r="A706" s="8" t="s">
        <v>1263</v>
      </c>
      <c r="B706" s="22" t="s">
        <v>1264</v>
      </c>
      <c r="C706" s="18" t="n">
        <v>46169.7916666667</v>
      </c>
      <c r="D706" s="19" t="n">
        <v>46169.7916666667</v>
      </c>
      <c r="E706" s="18" t="n">
        <v>46170.75</v>
      </c>
      <c r="F706" s="19" t="n">
        <v>46170.75</v>
      </c>
      <c r="G706" s="20" t="n">
        <v>7000</v>
      </c>
      <c r="H706" s="8" t="n">
        <v>22</v>
      </c>
      <c r="I706" s="10" t="n">
        <v>46168</v>
      </c>
      <c r="J706" s="11" t="n">
        <v>0.539131944446123</v>
      </c>
      <c r="K706" s="1" t="str">
        <f aca="false">IF(L706&gt;24,     IF(H706=2,"Couple Extended Day","Extended Day"), IF(L706&lt;=12,     IF(AND(MOD(D706,1)&gt;=TIME(6,0,0),MOD(D706,1)&lt;TIME(18,0,0)),         IF(H706=2,"Couple Half Day","12H Day"),         IF(H706=2,"Couple Half Night","12H Night")), IF(L706&lt;=24,     IF(AND(MOD(D706,1)&gt;=TIME(6,0,0),MOD(D706,1)&lt;TIME(18,0,0)),         IF(H706=2,"Couple Full Day","24H Day"),         IF(H706=2,"Couple Full Night","24H Night")), "Check Data")))</f>
        <v>24H Night</v>
      </c>
      <c r="L706" s="12" t="n">
        <f aca="false">((INT(E706)+MOD(F706,1))-(INT(C706)+MOD(D706,1)))*24</f>
        <v>22.9999999990105</v>
      </c>
      <c r="M706" s="1" t="n">
        <f aca="false">IFERROR(INDEX(Sheet3!$B$2:$B$500,MATCH(1,(INT(C706)+MOD(D706,1)&lt;INT(Sheet3!$A$2:$A$500)+TIME(18,0,0))*(INT(E706)+MOD(F706,1)&gt;=INT(Sheet3!$A$2:$A$500)),0)),0)</f>
        <v>0</v>
      </c>
      <c r="N706" s="1" t="n">
        <f aca="false">IF(OR( AND(Q706=6,D706&gt;=TIME(17,0,0),OR(K706="12H Night",K706="Couple Half Night",K706="24H Night",K706="Couple Full Night")), AND(Q706=7,D706&gt;=TIME(6,0,0),D706&lt;TIME(12,0,0),OR(K706="12H Day",K706="Couple Half Day",K706="24H Day",K706="Couple Full Day")) ),1,0)</f>
        <v>0</v>
      </c>
      <c r="O706" s="1" t="n">
        <f aca="false">IF(OR( AND(MONTH(C706)=12,DAY(C706)&gt;=26), AND(MONTH(C706)=4,DAY(C706)&gt;=15), MONTH(C706)=5, AND(MONTH(C706)=6,DAY(C706)&lt;=10) ),1,0)</f>
        <v>1</v>
      </c>
      <c r="P706" s="1" t="str">
        <f aca="false">IF(OR(MONTH(C706)=3,MONTH(C706)=4,MONTH(C706)=5,MONTH(C706)=6), "Summer", IF(OR(MONTH(C706)=7,MONTH(C706)=8,MONTH(C706)=9,MONTH(C706)=10), "Monsoon", "Winter"))</f>
        <v>Summer</v>
      </c>
      <c r="Q706" s="1" t="n">
        <f aca="false">WEEKDAY(C706,2)</f>
        <v>3</v>
      </c>
      <c r="R706" s="0" t="n">
        <f aca="false">ROUNDDOWN(((INT(C706)+MOD(D706,1))-(INT(I706)+MOD(J706,1))),0)</f>
        <v>1</v>
      </c>
      <c r="S706" s="10"/>
    </row>
    <row r="707" customFormat="false" ht="192.95" hidden="false" customHeight="false" outlineLevel="0" collapsed="false">
      <c r="A707" s="8" t="s">
        <v>1265</v>
      </c>
      <c r="B707" s="22" t="s">
        <v>1266</v>
      </c>
      <c r="C707" s="18" t="n">
        <v>46170.7916666667</v>
      </c>
      <c r="D707" s="19" t="n">
        <v>46170.7916666667</v>
      </c>
      <c r="E707" s="18" t="n">
        <v>46171.75</v>
      </c>
      <c r="F707" s="19" t="n">
        <v>46171.75</v>
      </c>
      <c r="G707" s="20" t="n">
        <v>6500</v>
      </c>
      <c r="H707" s="8" t="n">
        <v>12</v>
      </c>
      <c r="I707" s="10" t="n">
        <v>46166</v>
      </c>
      <c r="J707" s="11" t="n">
        <v>0.713148148148322</v>
      </c>
      <c r="K707" s="1" t="str">
        <f aca="false">IF(L707&gt;24,     IF(H707=2,"Couple Extended Day","Extended Day"), IF(L707&lt;=12,     IF(AND(MOD(D707,1)&gt;=TIME(6,0,0),MOD(D707,1)&lt;TIME(18,0,0)),         IF(H707=2,"Couple Half Day","12H Day"),         IF(H707=2,"Couple Half Night","12H Night")), IF(L707&lt;=24,     IF(AND(MOD(D707,1)&gt;=TIME(6,0,0),MOD(D707,1)&lt;TIME(18,0,0)),         IF(H707=2,"Couple Full Day","24H Day"),         IF(H707=2,"Couple Full Night","24H Night")), "Check Data")))</f>
        <v>24H Night</v>
      </c>
      <c r="L707" s="12" t="n">
        <f aca="false">((INT(E707)+MOD(F707,1))-(INT(C707)+MOD(D707,1)))*24</f>
        <v>22.9999999990105</v>
      </c>
      <c r="M707" s="1" t="n">
        <f aca="false">IFERROR(INDEX(Sheet3!$B$2:$B$500,MATCH(1,(INT(C707)+MOD(D707,1)&lt;INT(Sheet3!$A$2:$A$500)+TIME(18,0,0))*(INT(E707)+MOD(F707,1)&gt;=INT(Sheet3!$A$2:$A$500)),0)),0)</f>
        <v>0</v>
      </c>
      <c r="N707" s="1" t="n">
        <f aca="false">IF(OR( AND(Q707=6,D707&gt;=TIME(17,0,0),OR(K707="12H Night",K707="Couple Half Night",K707="24H Night",K707="Couple Full Night")), AND(Q707=7,D707&gt;=TIME(6,0,0),D707&lt;TIME(12,0,0),OR(K707="12H Day",K707="Couple Half Day",K707="24H Day",K707="Couple Full Day")) ),1,0)</f>
        <v>0</v>
      </c>
      <c r="O707" s="1" t="n">
        <f aca="false">IF(OR( AND(MONTH(C707)=12,DAY(C707)&gt;=26), AND(MONTH(C707)=4,DAY(C707)&gt;=15), MONTH(C707)=5, AND(MONTH(C707)=6,DAY(C707)&lt;=10) ),1,0)</f>
        <v>1</v>
      </c>
      <c r="P707" s="1" t="str">
        <f aca="false">IF(OR(MONTH(C707)=3,MONTH(C707)=4,MONTH(C707)=5,MONTH(C707)=6), "Summer", IF(OR(MONTH(C707)=7,MONTH(C707)=8,MONTH(C707)=9,MONTH(C707)=10), "Monsoon", "Winter"))</f>
        <v>Summer</v>
      </c>
      <c r="Q707" s="1" t="n">
        <f aca="false">WEEKDAY(C707,2)</f>
        <v>4</v>
      </c>
      <c r="R707" s="0" t="n">
        <f aca="false">ROUNDDOWN(((INT(C707)+MOD(D707,1))-(INT(I707)+MOD(J707,1))),0)</f>
        <v>4</v>
      </c>
      <c r="S707" s="10"/>
    </row>
    <row r="708" customFormat="false" ht="264.75" hidden="false" customHeight="false" outlineLevel="0" collapsed="false">
      <c r="A708" s="8" t="s">
        <v>1267</v>
      </c>
      <c r="B708" s="22" t="s">
        <v>1268</v>
      </c>
      <c r="C708" s="18" t="n">
        <v>46171.7916666667</v>
      </c>
      <c r="D708" s="19" t="n">
        <v>46171.7916666667</v>
      </c>
      <c r="E708" s="18" t="n">
        <v>46172.75</v>
      </c>
      <c r="F708" s="19" t="n">
        <v>46172.75</v>
      </c>
      <c r="G708" s="20" t="n">
        <v>6500</v>
      </c>
      <c r="H708" s="8" t="n">
        <v>17</v>
      </c>
      <c r="I708" s="10" t="n">
        <v>46167</v>
      </c>
      <c r="J708" s="11" t="n">
        <v>0.645844907412535</v>
      </c>
      <c r="K708" s="1" t="str">
        <f aca="false">IF(L708&gt;24,     IF(H708=2,"Couple Extended Day","Extended Day"), IF(L708&lt;=12,     IF(AND(MOD(D708,1)&gt;=TIME(6,0,0),MOD(D708,1)&lt;TIME(18,0,0)),         IF(H708=2,"Couple Half Day","12H Day"),         IF(H708=2,"Couple Half Night","12H Night")), IF(L708&lt;=24,     IF(AND(MOD(D708,1)&gt;=TIME(6,0,0),MOD(D708,1)&lt;TIME(18,0,0)),         IF(H708=2,"Couple Full Day","24H Day"),         IF(H708=2,"Couple Full Night","24H Night")), "Check Data")))</f>
        <v>24H Night</v>
      </c>
      <c r="L708" s="12" t="n">
        <f aca="false">((INT(E708)+MOD(F708,1))-(INT(C708)+MOD(D708,1)))*24</f>
        <v>22.9999999990105</v>
      </c>
      <c r="M708" s="1" t="n">
        <f aca="false">IFERROR(INDEX(Sheet3!$B$2:$B$500,MATCH(1,(INT(C708)+MOD(D708,1)&lt;INT(Sheet3!$A$2:$A$500)+TIME(18,0,0))*(INT(E708)+MOD(F708,1)&gt;=INT(Sheet3!$A$2:$A$500)),0)),0)</f>
        <v>0</v>
      </c>
      <c r="N708" s="1" t="n">
        <f aca="false">IF(OR( AND(Q708=6,D708&gt;=TIME(17,0,0),OR(K708="12H Night",K708="Couple Half Night",K708="24H Night",K708="Couple Full Night")), AND(Q708=7,D708&gt;=TIME(6,0,0),D708&lt;TIME(12,0,0),OR(K708="12H Day",K708="Couple Half Day",K708="24H Day",K708="Couple Full Day")) ),1,0)</f>
        <v>0</v>
      </c>
      <c r="O708" s="1" t="n">
        <f aca="false">IF(OR( AND(MONTH(C708)=12,DAY(C708)&gt;=26), AND(MONTH(C708)=4,DAY(C708)&gt;=15), MONTH(C708)=5, AND(MONTH(C708)=6,DAY(C708)&lt;=10) ),1,0)</f>
        <v>1</v>
      </c>
      <c r="P708" s="1" t="str">
        <f aca="false">IF(OR(MONTH(C708)=3,MONTH(C708)=4,MONTH(C708)=5,MONTH(C708)=6), "Summer", IF(OR(MONTH(C708)=7,MONTH(C708)=8,MONTH(C708)=9,MONTH(C708)=10), "Monsoon", "Winter"))</f>
        <v>Summer</v>
      </c>
      <c r="Q708" s="1" t="n">
        <f aca="false">WEEKDAY(C708,2)</f>
        <v>5</v>
      </c>
      <c r="R708" s="0" t="n">
        <f aca="false">ROUNDDOWN(((INT(C708)+MOD(D708,1))-(INT(I708)+MOD(J708,1))),0)</f>
        <v>4</v>
      </c>
      <c r="S708" s="10"/>
    </row>
    <row r="709" customFormat="false" ht="146.45" hidden="false" customHeight="false" outlineLevel="0" collapsed="false">
      <c r="A709" s="8" t="s">
        <v>1269</v>
      </c>
      <c r="B709" s="22" t="s">
        <v>1270</v>
      </c>
      <c r="C709" s="18" t="n">
        <v>46172.7916666667</v>
      </c>
      <c r="D709" s="19" t="n">
        <v>46172.7916666667</v>
      </c>
      <c r="E709" s="18" t="n">
        <v>46173.75</v>
      </c>
      <c r="F709" s="19" t="n">
        <v>46173.75</v>
      </c>
      <c r="G709" s="20" t="n">
        <v>14000</v>
      </c>
      <c r="H709" s="8" t="n">
        <v>15</v>
      </c>
      <c r="I709" s="10" t="n">
        <v>46166</v>
      </c>
      <c r="J709" s="11" t="n">
        <v>0.52459490740875</v>
      </c>
      <c r="K709" s="1" t="str">
        <f aca="false">IF(L709&gt;24,     IF(H709=2,"Couple Extended Day","Extended Day"), IF(L709&lt;=12,     IF(AND(MOD(D709,1)&gt;=TIME(6,0,0),MOD(D709,1)&lt;TIME(18,0,0)),         IF(H709=2,"Couple Half Day","12H Day"),         IF(H709=2,"Couple Half Night","12H Night")), IF(L709&lt;=24,     IF(AND(MOD(D709,1)&gt;=TIME(6,0,0),MOD(D709,1)&lt;TIME(18,0,0)),         IF(H709=2,"Couple Full Day","24H Day"),         IF(H709=2,"Couple Full Night","24H Night")), "Check Data")))</f>
        <v>24H Night</v>
      </c>
      <c r="L709" s="12" t="n">
        <f aca="false">((INT(E709)+MOD(F709,1))-(INT(C709)+MOD(D709,1)))*24</f>
        <v>22.9999999990105</v>
      </c>
      <c r="M709" s="1" t="n">
        <f aca="false">IFERROR(INDEX(Sheet3!$B$2:$B$500,MATCH(1,(INT(C709)+MOD(D709,1)&lt;INT(Sheet3!$A$2:$A$500)+TIME(18,0,0))*(INT(E709)+MOD(F709,1)&gt;=INT(Sheet3!$A$2:$A$500)),0)),0)</f>
        <v>0</v>
      </c>
      <c r="N709" s="1" t="n">
        <f aca="false">IF(OR( AND(Q709=6,D709&gt;=TIME(17,0,0),OR(K709="12H Night",K709="Couple Half Night",K709="24H Night",K709="Couple Full Night")), AND(Q709=7,D709&gt;=TIME(6,0,0),D709&lt;TIME(12,0,0),OR(K709="12H Day",K709="Couple Half Day",K709="24H Day",K709="Couple Full Day")) ),1,0)</f>
        <v>1</v>
      </c>
      <c r="O709" s="1" t="n">
        <f aca="false">IF(OR( AND(MONTH(C709)=12,DAY(C709)&gt;=26), AND(MONTH(C709)=4,DAY(C709)&gt;=15), MONTH(C709)=5, AND(MONTH(C709)=6,DAY(C709)&lt;=10) ),1,0)</f>
        <v>1</v>
      </c>
      <c r="P709" s="1" t="str">
        <f aca="false">IF(OR(MONTH(C709)=3,MONTH(C709)=4,MONTH(C709)=5,MONTH(C709)=6), "Summer", IF(OR(MONTH(C709)=7,MONTH(C709)=8,MONTH(C709)=9,MONTH(C709)=10), "Monsoon", "Winter"))</f>
        <v>Summer</v>
      </c>
      <c r="Q709" s="1" t="n">
        <f aca="false">WEEKDAY(C709,2)</f>
        <v>6</v>
      </c>
      <c r="R709" s="0" t="n">
        <f aca="false">ROUNDDOWN(((INT(C709)+MOD(D709,1))-(INT(I709)+MOD(J709,1))),0)</f>
        <v>6</v>
      </c>
      <c r="S709" s="10"/>
    </row>
    <row r="710" customFormat="false" ht="204.9" hidden="false" customHeight="false" outlineLevel="0" collapsed="false">
      <c r="A710" s="8" t="s">
        <v>820</v>
      </c>
      <c r="B710" s="22" t="s">
        <v>1271</v>
      </c>
      <c r="C710" s="18" t="n">
        <v>46173.7916666667</v>
      </c>
      <c r="D710" s="19" t="n">
        <v>46173.7916666667</v>
      </c>
      <c r="E710" s="18" t="n">
        <v>46174.2916666667</v>
      </c>
      <c r="F710" s="19" t="n">
        <v>46174.2916666667</v>
      </c>
      <c r="G710" s="20" t="n">
        <v>4500</v>
      </c>
      <c r="H710" s="8" t="n">
        <v>14</v>
      </c>
      <c r="I710" s="10" t="n">
        <v>46172</v>
      </c>
      <c r="J710" s="11" t="n">
        <v>0.922916666662789</v>
      </c>
      <c r="K710" s="1" t="str">
        <f aca="false">IF(L710&gt;24,     IF(H710=2,"Couple Extended Day","Extended Day"), IF(L710&lt;=12,     IF(AND(MOD(D710,1)&gt;=TIME(6,0,0),MOD(D710,1)&lt;TIME(18,0,0)),         IF(H710=2,"Couple Half Day","12H Day"),         IF(H710=2,"Couple Half Night","12H Night")), IF(L710&lt;=24,     IF(AND(MOD(D710,1)&gt;=TIME(6,0,0),MOD(D710,1)&lt;TIME(18,0,0)),         IF(H710=2,"Couple Full Day","24H Day"),         IF(H710=2,"Couple Full Night","24H Night")), "Check Data")))</f>
        <v>12H Night</v>
      </c>
      <c r="L710" s="12" t="n">
        <f aca="false">((INT(E710)+MOD(F710,1))-(INT(C710)+MOD(D710,1)))*24</f>
        <v>12</v>
      </c>
      <c r="M710" s="1" t="n">
        <f aca="false">IFERROR(INDEX(Sheet3!$B$2:$B$500,MATCH(1,(INT(C710)+MOD(D710,1)&lt;INT(Sheet3!$A$2:$A$500)+TIME(18,0,0))*(INT(E710)+MOD(F710,1)&gt;=INT(Sheet3!$A$2:$A$500)),0)),0)</f>
        <v>0</v>
      </c>
      <c r="N710" s="1" t="n">
        <f aca="false">IF(OR( AND(Q710=6,D710&gt;=TIME(17,0,0),OR(K710="12H Night",K710="Couple Half Night",K710="24H Night",K710="Couple Full Night")), AND(Q710=7,D710&gt;=TIME(6,0,0),D710&lt;TIME(12,0,0),OR(K710="12H Day",K710="Couple Half Day",K710="24H Day",K710="Couple Full Day")) ),1,0)</f>
        <v>0</v>
      </c>
      <c r="O710" s="1" t="n">
        <f aca="false">IF(OR( AND(MONTH(C710)=12,DAY(C710)&gt;=26), AND(MONTH(C710)=4,DAY(C710)&gt;=15), MONTH(C710)=5, AND(MONTH(C710)=6,DAY(C710)&lt;=10) ),1,0)</f>
        <v>1</v>
      </c>
      <c r="P710" s="1" t="str">
        <f aca="false">IF(OR(MONTH(C710)=3,MONTH(C710)=4,MONTH(C710)=5,MONTH(C710)=6), "Summer", IF(OR(MONTH(C710)=7,MONTH(C710)=8,MONTH(C710)=9,MONTH(C710)=10), "Monsoon", "Winter"))</f>
        <v>Summer</v>
      </c>
      <c r="Q710" s="1" t="n">
        <f aca="false">WEEKDAY(C710,2)</f>
        <v>7</v>
      </c>
      <c r="R710" s="0" t="n">
        <f aca="false">ROUNDDOWN(((INT(C710)+MOD(D710,1))-(INT(I710)+MOD(J710,1))),0)</f>
        <v>0</v>
      </c>
      <c r="S710" s="10"/>
    </row>
    <row r="711" customFormat="false" ht="204.9" hidden="false" customHeight="false" outlineLevel="0" collapsed="false">
      <c r="A711" s="8" t="s">
        <v>1272</v>
      </c>
      <c r="B711" s="22" t="s">
        <v>1273</v>
      </c>
      <c r="C711" s="18" t="n">
        <v>46174.375</v>
      </c>
      <c r="D711" s="19" t="n">
        <v>46174.375</v>
      </c>
      <c r="E711" s="18" t="n">
        <v>46174.75</v>
      </c>
      <c r="F711" s="19" t="n">
        <v>46174.75</v>
      </c>
      <c r="G711" s="20" t="n">
        <v>4500</v>
      </c>
      <c r="H711" s="8" t="n">
        <v>10</v>
      </c>
      <c r="I711" s="10" t="n">
        <v>46172</v>
      </c>
      <c r="J711" s="11" t="n">
        <v>0.924282407402639</v>
      </c>
      <c r="K711" s="1" t="str">
        <f aca="false">IF(L711&gt;24,     IF(H711=2,"Couple Extended Day","Extended Day"), IF(L711&lt;=12,     IF(AND(MOD(D711,1)&gt;=TIME(6,0,0),MOD(D711,1)&lt;TIME(18,0,0)),         IF(H711=2,"Couple Half Day","12H Day"),         IF(H711=2,"Couple Half Night","12H Night")), IF(L711&lt;=24,     IF(AND(MOD(D711,1)&gt;=TIME(6,0,0),MOD(D711,1)&lt;TIME(18,0,0)),         IF(H711=2,"Couple Full Day","24H Day"),         IF(H711=2,"Couple Full Night","24H Night")), "Check Data")))</f>
        <v>12H Day</v>
      </c>
      <c r="L711" s="12" t="n">
        <f aca="false">((INT(E711)+MOD(F711,1))-(INT(C711)+MOD(D711,1)))*24</f>
        <v>9</v>
      </c>
      <c r="M711" s="1" t="n">
        <f aca="false">IFERROR(INDEX(Sheet3!$B$2:$B$500,MATCH(1,(INT(C711)+MOD(D711,1)&lt;INT(Sheet3!$A$2:$A$500)+TIME(18,0,0))*(INT(E711)+MOD(F711,1)&gt;=INT(Sheet3!$A$2:$A$500)),0)),0)</f>
        <v>0</v>
      </c>
      <c r="N711" s="1" t="n">
        <f aca="false">IF(OR( AND(Q711=6,D711&gt;=TIME(17,0,0),OR(K711="12H Night",K711="Couple Half Night",K711="24H Night",K711="Couple Full Night")), AND(Q711=7,D711&gt;=TIME(6,0,0),D711&lt;TIME(12,0,0),OR(K711="12H Day",K711="Couple Half Day",K711="24H Day",K711="Couple Full Day")) ),1,0)</f>
        <v>0</v>
      </c>
      <c r="O711" s="1" t="n">
        <f aca="false">IF(OR( AND(MONTH(C711)=12,DAY(C711)&gt;=26), AND(MONTH(C711)=4,DAY(C711)&gt;=15), MONTH(C711)=5, AND(MONTH(C711)=6,DAY(C711)&lt;=10) ),1,0)</f>
        <v>1</v>
      </c>
      <c r="P711" s="1" t="str">
        <f aca="false">IF(OR(MONTH(C711)=3,MONTH(C711)=4,MONTH(C711)=5,MONTH(C711)=6), "Summer", IF(OR(MONTH(C711)=7,MONTH(C711)=8,MONTH(C711)=9,MONTH(C711)=10), "Monsoon", "Winter"))</f>
        <v>Summer</v>
      </c>
      <c r="Q711" s="1" t="n">
        <f aca="false">WEEKDAY(C711,2)</f>
        <v>1</v>
      </c>
      <c r="R711" s="0" t="n">
        <f aca="false">ROUNDDOWN(((INT(C711)+MOD(D711,1))-(INT(I711)+MOD(J711,1))),0)</f>
        <v>1</v>
      </c>
      <c r="S711" s="10"/>
    </row>
    <row r="712" customFormat="false" ht="199.05" hidden="false" customHeight="false" outlineLevel="0" collapsed="false">
      <c r="A712" s="8" t="s">
        <v>1274</v>
      </c>
      <c r="B712" s="22" t="s">
        <v>1275</v>
      </c>
      <c r="C712" s="18" t="n">
        <v>46174.7916666667</v>
      </c>
      <c r="D712" s="19" t="n">
        <v>46174.7916666667</v>
      </c>
      <c r="E712" s="18" t="n">
        <v>46175.75</v>
      </c>
      <c r="F712" s="19" t="n">
        <v>46175.75</v>
      </c>
      <c r="G712" s="20" t="n">
        <v>6500</v>
      </c>
      <c r="H712" s="8" t="n">
        <v>12</v>
      </c>
      <c r="I712" s="10" t="n">
        <v>46167</v>
      </c>
      <c r="J712" s="11" t="n">
        <v>0.568287037036493</v>
      </c>
      <c r="K712" s="1" t="str">
        <f aca="false">IF(L712&gt;24,     IF(H712=2,"Couple Extended Day","Extended Day"), IF(L712&lt;=12,     IF(AND(MOD(D712,1)&gt;=TIME(6,0,0),MOD(D712,1)&lt;TIME(18,0,0)),         IF(H712=2,"Couple Half Day","12H Day"),         IF(H712=2,"Couple Half Night","12H Night")), IF(L712&lt;=24,     IF(AND(MOD(D712,1)&gt;=TIME(6,0,0),MOD(D712,1)&lt;TIME(18,0,0)),         IF(H712=2,"Couple Full Day","24H Day"),         IF(H712=2,"Couple Full Night","24H Night")), "Check Data")))</f>
        <v>24H Night</v>
      </c>
      <c r="L712" s="12" t="n">
        <f aca="false">((INT(E712)+MOD(F712,1))-(INT(C712)+MOD(D712,1)))*24</f>
        <v>22.9999999990105</v>
      </c>
      <c r="M712" s="1" t="n">
        <f aca="false">IFERROR(INDEX(Sheet3!$B$2:$B$500,MATCH(1,(INT(C712)+MOD(D712,1)&lt;INT(Sheet3!$A$2:$A$500)+TIME(18,0,0))*(INT(E712)+MOD(F712,1)&gt;=INT(Sheet3!$A$2:$A$500)),0)),0)</f>
        <v>0</v>
      </c>
      <c r="N712" s="1" t="n">
        <f aca="false">IF(OR( AND(Q712=6,D712&gt;=TIME(17,0,0),OR(K712="12H Night",K712="Couple Half Night",K712="24H Night",K712="Couple Full Night")), AND(Q712=7,D712&gt;=TIME(6,0,0),D712&lt;TIME(12,0,0),OR(K712="12H Day",K712="Couple Half Day",K712="24H Day",K712="Couple Full Day")) ),1,0)</f>
        <v>0</v>
      </c>
      <c r="O712" s="1" t="n">
        <f aca="false">IF(OR( AND(MONTH(C712)=12,DAY(C712)&gt;=26), AND(MONTH(C712)=4,DAY(C712)&gt;=15), MONTH(C712)=5, AND(MONTH(C712)=6,DAY(C712)&lt;=10) ),1,0)</f>
        <v>1</v>
      </c>
      <c r="P712" s="1" t="str">
        <f aca="false">IF(OR(MONTH(C712)=3,MONTH(C712)=4,MONTH(C712)=5,MONTH(C712)=6), "Summer", IF(OR(MONTH(C712)=7,MONTH(C712)=8,MONTH(C712)=9,MONTH(C712)=10), "Monsoon", "Winter"))</f>
        <v>Summer</v>
      </c>
      <c r="Q712" s="1" t="n">
        <f aca="false">WEEKDAY(C712,2)</f>
        <v>1</v>
      </c>
      <c r="R712" s="0" t="n">
        <f aca="false">ROUNDDOWN(((INT(C712)+MOD(D712,1))-(INT(I712)+MOD(J712,1))),0)</f>
        <v>7</v>
      </c>
      <c r="S712" s="10"/>
    </row>
    <row r="713" customFormat="false" ht="169" hidden="false" customHeight="false" outlineLevel="0" collapsed="false">
      <c r="A713" s="8" t="s">
        <v>1276</v>
      </c>
      <c r="B713" s="22" t="s">
        <v>1277</v>
      </c>
      <c r="C713" s="18" t="n">
        <v>46175.7916666667</v>
      </c>
      <c r="D713" s="19" t="n">
        <v>46175.7916666667</v>
      </c>
      <c r="E713" s="18" t="n">
        <v>46176.75</v>
      </c>
      <c r="F713" s="19" t="n">
        <v>46176.75</v>
      </c>
      <c r="G713" s="20" t="n">
        <v>6500</v>
      </c>
      <c r="H713" s="8" t="n">
        <v>15</v>
      </c>
      <c r="I713" s="10" t="n">
        <v>46173</v>
      </c>
      <c r="J713" s="11" t="n">
        <v>0.906226851846447</v>
      </c>
      <c r="K713" s="1" t="str">
        <f aca="false">IF(L713&gt;24,     IF(H713=2,"Couple Extended Day","Extended Day"), IF(L713&lt;=12,     IF(AND(MOD(D713,1)&gt;=TIME(6,0,0),MOD(D713,1)&lt;TIME(18,0,0)),         IF(H713=2,"Couple Half Day","12H Day"),         IF(H713=2,"Couple Half Night","12H Night")), IF(L713&lt;=24,     IF(AND(MOD(D713,1)&gt;=TIME(6,0,0),MOD(D713,1)&lt;TIME(18,0,0)),         IF(H713=2,"Couple Full Day","24H Day"),         IF(H713=2,"Couple Full Night","24H Night")), "Check Data")))</f>
        <v>24H Night</v>
      </c>
      <c r="L713" s="12" t="n">
        <f aca="false">((INT(E713)+MOD(F713,1))-(INT(C713)+MOD(D713,1)))*24</f>
        <v>22.9999999990105</v>
      </c>
      <c r="M713" s="1" t="n">
        <f aca="false">IFERROR(INDEX(Sheet3!$B$2:$B$500,MATCH(1,(INT(C713)+MOD(D713,1)&lt;INT(Sheet3!$A$2:$A$500)+TIME(18,0,0))*(INT(E713)+MOD(F713,1)&gt;=INT(Sheet3!$A$2:$A$500)),0)),0)</f>
        <v>0</v>
      </c>
      <c r="N713" s="1" t="n">
        <f aca="false">IF(OR( AND(Q713=6,D713&gt;=TIME(17,0,0),OR(K713="12H Night",K713="Couple Half Night",K713="24H Night",K713="Couple Full Night")), AND(Q713=7,D713&gt;=TIME(6,0,0),D713&lt;TIME(12,0,0),OR(K713="12H Day",K713="Couple Half Day",K713="24H Day",K713="Couple Full Day")) ),1,0)</f>
        <v>0</v>
      </c>
      <c r="O713" s="1" t="n">
        <f aca="false">IF(OR( AND(MONTH(C713)=12,DAY(C713)&gt;=26), AND(MONTH(C713)=4,DAY(C713)&gt;=15), MONTH(C713)=5, AND(MONTH(C713)=6,DAY(C713)&lt;=10) ),1,0)</f>
        <v>1</v>
      </c>
      <c r="P713" s="1" t="str">
        <f aca="false">IF(OR(MONTH(C713)=3,MONTH(C713)=4,MONTH(C713)=5,MONTH(C713)=6), "Summer", IF(OR(MONTH(C713)=7,MONTH(C713)=8,MONTH(C713)=9,MONTH(C713)=10), "Monsoon", "Winter"))</f>
        <v>Summer</v>
      </c>
      <c r="Q713" s="1" t="n">
        <f aca="false">WEEKDAY(C713,2)</f>
        <v>2</v>
      </c>
      <c r="R713" s="0" t="n">
        <f aca="false">ROUNDDOWN(((INT(C713)+MOD(D713,1))-(INT(I713)+MOD(J713,1))),0)</f>
        <v>1</v>
      </c>
      <c r="S713" s="10"/>
    </row>
    <row r="714" customFormat="false" ht="169" hidden="false" customHeight="false" outlineLevel="0" collapsed="false">
      <c r="A714" s="8" t="s">
        <v>1278</v>
      </c>
      <c r="B714" s="22" t="s">
        <v>1279</v>
      </c>
      <c r="C714" s="18" t="n">
        <v>46176.7916666667</v>
      </c>
      <c r="D714" s="19" t="n">
        <v>46176.7916666667</v>
      </c>
      <c r="E714" s="18" t="n">
        <v>46177.75</v>
      </c>
      <c r="F714" s="19" t="n">
        <v>46177.75</v>
      </c>
      <c r="G714" s="20" t="n">
        <v>6000</v>
      </c>
      <c r="H714" s="8" t="n">
        <v>8</v>
      </c>
      <c r="I714" s="10" t="n">
        <v>46175</v>
      </c>
      <c r="J714" s="11" t="n">
        <v>0.523252314815185</v>
      </c>
      <c r="K714" s="1" t="str">
        <f aca="false">IF(L714&gt;24,     IF(H714=2,"Couple Extended Day","Extended Day"), IF(L714&lt;=12,     IF(AND(MOD(D714,1)&gt;=TIME(6,0,0),MOD(D714,1)&lt;TIME(18,0,0)),         IF(H714=2,"Couple Half Day","12H Day"),         IF(H714=2,"Couple Half Night","12H Night")), IF(L714&lt;=24,     IF(AND(MOD(D714,1)&gt;=TIME(6,0,0),MOD(D714,1)&lt;TIME(18,0,0)),         IF(H714=2,"Couple Full Day","24H Day"),         IF(H714=2,"Couple Full Night","24H Night")), "Check Data")))</f>
        <v>24H Night</v>
      </c>
      <c r="L714" s="12" t="n">
        <f aca="false">((INT(E714)+MOD(F714,1))-(INT(C714)+MOD(D714,1)))*24</f>
        <v>22.9999999990105</v>
      </c>
      <c r="M714" s="1" t="n">
        <f aca="false">IFERROR(INDEX(Sheet3!$B$2:$B$500,MATCH(1,(INT(C714)+MOD(D714,1)&lt;INT(Sheet3!$A$2:$A$500)+TIME(18,0,0))*(INT(E714)+MOD(F714,1)&gt;=INT(Sheet3!$A$2:$A$500)),0)),0)</f>
        <v>0</v>
      </c>
      <c r="N714" s="1" t="n">
        <f aca="false">IF(OR( AND(Q714=6,D714&gt;=TIME(17,0,0),OR(K714="12H Night",K714="Couple Half Night",K714="24H Night",K714="Couple Full Night")), AND(Q714=7,D714&gt;=TIME(6,0,0),D714&lt;TIME(12,0,0),OR(K714="12H Day",K714="Couple Half Day",K714="24H Day",K714="Couple Full Day")) ),1,0)</f>
        <v>0</v>
      </c>
      <c r="O714" s="1" t="n">
        <f aca="false">IF(OR( AND(MONTH(C714)=12,DAY(C714)&gt;=26), AND(MONTH(C714)=4,DAY(C714)&gt;=15), MONTH(C714)=5, AND(MONTH(C714)=6,DAY(C714)&lt;=10) ),1,0)</f>
        <v>1</v>
      </c>
      <c r="P714" s="1" t="str">
        <f aca="false">IF(OR(MONTH(C714)=3,MONTH(C714)=4,MONTH(C714)=5,MONTH(C714)=6), "Summer", IF(OR(MONTH(C714)=7,MONTH(C714)=8,MONTH(C714)=9,MONTH(C714)=10), "Monsoon", "Winter"))</f>
        <v>Summer</v>
      </c>
      <c r="Q714" s="1" t="n">
        <f aca="false">WEEKDAY(C714,2)</f>
        <v>3</v>
      </c>
      <c r="R714" s="0" t="n">
        <f aca="false">ROUNDDOWN(((INT(C714)+MOD(D714,1))-(INT(I714)+MOD(J714,1))),0)</f>
        <v>1</v>
      </c>
      <c r="S714" s="10"/>
    </row>
    <row r="715" customFormat="false" ht="204.9" hidden="false" customHeight="false" outlineLevel="0" collapsed="false">
      <c r="A715" s="8" t="s">
        <v>1280</v>
      </c>
      <c r="B715" s="22" t="s">
        <v>1281</v>
      </c>
      <c r="C715" s="18" t="n">
        <v>46177.7916666667</v>
      </c>
      <c r="D715" s="19" t="n">
        <v>46177.7916666667</v>
      </c>
      <c r="E715" s="18" t="n">
        <v>46178.75</v>
      </c>
      <c r="F715" s="19" t="n">
        <v>46178.75</v>
      </c>
      <c r="G715" s="20" t="n">
        <v>6500</v>
      </c>
      <c r="H715" s="8" t="n">
        <v>10</v>
      </c>
      <c r="I715" s="10" t="n">
        <v>46174</v>
      </c>
      <c r="J715" s="11" t="n">
        <v>0.924803240741308</v>
      </c>
      <c r="K715" s="1" t="str">
        <f aca="false">IF(L715&gt;24,     IF(H715=2,"Couple Extended Day","Extended Day"), IF(L715&lt;=12,     IF(AND(MOD(D715,1)&gt;=TIME(6,0,0),MOD(D715,1)&lt;TIME(18,0,0)),         IF(H715=2,"Couple Half Day","12H Day"),         IF(H715=2,"Couple Half Night","12H Night")), IF(L715&lt;=24,     IF(AND(MOD(D715,1)&gt;=TIME(6,0,0),MOD(D715,1)&lt;TIME(18,0,0)),         IF(H715=2,"Couple Full Day","24H Day"),         IF(H715=2,"Couple Full Night","24H Night")), "Check Data")))</f>
        <v>24H Night</v>
      </c>
      <c r="L715" s="12" t="n">
        <f aca="false">((INT(E715)+MOD(F715,1))-(INT(C715)+MOD(D715,1)))*24</f>
        <v>22.9999999990105</v>
      </c>
      <c r="M715" s="1" t="n">
        <f aca="false">IFERROR(INDEX(Sheet3!$B$2:$B$500,MATCH(1,(INT(C715)+MOD(D715,1)&lt;INT(Sheet3!$A$2:$A$500)+TIME(18,0,0))*(INT(E715)+MOD(F715,1)&gt;=INT(Sheet3!$A$2:$A$500)),0)),0)</f>
        <v>0</v>
      </c>
      <c r="N715" s="1" t="n">
        <f aca="false">IF(OR( AND(Q715=6,D715&gt;=TIME(17,0,0),OR(K715="12H Night",K715="Couple Half Night",K715="24H Night",K715="Couple Full Night")), AND(Q715=7,D715&gt;=TIME(6,0,0),D715&lt;TIME(12,0,0),OR(K715="12H Day",K715="Couple Half Day",K715="24H Day",K715="Couple Full Day")) ),1,0)</f>
        <v>0</v>
      </c>
      <c r="O715" s="1" t="n">
        <f aca="false">IF(OR( AND(MONTH(C715)=12,DAY(C715)&gt;=26), AND(MONTH(C715)=4,DAY(C715)&gt;=15), MONTH(C715)=5, AND(MONTH(C715)=6,DAY(C715)&lt;=10) ),1,0)</f>
        <v>1</v>
      </c>
      <c r="P715" s="1" t="str">
        <f aca="false">IF(OR(MONTH(C715)=3,MONTH(C715)=4,MONTH(C715)=5,MONTH(C715)=6), "Summer", IF(OR(MONTH(C715)=7,MONTH(C715)=8,MONTH(C715)=9,MONTH(C715)=10), "Monsoon", "Winter"))</f>
        <v>Summer</v>
      </c>
      <c r="Q715" s="1" t="n">
        <f aca="false">WEEKDAY(C715,2)</f>
        <v>4</v>
      </c>
      <c r="R715" s="0" t="n">
        <f aca="false">ROUNDDOWN(((INT(C715)+MOD(D715,1))-(INT(I715)+MOD(J715,1))),0)</f>
        <v>2</v>
      </c>
      <c r="S715" s="10"/>
    </row>
    <row r="716" customFormat="false" ht="204.9" hidden="false" customHeight="false" outlineLevel="0" collapsed="false">
      <c r="A716" s="8" t="s">
        <v>1282</v>
      </c>
      <c r="B716" s="22" t="s">
        <v>1283</v>
      </c>
      <c r="C716" s="18" t="n">
        <v>46178.7916666667</v>
      </c>
      <c r="D716" s="19" t="n">
        <v>46178.7916666667</v>
      </c>
      <c r="E716" s="18" t="n">
        <v>46179.75</v>
      </c>
      <c r="F716" s="19" t="n">
        <v>46179.75</v>
      </c>
      <c r="G716" s="20" t="n">
        <v>6500</v>
      </c>
      <c r="H716" s="8" t="n">
        <v>15</v>
      </c>
      <c r="I716" s="10" t="n">
        <v>46175</v>
      </c>
      <c r="J716" s="11" t="n">
        <v>0.548900462963507</v>
      </c>
      <c r="K716" s="1" t="str">
        <f aca="false">IF(L716&gt;24,     IF(H716=2,"Couple Extended Day","Extended Day"), IF(L716&lt;=12,     IF(AND(MOD(D716,1)&gt;=TIME(6,0,0),MOD(D716,1)&lt;TIME(18,0,0)),         IF(H716=2,"Couple Half Day","12H Day"),         IF(H716=2,"Couple Half Night","12H Night")), IF(L716&lt;=24,     IF(AND(MOD(D716,1)&gt;=TIME(6,0,0),MOD(D716,1)&lt;TIME(18,0,0)),         IF(H716=2,"Couple Full Day","24H Day"),         IF(H716=2,"Couple Full Night","24H Night")), "Check Data")))</f>
        <v>24H Night</v>
      </c>
      <c r="L716" s="12" t="n">
        <f aca="false">((INT(E716)+MOD(F716,1))-(INT(C716)+MOD(D716,1)))*24</f>
        <v>22.9999999990105</v>
      </c>
      <c r="M716" s="1" t="n">
        <f aca="false">IFERROR(INDEX(Sheet3!$B$2:$B$500,MATCH(1,(INT(C716)+MOD(D716,1)&lt;INT(Sheet3!$A$2:$A$500)+TIME(18,0,0))*(INT(E716)+MOD(F716,1)&gt;=INT(Sheet3!$A$2:$A$500)),0)),0)</f>
        <v>0</v>
      </c>
      <c r="N716" s="1" t="n">
        <f aca="false">IF(OR( AND(Q716=6,D716&gt;=TIME(17,0,0),OR(K716="12H Night",K716="Couple Half Night",K716="24H Night",K716="Couple Full Night")), AND(Q716=7,D716&gt;=TIME(6,0,0),D716&lt;TIME(12,0,0),OR(K716="12H Day",K716="Couple Half Day",K716="24H Day",K716="Couple Full Day")) ),1,0)</f>
        <v>0</v>
      </c>
      <c r="O716" s="1" t="n">
        <f aca="false">IF(OR( AND(MONTH(C716)=12,DAY(C716)&gt;=26), AND(MONTH(C716)=4,DAY(C716)&gt;=15), MONTH(C716)=5, AND(MONTH(C716)=6,DAY(C716)&lt;=10) ),1,0)</f>
        <v>1</v>
      </c>
      <c r="P716" s="1" t="str">
        <f aca="false">IF(OR(MONTH(C716)=3,MONTH(C716)=4,MONTH(C716)=5,MONTH(C716)=6), "Summer", IF(OR(MONTH(C716)=7,MONTH(C716)=8,MONTH(C716)=9,MONTH(C716)=10), "Monsoon", "Winter"))</f>
        <v>Summer</v>
      </c>
      <c r="Q716" s="1" t="n">
        <f aca="false">WEEKDAY(C716,2)</f>
        <v>5</v>
      </c>
      <c r="R716" s="0" t="n">
        <f aca="false">ROUNDDOWN(((INT(C716)+MOD(D716,1))-(INT(I716)+MOD(J716,1))),0)</f>
        <v>3</v>
      </c>
      <c r="S716" s="10"/>
    </row>
    <row r="717" customFormat="false" ht="185.9" hidden="false" customHeight="false" outlineLevel="0" collapsed="false">
      <c r="A717" s="8" t="s">
        <v>1064</v>
      </c>
      <c r="B717" s="22" t="s">
        <v>1284</v>
      </c>
      <c r="C717" s="18" t="n">
        <v>46179.7916666667</v>
      </c>
      <c r="D717" s="19" t="n">
        <v>46179.7916666667</v>
      </c>
      <c r="E717" s="18" t="n">
        <v>46180.75</v>
      </c>
      <c r="F717" s="19" t="n">
        <v>46180.75</v>
      </c>
      <c r="G717" s="20" t="n">
        <v>14000</v>
      </c>
      <c r="H717" s="8" t="n">
        <v>18</v>
      </c>
      <c r="I717" s="10" t="n">
        <v>46178</v>
      </c>
      <c r="J717" s="11" t="n">
        <v>0.532731481478553</v>
      </c>
      <c r="K717" s="1" t="str">
        <f aca="false">IF(L717&gt;24,     IF(H717=2,"Couple Extended Day","Extended Day"), IF(L717&lt;=12,     IF(AND(MOD(D717,1)&gt;=TIME(6,0,0),MOD(D717,1)&lt;TIME(18,0,0)),         IF(H717=2,"Couple Half Day","12H Day"),         IF(H717=2,"Couple Half Night","12H Night")), IF(L717&lt;=24,     IF(AND(MOD(D717,1)&gt;=TIME(6,0,0),MOD(D717,1)&lt;TIME(18,0,0)),         IF(H717=2,"Couple Full Day","24H Day"),         IF(H717=2,"Couple Full Night","24H Night")), "Check Data")))</f>
        <v>24H Night</v>
      </c>
      <c r="L717" s="12" t="n">
        <f aca="false">((INT(E717)+MOD(F717,1))-(INT(C717)+MOD(D717,1)))*24</f>
        <v>22.9999999990105</v>
      </c>
      <c r="M717" s="1" t="n">
        <f aca="false">IFERROR(INDEX(Sheet3!$B$2:$B$500,MATCH(1,(INT(C717)+MOD(D717,1)&lt;INT(Sheet3!$A$2:$A$500)+TIME(18,0,0))*(INT(E717)+MOD(F717,1)&gt;=INT(Sheet3!$A$2:$A$500)),0)),0)</f>
        <v>0</v>
      </c>
      <c r="N717" s="1" t="n">
        <f aca="false">IF(OR( AND(Q717=6,D717&gt;=TIME(17,0,0),OR(K717="12H Night",K717="Couple Half Night",K717="24H Night",K717="Couple Full Night")), AND(Q717=7,D717&gt;=TIME(6,0,0),D717&lt;TIME(12,0,0),OR(K717="12H Day",K717="Couple Half Day",K717="24H Day",K717="Couple Full Day")) ),1,0)</f>
        <v>1</v>
      </c>
      <c r="O717" s="1" t="n">
        <f aca="false">IF(OR( AND(MONTH(C717)=12,DAY(C717)&gt;=26), AND(MONTH(C717)=4,DAY(C717)&gt;=15), MONTH(C717)=5, AND(MONTH(C717)=6,DAY(C717)&lt;=10) ),1,0)</f>
        <v>1</v>
      </c>
      <c r="P717" s="1" t="str">
        <f aca="false">IF(OR(MONTH(C717)=3,MONTH(C717)=4,MONTH(C717)=5,MONTH(C717)=6), "Summer", IF(OR(MONTH(C717)=7,MONTH(C717)=8,MONTH(C717)=9,MONTH(C717)=10), "Monsoon", "Winter"))</f>
        <v>Summer</v>
      </c>
      <c r="Q717" s="1" t="n">
        <f aca="false">WEEKDAY(C717,2)</f>
        <v>6</v>
      </c>
      <c r="R717" s="0" t="n">
        <f aca="false">ROUNDDOWN(((INT(C717)+MOD(D717,1))-(INT(I717)+MOD(J717,1))),0)</f>
        <v>1</v>
      </c>
      <c r="S717" s="10"/>
    </row>
    <row r="718" customFormat="false" ht="133.3" hidden="false" customHeight="false" outlineLevel="0" collapsed="false">
      <c r="A718" s="8" t="s">
        <v>1285</v>
      </c>
      <c r="B718" s="22" t="s">
        <v>1286</v>
      </c>
      <c r="C718" s="18" t="n">
        <v>46180.7916666667</v>
      </c>
      <c r="D718" s="19" t="n">
        <v>46180.7916666667</v>
      </c>
      <c r="E718" s="18" t="n">
        <v>46181.75</v>
      </c>
      <c r="F718" s="19" t="n">
        <v>46181.75</v>
      </c>
      <c r="G718" s="20" t="n">
        <v>5000</v>
      </c>
      <c r="H718" s="8" t="n">
        <v>12</v>
      </c>
      <c r="I718" s="10" t="n">
        <v>46179</v>
      </c>
      <c r="J718" s="11" t="n">
        <v>0.664016203707431</v>
      </c>
      <c r="K718" s="1" t="str">
        <f aca="false">IF(L718&gt;24,     IF(H718=2,"Couple Extended Day","Extended Day"), IF(L718&lt;=12,     IF(AND(MOD(D718,1)&gt;=TIME(6,0,0),MOD(D718,1)&lt;TIME(18,0,0)),         IF(H718=2,"Couple Half Day","12H Day"),         IF(H718=2,"Couple Half Night","12H Night")), IF(L718&lt;=24,     IF(AND(MOD(D718,1)&gt;=TIME(6,0,0),MOD(D718,1)&lt;TIME(18,0,0)),         IF(H718=2,"Couple Full Day","24H Day"),         IF(H718=2,"Couple Full Night","24H Night")), "Check Data")))</f>
        <v>24H Night</v>
      </c>
      <c r="L718" s="12" t="n">
        <f aca="false">((INT(E718)+MOD(F718,1))-(INT(C718)+MOD(D718,1)))*24</f>
        <v>22.9999999990105</v>
      </c>
      <c r="M718" s="1" t="n">
        <f aca="false">IFERROR(INDEX(Sheet3!$B$2:$B$500,MATCH(1,(INT(C718)+MOD(D718,1)&lt;INT(Sheet3!$A$2:$A$500)+TIME(18,0,0))*(INT(E718)+MOD(F718,1)&gt;=INT(Sheet3!$A$2:$A$500)),0)),0)</f>
        <v>0</v>
      </c>
      <c r="N718" s="1" t="n">
        <f aca="false">IF(OR( AND(Q718=6,D718&gt;=TIME(17,0,0),OR(K718="12H Night",K718="Couple Half Night",K718="24H Night",K718="Couple Full Night")), AND(Q718=7,D718&gt;=TIME(6,0,0),D718&lt;TIME(12,0,0),OR(K718="12H Day",K718="Couple Half Day",K718="24H Day",K718="Couple Full Day")) ),1,0)</f>
        <v>0</v>
      </c>
      <c r="O718" s="1" t="n">
        <f aca="false">IF(OR( AND(MONTH(C718)=12,DAY(C718)&gt;=26), AND(MONTH(C718)=4,DAY(C718)&gt;=15), MONTH(C718)=5, AND(MONTH(C718)=6,DAY(C718)&lt;=10) ),1,0)</f>
        <v>1</v>
      </c>
      <c r="P718" s="1" t="str">
        <f aca="false">IF(OR(MONTH(C718)=3,MONTH(C718)=4,MONTH(C718)=5,MONTH(C718)=6), "Summer", IF(OR(MONTH(C718)=7,MONTH(C718)=8,MONTH(C718)=9,MONTH(C718)=10), "Monsoon", "Winter"))</f>
        <v>Summer</v>
      </c>
      <c r="Q718" s="1" t="n">
        <f aca="false">WEEKDAY(C718,2)</f>
        <v>7</v>
      </c>
      <c r="R718" s="0" t="n">
        <f aca="false">ROUNDDOWN(((INT(C718)+MOD(D718,1))-(INT(I718)+MOD(J718,1))),0)</f>
        <v>1</v>
      </c>
      <c r="S718" s="10"/>
    </row>
    <row r="719" customFormat="false" ht="159.6" hidden="false" customHeight="false" outlineLevel="0" collapsed="false">
      <c r="A719" s="8" t="s">
        <v>1287</v>
      </c>
      <c r="B719" s="22" t="s">
        <v>1288</v>
      </c>
      <c r="C719" s="18" t="n">
        <v>46181.7916666667</v>
      </c>
      <c r="D719" s="19" t="n">
        <v>46181.7916666667</v>
      </c>
      <c r="E719" s="18" t="n">
        <v>46182.75</v>
      </c>
      <c r="F719" s="19" t="n">
        <v>46182.75</v>
      </c>
      <c r="G719" s="20" t="n">
        <v>5200</v>
      </c>
      <c r="H719" s="8" t="n">
        <v>10</v>
      </c>
      <c r="I719" s="10" t="n">
        <v>46177</v>
      </c>
      <c r="J719" s="11" t="n">
        <v>0.754606481481458</v>
      </c>
      <c r="K719" s="1" t="str">
        <f aca="false">IF(L719&gt;24,     IF(H719=2,"Couple Extended Day","Extended Day"), IF(L719&lt;=12,     IF(AND(MOD(D719,1)&gt;=TIME(6,0,0),MOD(D719,1)&lt;TIME(18,0,0)),         IF(H719=2,"Couple Half Day","12H Day"),         IF(H719=2,"Couple Half Night","12H Night")), IF(L719&lt;=24,     IF(AND(MOD(D719,1)&gt;=TIME(6,0,0),MOD(D719,1)&lt;TIME(18,0,0)),         IF(H719=2,"Couple Full Day","24H Day"),         IF(H719=2,"Couple Full Night","24H Night")), "Check Data")))</f>
        <v>24H Night</v>
      </c>
      <c r="L719" s="12" t="n">
        <f aca="false">((INT(E719)+MOD(F719,1))-(INT(C719)+MOD(D719,1)))*24</f>
        <v>22.9999999990105</v>
      </c>
      <c r="M719" s="1" t="n">
        <f aca="false">IFERROR(INDEX(Sheet3!$B$2:$B$500,MATCH(1,(INT(C719)+MOD(D719,1)&lt;INT(Sheet3!$A$2:$A$500)+TIME(18,0,0))*(INT(E719)+MOD(F719,1)&gt;=INT(Sheet3!$A$2:$A$500)),0)),0)</f>
        <v>0</v>
      </c>
      <c r="N719" s="1" t="n">
        <f aca="false">IF(OR( AND(Q719=6,D719&gt;=TIME(17,0,0),OR(K719="12H Night",K719="Couple Half Night",K719="24H Night",K719="Couple Full Night")), AND(Q719=7,D719&gt;=TIME(6,0,0),D719&lt;TIME(12,0,0),OR(K719="12H Day",K719="Couple Half Day",K719="24H Day",K719="Couple Full Day")) ),1,0)</f>
        <v>0</v>
      </c>
      <c r="O719" s="1" t="n">
        <f aca="false">IF(OR( AND(MONTH(C719)=12,DAY(C719)&gt;=26), AND(MONTH(C719)=4,DAY(C719)&gt;=15), MONTH(C719)=5, AND(MONTH(C719)=6,DAY(C719)&lt;=10) ),1,0)</f>
        <v>1</v>
      </c>
      <c r="P719" s="1" t="str">
        <f aca="false">IF(OR(MONTH(C719)=3,MONTH(C719)=4,MONTH(C719)=5,MONTH(C719)=6), "Summer", IF(OR(MONTH(C719)=7,MONTH(C719)=8,MONTH(C719)=9,MONTH(C719)=10), "Monsoon", "Winter"))</f>
        <v>Summer</v>
      </c>
      <c r="Q719" s="1" t="n">
        <f aca="false">WEEKDAY(C719,2)</f>
        <v>1</v>
      </c>
      <c r="R719" s="0" t="n">
        <f aca="false">ROUNDDOWN(((INT(C719)+MOD(D719,1))-(INT(I719)+MOD(J719,1))),0)</f>
        <v>4</v>
      </c>
      <c r="S719" s="10"/>
    </row>
    <row r="720" customFormat="false" ht="133.3" hidden="false" customHeight="false" outlineLevel="0" collapsed="false">
      <c r="A720" s="8" t="s">
        <v>1289</v>
      </c>
      <c r="B720" s="22" t="s">
        <v>1290</v>
      </c>
      <c r="C720" s="18" t="n">
        <v>46182.7916666667</v>
      </c>
      <c r="D720" s="19" t="n">
        <v>46182.7916666667</v>
      </c>
      <c r="E720" s="18" t="n">
        <v>46183.75</v>
      </c>
      <c r="F720" s="19" t="n">
        <v>46183.75</v>
      </c>
      <c r="G720" s="20" t="n">
        <v>5000</v>
      </c>
      <c r="H720" s="8" t="n">
        <v>12</v>
      </c>
      <c r="I720" s="10" t="n">
        <v>46179</v>
      </c>
      <c r="J720" s="11" t="n">
        <v>0.603495370371088</v>
      </c>
      <c r="K720" s="1" t="str">
        <f aca="false">IF(L720&gt;24,     IF(H720=2,"Couple Extended Day","Extended Day"), IF(L720&lt;=12,     IF(AND(MOD(D720,1)&gt;=TIME(6,0,0),MOD(D720,1)&lt;TIME(18,0,0)),         IF(H720=2,"Couple Half Day","12H Day"),         IF(H720=2,"Couple Half Night","12H Night")), IF(L720&lt;=24,     IF(AND(MOD(D720,1)&gt;=TIME(6,0,0),MOD(D720,1)&lt;TIME(18,0,0)),         IF(H720=2,"Couple Full Day","24H Day"),         IF(H720=2,"Couple Full Night","24H Night")), "Check Data")))</f>
        <v>24H Night</v>
      </c>
      <c r="L720" s="12" t="n">
        <f aca="false">((INT(E720)+MOD(F720,1))-(INT(C720)+MOD(D720,1)))*24</f>
        <v>22.9999999990105</v>
      </c>
      <c r="M720" s="1" t="n">
        <f aca="false">IFERROR(INDEX(Sheet3!$B$2:$B$500,MATCH(1,(INT(C720)+MOD(D720,1)&lt;INT(Sheet3!$A$2:$A$500)+TIME(18,0,0))*(INT(E720)+MOD(F720,1)&gt;=INT(Sheet3!$A$2:$A$500)),0)),0)</f>
        <v>0</v>
      </c>
      <c r="N720" s="1" t="n">
        <f aca="false">IF(OR( AND(Q720=6,D720&gt;=TIME(17,0,0),OR(K720="12H Night",K720="Couple Half Night",K720="24H Night",K720="Couple Full Night")), AND(Q720=7,D720&gt;=TIME(6,0,0),D720&lt;TIME(12,0,0),OR(K720="12H Day",K720="Couple Half Day",K720="24H Day",K720="Couple Full Day")) ),1,0)</f>
        <v>0</v>
      </c>
      <c r="O720" s="1" t="n">
        <f aca="false">IF(OR( AND(MONTH(C720)=12,DAY(C720)&gt;=26), AND(MONTH(C720)=4,DAY(C720)&gt;=15), MONTH(C720)=5, AND(MONTH(C720)=6,DAY(C720)&lt;=10) ),1,0)</f>
        <v>1</v>
      </c>
      <c r="P720" s="1" t="str">
        <f aca="false">IF(OR(MONTH(C720)=3,MONTH(C720)=4,MONTH(C720)=5,MONTH(C720)=6), "Summer", IF(OR(MONTH(C720)=7,MONTH(C720)=8,MONTH(C720)=9,MONTH(C720)=10), "Monsoon", "Winter"))</f>
        <v>Summer</v>
      </c>
      <c r="Q720" s="1" t="n">
        <f aca="false">WEEKDAY(C720,2)</f>
        <v>2</v>
      </c>
      <c r="R720" s="0" t="n">
        <f aca="false">ROUNDDOWN(((INT(C720)+MOD(D720,1))-(INT(I720)+MOD(J720,1))),0)</f>
        <v>3</v>
      </c>
      <c r="S720" s="10"/>
    </row>
    <row r="721" customFormat="false" ht="146.45" hidden="false" customHeight="false" outlineLevel="0" collapsed="false">
      <c r="A721" s="8" t="s">
        <v>1291</v>
      </c>
      <c r="B721" s="22" t="s">
        <v>1292</v>
      </c>
      <c r="C721" s="18" t="n">
        <v>46184.375</v>
      </c>
      <c r="D721" s="19" t="n">
        <v>46184.375</v>
      </c>
      <c r="E721" s="18" t="n">
        <v>46184.75</v>
      </c>
      <c r="F721" s="19" t="n">
        <v>46184.75</v>
      </c>
      <c r="G721" s="20" t="n">
        <v>4000</v>
      </c>
      <c r="H721" s="8" t="n">
        <v>10</v>
      </c>
      <c r="I721" s="10" t="n">
        <v>46182</v>
      </c>
      <c r="J721" s="11" t="n">
        <v>0.941365740742188</v>
      </c>
      <c r="K721" s="1" t="str">
        <f aca="false">IF(L721&gt;24,     IF(H721=2,"Couple Extended Day","Extended Day"), IF(L721&lt;=12,     IF(AND(MOD(D721,1)&gt;=TIME(6,0,0),MOD(D721,1)&lt;TIME(18,0,0)),         IF(H721=2,"Couple Half Day","12H Day"),         IF(H721=2,"Couple Half Night","12H Night")), IF(L721&lt;=24,     IF(AND(MOD(D721,1)&gt;=TIME(6,0,0),MOD(D721,1)&lt;TIME(18,0,0)),         IF(H721=2,"Couple Full Day","24H Day"),         IF(H721=2,"Couple Full Night","24H Night")), "Check Data")))</f>
        <v>12H Day</v>
      </c>
      <c r="L721" s="12" t="n">
        <f aca="false">((INT(E721)+MOD(F721,1))-(INT(C721)+MOD(D721,1)))*24</f>
        <v>9</v>
      </c>
      <c r="M721" s="1" t="n">
        <f aca="false">IFERROR(INDEX(Sheet3!$B$2:$B$500,MATCH(1,(INT(C721)+MOD(D721,1)&lt;INT(Sheet3!$A$2:$A$500)+TIME(18,0,0))*(INT(E721)+MOD(F721,1)&gt;=INT(Sheet3!$A$2:$A$500)),0)),0)</f>
        <v>0</v>
      </c>
      <c r="N721" s="1" t="n">
        <f aca="false">IF(OR( AND(Q721=6,D721&gt;=TIME(17,0,0),OR(K721="12H Night",K721="Couple Half Night",K721="24H Night",K721="Couple Full Night")), AND(Q721=7,D721&gt;=TIME(6,0,0),D721&lt;TIME(12,0,0),OR(K721="12H Day",K721="Couple Half Day",K721="24H Day",K721="Couple Full Day")) ),1,0)</f>
        <v>0</v>
      </c>
      <c r="O721" s="1" t="n">
        <f aca="false">IF(OR( AND(MONTH(C721)=12,DAY(C721)&gt;=26), AND(MONTH(C721)=4,DAY(C721)&gt;=15), MONTH(C721)=5, AND(MONTH(C721)=6,DAY(C721)&lt;=10) ),1,0)</f>
        <v>0</v>
      </c>
      <c r="P721" s="1" t="str">
        <f aca="false">IF(OR(MONTH(C721)=3,MONTH(C721)=4,MONTH(C721)=5,MONTH(C721)=6), "Summer", IF(OR(MONTH(C721)=7,MONTH(C721)=8,MONTH(C721)=9,MONTH(C721)=10), "Monsoon", "Winter"))</f>
        <v>Summer</v>
      </c>
      <c r="Q721" s="1" t="n">
        <f aca="false">WEEKDAY(C721,2)</f>
        <v>4</v>
      </c>
      <c r="R721" s="0" t="n">
        <f aca="false">ROUNDDOWN(((INT(C721)+MOD(D721,1))-(INT(I721)+MOD(J721,1))),0)</f>
        <v>1</v>
      </c>
      <c r="S721" s="10"/>
    </row>
    <row r="722" customFormat="false" ht="159.6" hidden="false" customHeight="false" outlineLevel="0" collapsed="false">
      <c r="A722" s="8" t="s">
        <v>1293</v>
      </c>
      <c r="B722" s="22" t="s">
        <v>1137</v>
      </c>
      <c r="C722" s="18" t="n">
        <v>46184.7916666667</v>
      </c>
      <c r="D722" s="19" t="n">
        <v>46184.7916666667</v>
      </c>
      <c r="E722" s="18" t="n">
        <v>46185.75</v>
      </c>
      <c r="F722" s="19" t="n">
        <v>46185.75</v>
      </c>
      <c r="G722" s="20" t="n">
        <v>5000</v>
      </c>
      <c r="H722" s="8" t="n">
        <v>10</v>
      </c>
      <c r="I722" s="10" t="n">
        <v>46180</v>
      </c>
      <c r="J722" s="11" t="n">
        <v>0.876898148148033</v>
      </c>
      <c r="K722" s="1" t="str">
        <f aca="false">IF(L722&gt;24,     IF(H722=2,"Couple Extended Day","Extended Day"), IF(L722&lt;=12,     IF(AND(MOD(D722,1)&gt;=TIME(6,0,0),MOD(D722,1)&lt;TIME(18,0,0)),         IF(H722=2,"Couple Half Day","12H Day"),         IF(H722=2,"Couple Half Night","12H Night")), IF(L722&lt;=24,     IF(AND(MOD(D722,1)&gt;=TIME(6,0,0),MOD(D722,1)&lt;TIME(18,0,0)),         IF(H722=2,"Couple Full Day","24H Day"),         IF(H722=2,"Couple Full Night","24H Night")), "Check Data")))</f>
        <v>24H Night</v>
      </c>
      <c r="L722" s="12" t="n">
        <f aca="false">((INT(E722)+MOD(F722,1))-(INT(C722)+MOD(D722,1)))*24</f>
        <v>22.9999999990105</v>
      </c>
      <c r="M722" s="1" t="n">
        <f aca="false">IFERROR(INDEX(Sheet3!$B$2:$B$500,MATCH(1,(INT(C722)+MOD(D722,1)&lt;INT(Sheet3!$A$2:$A$500)+TIME(18,0,0))*(INT(E722)+MOD(F722,1)&gt;=INT(Sheet3!$A$2:$A$500)),0)),0)</f>
        <v>0</v>
      </c>
      <c r="N722" s="1" t="n">
        <f aca="false">IF(OR( AND(Q722=6,D722&gt;=TIME(17,0,0),OR(K722="12H Night",K722="Couple Half Night",K722="24H Night",K722="Couple Full Night")), AND(Q722=7,D722&gt;=TIME(6,0,0),D722&lt;TIME(12,0,0),OR(K722="12H Day",K722="Couple Half Day",K722="24H Day",K722="Couple Full Day")) ),1,0)</f>
        <v>0</v>
      </c>
      <c r="O722" s="1" t="n">
        <f aca="false">IF(OR( AND(MONTH(C722)=12,DAY(C722)&gt;=26), AND(MONTH(C722)=4,DAY(C722)&gt;=15), MONTH(C722)=5, AND(MONTH(C722)=6,DAY(C722)&lt;=10) ),1,0)</f>
        <v>0</v>
      </c>
      <c r="P722" s="1" t="str">
        <f aca="false">IF(OR(MONTH(C722)=3,MONTH(C722)=4,MONTH(C722)=5,MONTH(C722)=6), "Summer", IF(OR(MONTH(C722)=7,MONTH(C722)=8,MONTH(C722)=9,MONTH(C722)=10), "Monsoon", "Winter"))</f>
        <v>Summer</v>
      </c>
      <c r="Q722" s="1" t="n">
        <f aca="false">WEEKDAY(C722,2)</f>
        <v>4</v>
      </c>
      <c r="R722" s="0" t="n">
        <f aca="false">ROUNDDOWN(((INT(C722)+MOD(D722,1))-(INT(I722)+MOD(J722,1))),0)</f>
        <v>3</v>
      </c>
      <c r="S722" s="10"/>
    </row>
    <row r="723" customFormat="false" ht="157" hidden="false" customHeight="false" outlineLevel="0" collapsed="false">
      <c r="A723" s="8" t="s">
        <v>1294</v>
      </c>
      <c r="B723" s="22" t="s">
        <v>1295</v>
      </c>
      <c r="C723" s="18" t="n">
        <v>46185.7916666667</v>
      </c>
      <c r="D723" s="19" t="n">
        <v>46185.7916666667</v>
      </c>
      <c r="E723" s="18" t="n">
        <v>46186.75</v>
      </c>
      <c r="F723" s="19" t="n">
        <v>46186.75</v>
      </c>
      <c r="G723" s="20" t="n">
        <v>4500</v>
      </c>
      <c r="H723" s="8" t="n">
        <v>11</v>
      </c>
      <c r="I723" s="10" t="n">
        <v>46183</v>
      </c>
      <c r="J723" s="11" t="n">
        <v>0.479374999995347</v>
      </c>
      <c r="K723" s="1" t="str">
        <f aca="false">IF(L723&gt;24,     IF(H723=2,"Couple Extended Day","Extended Day"), IF(L723&lt;=12,     IF(AND(MOD(D723,1)&gt;=TIME(6,0,0),MOD(D723,1)&lt;TIME(18,0,0)),         IF(H723=2,"Couple Half Day","12H Day"),         IF(H723=2,"Couple Half Night","12H Night")), IF(L723&lt;=24,     IF(AND(MOD(D723,1)&gt;=TIME(6,0,0),MOD(D723,1)&lt;TIME(18,0,0)),         IF(H723=2,"Couple Full Day","24H Day"),         IF(H723=2,"Couple Full Night","24H Night")), "Check Data")))</f>
        <v>24H Night</v>
      </c>
      <c r="L723" s="12" t="n">
        <f aca="false">((INT(E723)+MOD(F723,1))-(INT(C723)+MOD(D723,1)))*24</f>
        <v>22.9999999990105</v>
      </c>
      <c r="M723" s="1" t="n">
        <f aca="false">IFERROR(INDEX(Sheet3!$B$2:$B$500,MATCH(1,(INT(C723)+MOD(D723,1)&lt;INT(Sheet3!$A$2:$A$500)+TIME(18,0,0))*(INT(E723)+MOD(F723,1)&gt;=INT(Sheet3!$A$2:$A$500)),0)),0)</f>
        <v>0</v>
      </c>
      <c r="N723" s="1" t="n">
        <f aca="false">IF(OR( AND(Q723=6,D723&gt;=TIME(17,0,0),OR(K723="12H Night",K723="Couple Half Night",K723="24H Night",K723="Couple Full Night")), AND(Q723=7,D723&gt;=TIME(6,0,0),D723&lt;TIME(12,0,0),OR(K723="12H Day",K723="Couple Half Day",K723="24H Day",K723="Couple Full Day")) ),1,0)</f>
        <v>0</v>
      </c>
      <c r="O723" s="1" t="n">
        <f aca="false">IF(OR( AND(MONTH(C723)=12,DAY(C723)&gt;=26), AND(MONTH(C723)=4,DAY(C723)&gt;=15), MONTH(C723)=5, AND(MONTH(C723)=6,DAY(C723)&lt;=10) ),1,0)</f>
        <v>0</v>
      </c>
      <c r="P723" s="1" t="str">
        <f aca="false">IF(OR(MONTH(C723)=3,MONTH(C723)=4,MONTH(C723)=5,MONTH(C723)=6), "Summer", IF(OR(MONTH(C723)=7,MONTH(C723)=8,MONTH(C723)=9,MONTH(C723)=10), "Monsoon", "Winter"))</f>
        <v>Summer</v>
      </c>
      <c r="Q723" s="1" t="n">
        <f aca="false">WEEKDAY(C723,2)</f>
        <v>5</v>
      </c>
      <c r="R723" s="0" t="n">
        <f aca="false">ROUNDDOWN(((INT(C723)+MOD(D723,1))-(INT(I723)+MOD(J723,1))),0)</f>
        <v>2</v>
      </c>
      <c r="S723" s="10"/>
    </row>
    <row r="724" customFormat="false" ht="157" hidden="false" customHeight="false" outlineLevel="0" collapsed="false">
      <c r="A724" s="8" t="s">
        <v>1296</v>
      </c>
      <c r="B724" s="22" t="s">
        <v>1297</v>
      </c>
      <c r="C724" s="18" t="n">
        <v>46186.7916666667</v>
      </c>
      <c r="D724" s="19" t="n">
        <v>46186.7916666667</v>
      </c>
      <c r="E724" s="18" t="n">
        <v>46187.75</v>
      </c>
      <c r="F724" s="19" t="n">
        <v>46187.75</v>
      </c>
      <c r="G724" s="20" t="n">
        <v>10000</v>
      </c>
      <c r="H724" s="8" t="n">
        <v>10</v>
      </c>
      <c r="I724" s="10" t="n">
        <v>46184</v>
      </c>
      <c r="J724" s="11" t="n">
        <v>0.41390046296147</v>
      </c>
      <c r="K724" s="1" t="str">
        <f aca="false">IF(L724&gt;24,     IF(H724=2,"Couple Extended Day","Extended Day"), IF(L724&lt;=12,     IF(AND(MOD(D724,1)&gt;=TIME(6,0,0),MOD(D724,1)&lt;TIME(18,0,0)),         IF(H724=2,"Couple Half Day","12H Day"),         IF(H724=2,"Couple Half Night","12H Night")), IF(L724&lt;=24,     IF(AND(MOD(D724,1)&gt;=TIME(6,0,0),MOD(D724,1)&lt;TIME(18,0,0)),         IF(H724=2,"Couple Full Day","24H Day"),         IF(H724=2,"Couple Full Night","24H Night")), "Check Data")))</f>
        <v>24H Night</v>
      </c>
      <c r="L724" s="12" t="n">
        <f aca="false">((INT(E724)+MOD(F724,1))-(INT(C724)+MOD(D724,1)))*24</f>
        <v>22.9999999990105</v>
      </c>
      <c r="M724" s="1" t="n">
        <f aca="false">IFERROR(INDEX(Sheet3!$B$2:$B$500,MATCH(1,(INT(C724)+MOD(D724,1)&lt;INT(Sheet3!$A$2:$A$500)+TIME(18,0,0))*(INT(E724)+MOD(F724,1)&gt;=INT(Sheet3!$A$2:$A$500)),0)),0)</f>
        <v>0</v>
      </c>
      <c r="N724" s="1" t="n">
        <f aca="false">IF(OR( AND(Q724=6,D724&gt;=TIME(17,0,0),OR(K724="12H Night",K724="Couple Half Night",K724="24H Night",K724="Couple Full Night")), AND(Q724=7,D724&gt;=TIME(6,0,0),D724&lt;TIME(12,0,0),OR(K724="12H Day",K724="Couple Half Day",K724="24H Day",K724="Couple Full Day")) ),1,0)</f>
        <v>1</v>
      </c>
      <c r="O724" s="1" t="n">
        <f aca="false">IF(OR( AND(MONTH(C724)=12,DAY(C724)&gt;=26), AND(MONTH(C724)=4,DAY(C724)&gt;=15), MONTH(C724)=5, AND(MONTH(C724)=6,DAY(C724)&lt;=10) ),1,0)</f>
        <v>0</v>
      </c>
      <c r="P724" s="1" t="str">
        <f aca="false">IF(OR(MONTH(C724)=3,MONTH(C724)=4,MONTH(C724)=5,MONTH(C724)=6), "Summer", IF(OR(MONTH(C724)=7,MONTH(C724)=8,MONTH(C724)=9,MONTH(C724)=10), "Monsoon", "Winter"))</f>
        <v>Summer</v>
      </c>
      <c r="Q724" s="1" t="n">
        <f aca="false">WEEKDAY(C724,2)</f>
        <v>6</v>
      </c>
      <c r="R724" s="0" t="n">
        <f aca="false">ROUNDDOWN(((INT(C724)+MOD(D724,1))-(INT(I724)+MOD(J724,1))),0)</f>
        <v>2</v>
      </c>
      <c r="S724" s="10"/>
    </row>
    <row r="725" customFormat="false" ht="199.05" hidden="false" customHeight="false" outlineLevel="0" collapsed="false">
      <c r="A725" s="8" t="s">
        <v>1298</v>
      </c>
      <c r="B725" s="22" t="s">
        <v>1299</v>
      </c>
      <c r="C725" s="18" t="n">
        <v>46187.7916666667</v>
      </c>
      <c r="D725" s="19" t="n">
        <v>46187.7916666667</v>
      </c>
      <c r="E725" s="18" t="n">
        <v>46188.3333333333</v>
      </c>
      <c r="F725" s="19" t="n">
        <v>0</v>
      </c>
      <c r="G725" s="20" t="n">
        <v>3000</v>
      </c>
      <c r="H725" s="8" t="n">
        <v>4</v>
      </c>
      <c r="I725" s="10" t="n">
        <v>46187</v>
      </c>
      <c r="J725" s="11" t="n">
        <v>0.923391203701609</v>
      </c>
      <c r="K725" s="1" t="str">
        <f aca="false">IF(L725&gt;24,     IF(H725=2,"Couple Extended Day","Extended Day"), IF(L725&lt;=12,     IF(AND(MOD(D725,1)&gt;=TIME(6,0,0),MOD(D725,1)&lt;TIME(18,0,0)),         IF(H725=2,"Couple Half Day","12H Day"),         IF(H725=2,"Couple Half Night","12H Night")), IF(L725&lt;=24,     IF(AND(MOD(D725,1)&gt;=TIME(6,0,0),MOD(D725,1)&lt;TIME(18,0,0)),         IF(H725=2,"Couple Full Day","24H Day"),         IF(H725=2,"Couple Full Night","24H Night")), "Check Data")))</f>
        <v>12H Night</v>
      </c>
      <c r="L725" s="12" t="n">
        <f aca="false">((INT(E725)+MOD(F725,1))-(INT(C725)+MOD(D725,1)))*24</f>
        <v>4.99999999901047</v>
      </c>
      <c r="M725" s="1" t="n">
        <f aca="false">IFERROR(INDEX(Sheet3!$B$2:$B$500,MATCH(1,(INT(C725)+MOD(D725,1)&lt;INT(Sheet3!$A$2:$A$500)+TIME(18,0,0))*(INT(E725)+MOD(F725,1)&gt;=INT(Sheet3!$A$2:$A$500)),0)),0)</f>
        <v>0</v>
      </c>
      <c r="N725" s="1" t="n">
        <f aca="false">IF(OR( AND(Q725=6,D725&gt;=TIME(17,0,0),OR(K725="12H Night",K725="Couple Half Night",K725="24H Night",K725="Couple Full Night")), AND(Q725=7,D725&gt;=TIME(6,0,0),D725&lt;TIME(12,0,0),OR(K725="12H Day",K725="Couple Half Day",K725="24H Day",K725="Couple Full Day")) ),1,0)</f>
        <v>0</v>
      </c>
      <c r="O725" s="1" t="n">
        <f aca="false">IF(OR( AND(MONTH(C725)=12,DAY(C725)&gt;=26), AND(MONTH(C725)=4,DAY(C725)&gt;=15), MONTH(C725)=5, AND(MONTH(C725)=6,DAY(C725)&lt;=10) ),1,0)</f>
        <v>0</v>
      </c>
      <c r="P725" s="1" t="str">
        <f aca="false">IF(OR(MONTH(C725)=3,MONTH(C725)=4,MONTH(C725)=5,MONTH(C725)=6), "Summer", IF(OR(MONTH(C725)=7,MONTH(C725)=8,MONTH(C725)=9,MONTH(C725)=10), "Monsoon", "Winter"))</f>
        <v>Summer</v>
      </c>
      <c r="Q725" s="1" t="n">
        <f aca="false">WEEKDAY(C725,2)</f>
        <v>7</v>
      </c>
      <c r="R725" s="0" t="n">
        <f aca="false">ROUNDDOWN(((INT(C725)+MOD(D725,1))-(INT(I725)+MOD(J725,1))),0)</f>
        <v>-0</v>
      </c>
      <c r="S725" s="10"/>
    </row>
    <row r="726" customFormat="false" ht="157" hidden="false" customHeight="false" outlineLevel="0" collapsed="false">
      <c r="A726" s="8" t="s">
        <v>1300</v>
      </c>
      <c r="B726" s="22" t="s">
        <v>1301</v>
      </c>
      <c r="C726" s="18" t="n">
        <v>46188.375</v>
      </c>
      <c r="D726" s="19" t="n">
        <v>46188.375</v>
      </c>
      <c r="E726" s="18" t="n">
        <v>46188.75</v>
      </c>
      <c r="F726" s="19" t="n">
        <v>46188.75</v>
      </c>
      <c r="G726" s="20" t="n">
        <v>1000</v>
      </c>
      <c r="H726" s="8" t="n">
        <v>10</v>
      </c>
      <c r="I726" s="10" t="n">
        <v>46184</v>
      </c>
      <c r="J726" s="11" t="n">
        <v>0.787581018521447</v>
      </c>
      <c r="K726" s="1" t="str">
        <f aca="false">IF(L726&gt;24,     IF(H726=2,"Couple Extended Day","Extended Day"), IF(L726&lt;=12,     IF(AND(MOD(D726,1)&gt;=TIME(6,0,0),MOD(D726,1)&lt;TIME(18,0,0)),         IF(H726=2,"Couple Half Day","12H Day"),         IF(H726=2,"Couple Half Night","12H Night")), IF(L726&lt;=24,     IF(AND(MOD(D726,1)&gt;=TIME(6,0,0),MOD(D726,1)&lt;TIME(18,0,0)),         IF(H726=2,"Couple Full Day","24H Day"),         IF(H726=2,"Couple Full Night","24H Night")), "Check Data")))</f>
        <v>12H Day</v>
      </c>
      <c r="L726" s="12" t="n">
        <f aca="false">((INT(E726)+MOD(F726,1))-(INT(C726)+MOD(D726,1)))*24</f>
        <v>9</v>
      </c>
      <c r="M726" s="1" t="n">
        <f aca="false">IFERROR(INDEX(Sheet3!$B$2:$B$500,MATCH(1,(INT(C726)+MOD(D726,1)&lt;INT(Sheet3!$A$2:$A$500)+TIME(18,0,0))*(INT(E726)+MOD(F726,1)&gt;=INT(Sheet3!$A$2:$A$500)),0)),0)</f>
        <v>0</v>
      </c>
      <c r="N726" s="1" t="n">
        <f aca="false">IF(OR( AND(Q726=6,D726&gt;=TIME(17,0,0),OR(K726="12H Night",K726="Couple Half Night",K726="24H Night",K726="Couple Full Night")), AND(Q726=7,D726&gt;=TIME(6,0,0),D726&lt;TIME(12,0,0),OR(K726="12H Day",K726="Couple Half Day",K726="24H Day",K726="Couple Full Day")) ),1,0)</f>
        <v>0</v>
      </c>
      <c r="O726" s="1" t="n">
        <f aca="false">IF(OR( AND(MONTH(C726)=12,DAY(C726)&gt;=26), AND(MONTH(C726)=4,DAY(C726)&gt;=15), MONTH(C726)=5, AND(MONTH(C726)=6,DAY(C726)&lt;=10) ),1,0)</f>
        <v>0</v>
      </c>
      <c r="P726" s="1" t="str">
        <f aca="false">IF(OR(MONTH(C726)=3,MONTH(C726)=4,MONTH(C726)=5,MONTH(C726)=6), "Summer", IF(OR(MONTH(C726)=7,MONTH(C726)=8,MONTH(C726)=9,MONTH(C726)=10), "Monsoon", "Winter"))</f>
        <v>Summer</v>
      </c>
      <c r="Q726" s="1" t="n">
        <f aca="false">WEEKDAY(C726,2)</f>
        <v>1</v>
      </c>
      <c r="R726" s="0" t="n">
        <f aca="false">ROUNDDOWN(((INT(C726)+MOD(D726,1))-(INT(I726)+MOD(J726,1))),0)</f>
        <v>3</v>
      </c>
      <c r="S726" s="10"/>
    </row>
    <row r="727" customFormat="false" ht="157" hidden="false" customHeight="false" outlineLevel="0" collapsed="false">
      <c r="A727" s="8" t="s">
        <v>1302</v>
      </c>
      <c r="B727" s="22" t="s">
        <v>1303</v>
      </c>
      <c r="C727" s="18" t="n">
        <v>46188.7916666667</v>
      </c>
      <c r="D727" s="19" t="n">
        <v>46188.7916666667</v>
      </c>
      <c r="E727" s="18" t="n">
        <v>46189.75</v>
      </c>
      <c r="F727" s="19" t="n">
        <v>46189.75</v>
      </c>
      <c r="G727" s="20" t="n">
        <v>4500</v>
      </c>
      <c r="H727" s="8" t="n">
        <v>7</v>
      </c>
      <c r="I727" s="10" t="n">
        <v>46186</v>
      </c>
      <c r="J727" s="11" t="n">
        <v>0.458703703705394</v>
      </c>
      <c r="K727" s="1" t="str">
        <f aca="false">IF(L727&gt;24,     IF(H727=2,"Couple Extended Day","Extended Day"), IF(L727&lt;=12,     IF(AND(MOD(D727,1)&gt;=TIME(6,0,0),MOD(D727,1)&lt;TIME(18,0,0)),         IF(H727=2,"Couple Half Day","12H Day"),         IF(H727=2,"Couple Half Night","12H Night")), IF(L727&lt;=24,     IF(AND(MOD(D727,1)&gt;=TIME(6,0,0),MOD(D727,1)&lt;TIME(18,0,0)),         IF(H727=2,"Couple Full Day","24H Day"),         IF(H727=2,"Couple Full Night","24H Night")), "Check Data")))</f>
        <v>24H Night</v>
      </c>
      <c r="L727" s="12" t="n">
        <f aca="false">((INT(E727)+MOD(F727,1))-(INT(C727)+MOD(D727,1)))*24</f>
        <v>22.9999999990105</v>
      </c>
      <c r="M727" s="1" t="n">
        <f aca="false">IFERROR(INDEX(Sheet3!$B$2:$B$500,MATCH(1,(INT(C727)+MOD(D727,1)&lt;INT(Sheet3!$A$2:$A$500)+TIME(18,0,0))*(INT(E727)+MOD(F727,1)&gt;=INT(Sheet3!$A$2:$A$500)),0)),0)</f>
        <v>0</v>
      </c>
      <c r="N727" s="1" t="n">
        <f aca="false">IF(OR( AND(Q727=6,D727&gt;=TIME(17,0,0),OR(K727="12H Night",K727="Couple Half Night",K727="24H Night",K727="Couple Full Night")), AND(Q727=7,D727&gt;=TIME(6,0,0),D727&lt;TIME(12,0,0),OR(K727="12H Day",K727="Couple Half Day",K727="24H Day",K727="Couple Full Day")) ),1,0)</f>
        <v>0</v>
      </c>
      <c r="O727" s="1" t="n">
        <f aca="false">IF(OR( AND(MONTH(C727)=12,DAY(C727)&gt;=26), AND(MONTH(C727)=4,DAY(C727)&gt;=15), MONTH(C727)=5, AND(MONTH(C727)=6,DAY(C727)&lt;=10) ),1,0)</f>
        <v>0</v>
      </c>
      <c r="P727" s="1" t="str">
        <f aca="false">IF(OR(MONTH(C727)=3,MONTH(C727)=4,MONTH(C727)=5,MONTH(C727)=6), "Summer", IF(OR(MONTH(C727)=7,MONTH(C727)=8,MONTH(C727)=9,MONTH(C727)=10), "Monsoon", "Winter"))</f>
        <v>Summer</v>
      </c>
      <c r="Q727" s="1" t="n">
        <f aca="false">WEEKDAY(C727,2)</f>
        <v>1</v>
      </c>
      <c r="R727" s="0" t="n">
        <f aca="false">ROUNDDOWN(((INT(C727)+MOD(D727,1))-(INT(I727)+MOD(J727,1))),0)</f>
        <v>2</v>
      </c>
      <c r="S727" s="10"/>
    </row>
    <row r="728" customFormat="false" ht="251.6" hidden="false" customHeight="false" outlineLevel="0" collapsed="false">
      <c r="A728" s="8" t="s">
        <v>1304</v>
      </c>
      <c r="B728" s="22" t="s">
        <v>1305</v>
      </c>
      <c r="C728" s="18" t="n">
        <v>46189.7916666667</v>
      </c>
      <c r="D728" s="19" t="n">
        <v>46189.7916666667</v>
      </c>
      <c r="E728" s="18" t="n">
        <v>46190.75</v>
      </c>
      <c r="F728" s="19" t="n">
        <v>46190.75</v>
      </c>
      <c r="G728" s="20" t="n">
        <v>5000</v>
      </c>
      <c r="H728" s="8" t="n">
        <v>15</v>
      </c>
      <c r="I728" s="10" t="n">
        <v>46188</v>
      </c>
      <c r="J728" s="11" t="n">
        <v>0.528935185182489</v>
      </c>
      <c r="K728" s="1" t="str">
        <f aca="false">IF(L728&gt;24,     IF(H728=2,"Couple Extended Day","Extended Day"), IF(L728&lt;=12,     IF(AND(MOD(D728,1)&gt;=TIME(6,0,0),MOD(D728,1)&lt;TIME(18,0,0)),         IF(H728=2,"Couple Half Day","12H Day"),         IF(H728=2,"Couple Half Night","12H Night")), IF(L728&lt;=24,     IF(AND(MOD(D728,1)&gt;=TIME(6,0,0),MOD(D728,1)&lt;TIME(18,0,0)),         IF(H728=2,"Couple Full Day","24H Day"),         IF(H728=2,"Couple Full Night","24H Night")), "Check Data")))</f>
        <v>24H Night</v>
      </c>
      <c r="L728" s="12" t="n">
        <f aca="false">((INT(E728)+MOD(F728,1))-(INT(C728)+MOD(D728,1)))*24</f>
        <v>22.9999999990105</v>
      </c>
      <c r="M728" s="1" t="n">
        <f aca="false">IFERROR(INDEX(Sheet3!$B$2:$B$500,MATCH(1,(INT(C728)+MOD(D728,1)&lt;INT(Sheet3!$A$2:$A$500)+TIME(18,0,0))*(INT(E728)+MOD(F728,1)&gt;=INT(Sheet3!$A$2:$A$500)),0)),0)</f>
        <v>0</v>
      </c>
      <c r="N728" s="1" t="n">
        <f aca="false">IF(OR( AND(Q728=6,D728&gt;=TIME(17,0,0),OR(K728="12H Night",K728="Couple Half Night",K728="24H Night",K728="Couple Full Night")), AND(Q728=7,D728&gt;=TIME(6,0,0),D728&lt;TIME(12,0,0),OR(K728="12H Day",K728="Couple Half Day",K728="24H Day",K728="Couple Full Day")) ),1,0)</f>
        <v>0</v>
      </c>
      <c r="O728" s="1" t="n">
        <f aca="false">IF(OR( AND(MONTH(C728)=12,DAY(C728)&gt;=26), AND(MONTH(C728)=4,DAY(C728)&gt;=15), MONTH(C728)=5, AND(MONTH(C728)=6,DAY(C728)&lt;=10) ),1,0)</f>
        <v>0</v>
      </c>
      <c r="P728" s="1" t="str">
        <f aca="false">IF(OR(MONTH(C728)=3,MONTH(C728)=4,MONTH(C728)=5,MONTH(C728)=6), "Summer", IF(OR(MONTH(C728)=7,MONTH(C728)=8,MONTH(C728)=9,MONTH(C728)=10), "Monsoon", "Winter"))</f>
        <v>Summer</v>
      </c>
      <c r="Q728" s="1" t="n">
        <f aca="false">WEEKDAY(C728,2)</f>
        <v>2</v>
      </c>
      <c r="R728" s="0" t="n">
        <f aca="false">ROUNDDOWN(((INT(C728)+MOD(D728,1))-(INT(I728)+MOD(J728,1))),0)</f>
        <v>1</v>
      </c>
      <c r="S728" s="10"/>
    </row>
    <row r="729" customFormat="false" ht="185.9" hidden="false" customHeight="false" outlineLevel="0" collapsed="false">
      <c r="A729" s="8" t="s">
        <v>1306</v>
      </c>
      <c r="B729" s="22" t="s">
        <v>1307</v>
      </c>
      <c r="C729" s="18" t="n">
        <v>46190.875</v>
      </c>
      <c r="D729" s="19" t="n">
        <v>46190.875</v>
      </c>
      <c r="E729" s="18" t="n">
        <v>46191.3333333333</v>
      </c>
      <c r="F729" s="19" t="n">
        <v>0</v>
      </c>
      <c r="G729" s="20" t="n">
        <v>2500</v>
      </c>
      <c r="H729" s="8" t="n">
        <v>4</v>
      </c>
      <c r="I729" s="10" t="n">
        <v>46190</v>
      </c>
      <c r="J729" s="11" t="n">
        <v>0.909872685180741</v>
      </c>
      <c r="K729" s="1" t="str">
        <f aca="false">IF(L729&gt;24,     IF(H729=2,"Couple Extended Day","Extended Day"), IF(L729&lt;=12,     IF(AND(MOD(D729,1)&gt;=TIME(6,0,0),MOD(D729,1)&lt;TIME(18,0,0)),         IF(H729=2,"Couple Half Day","12H Day"),         IF(H729=2,"Couple Half Night","12H Night")), IF(L729&lt;=24,     IF(AND(MOD(D729,1)&gt;=TIME(6,0,0),MOD(D729,1)&lt;TIME(18,0,0)),         IF(H729=2,"Couple Full Day","24H Day"),         IF(H729=2,"Couple Full Night","24H Night")), "Check Data")))</f>
        <v>12H Night</v>
      </c>
      <c r="L729" s="12" t="n">
        <f aca="false">((INT(E729)+MOD(F729,1))-(INT(C729)+MOD(D729,1)))*24</f>
        <v>3</v>
      </c>
      <c r="M729" s="1" t="n">
        <f aca="false">IFERROR(INDEX(Sheet3!$B$2:$B$500,MATCH(1,(INT(C729)+MOD(D729,1)&lt;INT(Sheet3!$A$2:$A$500)+TIME(18,0,0))*(INT(E729)+MOD(F729,1)&gt;=INT(Sheet3!$A$2:$A$500)),0)),0)</f>
        <v>0</v>
      </c>
      <c r="N729" s="1" t="n">
        <f aca="false">IF(OR( AND(Q729=6,D729&gt;=TIME(17,0,0),OR(K729="12H Night",K729="Couple Half Night",K729="24H Night",K729="Couple Full Night")), AND(Q729=7,D729&gt;=TIME(6,0,0),D729&lt;TIME(12,0,0),OR(K729="12H Day",K729="Couple Half Day",K729="24H Day",K729="Couple Full Day")) ),1,0)</f>
        <v>0</v>
      </c>
      <c r="O729" s="1" t="n">
        <f aca="false">IF(OR( AND(MONTH(C729)=12,DAY(C729)&gt;=26), AND(MONTH(C729)=4,DAY(C729)&gt;=15), MONTH(C729)=5, AND(MONTH(C729)=6,DAY(C729)&lt;=10) ),1,0)</f>
        <v>0</v>
      </c>
      <c r="P729" s="1" t="str">
        <f aca="false">IF(OR(MONTH(C729)=3,MONTH(C729)=4,MONTH(C729)=5,MONTH(C729)=6), "Summer", IF(OR(MONTH(C729)=7,MONTH(C729)=8,MONTH(C729)=9,MONTH(C729)=10), "Monsoon", "Winter"))</f>
        <v>Summer</v>
      </c>
      <c r="Q729" s="1" t="n">
        <f aca="false">WEEKDAY(C729,2)</f>
        <v>3</v>
      </c>
      <c r="R729" s="0" t="n">
        <f aca="false">ROUNDDOWN(((INT(C729)+MOD(D729,1))-(INT(I729)+MOD(J729,1))),0)</f>
        <v>-0</v>
      </c>
      <c r="S729" s="10"/>
    </row>
    <row r="730" customFormat="false" ht="216.9" hidden="false" customHeight="false" outlineLevel="0" collapsed="false">
      <c r="A730" s="8" t="s">
        <v>1308</v>
      </c>
      <c r="B730" s="22" t="s">
        <v>1309</v>
      </c>
      <c r="C730" s="18" t="n">
        <v>46191.7916666667</v>
      </c>
      <c r="D730" s="19" t="n">
        <v>46191.7916666667</v>
      </c>
      <c r="E730" s="18" t="n">
        <v>46192.7083333333</v>
      </c>
      <c r="F730" s="19" t="n">
        <v>0</v>
      </c>
      <c r="G730" s="20" t="n">
        <v>4300</v>
      </c>
      <c r="H730" s="8" t="n">
        <v>7</v>
      </c>
      <c r="I730" s="10" t="n">
        <v>46190</v>
      </c>
      <c r="J730" s="11" t="n">
        <v>0.966724537036493</v>
      </c>
      <c r="K730" s="1" t="str">
        <f aca="false">IF(L730&gt;24,     IF(H730=2,"Couple Extended Day","Extended Day"), IF(L730&lt;=12,     IF(AND(MOD(D730,1)&gt;=TIME(6,0,0),MOD(D730,1)&lt;TIME(18,0,0)),         IF(H730=2,"Couple Half Day","12H Day"),         IF(H730=2,"Couple Half Night","12H Night")), IF(L730&lt;=24,     IF(AND(MOD(D730,1)&gt;=TIME(6,0,0),MOD(D730,1)&lt;TIME(18,0,0)),         IF(H730=2,"Couple Full Day","24H Day"),         IF(H730=2,"Couple Full Night","24H Night")), "Check Data")))</f>
        <v>12H Night</v>
      </c>
      <c r="L730" s="12" t="n">
        <f aca="false">((INT(E730)+MOD(F730,1))-(INT(C730)+MOD(D730,1)))*24</f>
        <v>4.99999999901047</v>
      </c>
      <c r="M730" s="1" t="n">
        <f aca="false">IFERROR(INDEX(Sheet3!$B$2:$B$500,MATCH(1,(INT(C730)+MOD(D730,1)&lt;INT(Sheet3!$A$2:$A$500)+TIME(18,0,0))*(INT(E730)+MOD(F730,1)&gt;=INT(Sheet3!$A$2:$A$500)),0)),0)</f>
        <v>0</v>
      </c>
      <c r="N730" s="1" t="n">
        <f aca="false">IF(OR( AND(Q730=6,D730&gt;=TIME(17,0,0),OR(K730="12H Night",K730="Couple Half Night",K730="24H Night",K730="Couple Full Night")), AND(Q730=7,D730&gt;=TIME(6,0,0),D730&lt;TIME(12,0,0),OR(K730="12H Day",K730="Couple Half Day",K730="24H Day",K730="Couple Full Day")) ),1,0)</f>
        <v>0</v>
      </c>
      <c r="O730" s="1" t="n">
        <f aca="false">IF(OR( AND(MONTH(C730)=12,DAY(C730)&gt;=26), AND(MONTH(C730)=4,DAY(C730)&gt;=15), MONTH(C730)=5, AND(MONTH(C730)=6,DAY(C730)&lt;=10) ),1,0)</f>
        <v>0</v>
      </c>
      <c r="P730" s="1" t="str">
        <f aca="false">IF(OR(MONTH(C730)=3,MONTH(C730)=4,MONTH(C730)=5,MONTH(C730)=6), "Summer", IF(OR(MONTH(C730)=7,MONTH(C730)=8,MONTH(C730)=9,MONTH(C730)=10), "Monsoon", "Winter"))</f>
        <v>Summer</v>
      </c>
      <c r="Q730" s="1" t="n">
        <f aca="false">WEEKDAY(C730,2)</f>
        <v>4</v>
      </c>
      <c r="R730" s="0" t="n">
        <f aca="false">ROUNDDOWN(((INT(C730)+MOD(D730,1))-(INT(I730)+MOD(J730,1))),0)</f>
        <v>0</v>
      </c>
      <c r="S730" s="10"/>
    </row>
    <row r="731" customFormat="false" ht="216.9" hidden="false" customHeight="false" outlineLevel="0" collapsed="false">
      <c r="A731" s="8" t="s">
        <v>1310</v>
      </c>
      <c r="B731" s="22" t="s">
        <v>1311</v>
      </c>
      <c r="C731" s="18" t="n">
        <v>46192.7916666667</v>
      </c>
      <c r="D731" s="19" t="n">
        <v>46192.7916666667</v>
      </c>
      <c r="E731" s="18" t="n">
        <v>46193.75</v>
      </c>
      <c r="F731" s="19" t="n">
        <v>46193.75</v>
      </c>
      <c r="G731" s="20" t="n">
        <v>2000</v>
      </c>
      <c r="H731" s="8" t="n">
        <v>10</v>
      </c>
      <c r="I731" s="10" t="n">
        <v>46192</v>
      </c>
      <c r="J731" s="11" t="n">
        <v>0.47472222222132</v>
      </c>
      <c r="K731" s="1" t="str">
        <f aca="false">IF(L731&gt;24,     IF(H731=2,"Couple Extended Day","Extended Day"), IF(L731&lt;=12,     IF(AND(MOD(D731,1)&gt;=TIME(6,0,0),MOD(D731,1)&lt;TIME(18,0,0)),         IF(H731=2,"Couple Half Day","12H Day"),         IF(H731=2,"Couple Half Night","12H Night")), IF(L731&lt;=24,     IF(AND(MOD(D731,1)&gt;=TIME(6,0,0),MOD(D731,1)&lt;TIME(18,0,0)),         IF(H731=2,"Couple Full Day","24H Day"),         IF(H731=2,"Couple Full Night","24H Night")), "Check Data")))</f>
        <v>24H Night</v>
      </c>
      <c r="L731" s="12" t="n">
        <f aca="false">((INT(E731)+MOD(F731,1))-(INT(C731)+MOD(D731,1)))*24</f>
        <v>22.9999999990105</v>
      </c>
      <c r="M731" s="1" t="n">
        <f aca="false">IFERROR(INDEX(Sheet3!$B$2:$B$500,MATCH(1,(INT(C731)+MOD(D731,1)&lt;INT(Sheet3!$A$2:$A$500)+TIME(18,0,0))*(INT(E731)+MOD(F731,1)&gt;=INT(Sheet3!$A$2:$A$500)),0)),0)</f>
        <v>0</v>
      </c>
      <c r="N731" s="1" t="n">
        <f aca="false">IF(OR( AND(Q731=6,D731&gt;=TIME(17,0,0),OR(K731="12H Night",K731="Couple Half Night",K731="24H Night",K731="Couple Full Night")), AND(Q731=7,D731&gt;=TIME(6,0,0),D731&lt;TIME(12,0,0),OR(K731="12H Day",K731="Couple Half Day",K731="24H Day",K731="Couple Full Day")) ),1,0)</f>
        <v>0</v>
      </c>
      <c r="O731" s="1" t="n">
        <f aca="false">IF(OR( AND(MONTH(C731)=12,DAY(C731)&gt;=26), AND(MONTH(C731)=4,DAY(C731)&gt;=15), MONTH(C731)=5, AND(MONTH(C731)=6,DAY(C731)&lt;=10) ),1,0)</f>
        <v>0</v>
      </c>
      <c r="P731" s="1" t="str">
        <f aca="false">IF(OR(MONTH(C731)=3,MONTH(C731)=4,MONTH(C731)=5,MONTH(C731)=6), "Summer", IF(OR(MONTH(C731)=7,MONTH(C731)=8,MONTH(C731)=9,MONTH(C731)=10), "Monsoon", "Winter"))</f>
        <v>Summer</v>
      </c>
      <c r="Q731" s="1" t="n">
        <f aca="false">WEEKDAY(C731,2)</f>
        <v>5</v>
      </c>
      <c r="R731" s="0" t="n">
        <f aca="false">ROUNDDOWN(((INT(C731)+MOD(D731,1))-(INT(I731)+MOD(J731,1))),0)</f>
        <v>0</v>
      </c>
      <c r="S731" s="10"/>
    </row>
    <row r="732" customFormat="false" ht="185.9" hidden="false" customHeight="false" outlineLevel="0" collapsed="false">
      <c r="A732" s="8" t="s">
        <v>1312</v>
      </c>
      <c r="B732" s="22" t="s">
        <v>1313</v>
      </c>
      <c r="C732" s="18" t="n">
        <v>46193.7916666667</v>
      </c>
      <c r="D732" s="19" t="n">
        <v>46193.7916666667</v>
      </c>
      <c r="E732" s="18" t="n">
        <v>46194.7083333333</v>
      </c>
      <c r="F732" s="19" t="n">
        <v>0</v>
      </c>
      <c r="G732" s="20" t="n">
        <v>10000</v>
      </c>
      <c r="H732" s="8" t="n">
        <v>10</v>
      </c>
      <c r="I732" s="10" t="n">
        <v>46190</v>
      </c>
      <c r="J732" s="11" t="n">
        <v>0.778043981481458</v>
      </c>
      <c r="K732" s="1" t="str">
        <f aca="false">IF(L732&gt;24,     IF(H732=2,"Couple Extended Day","Extended Day"), IF(L732&lt;=12,     IF(AND(MOD(D732,1)&gt;=TIME(6,0,0),MOD(D732,1)&lt;TIME(18,0,0)),         IF(H732=2,"Couple Half Day","12H Day"),         IF(H732=2,"Couple Half Night","12H Night")), IF(L732&lt;=24,     IF(AND(MOD(D732,1)&gt;=TIME(6,0,0),MOD(D732,1)&lt;TIME(18,0,0)),         IF(H732=2,"Couple Full Day","24H Day"),         IF(H732=2,"Couple Full Night","24H Night")), "Check Data")))</f>
        <v>12H Night</v>
      </c>
      <c r="L732" s="12" t="n">
        <f aca="false">((INT(E732)+MOD(F732,1))-(INT(C732)+MOD(D732,1)))*24</f>
        <v>4.99999999901047</v>
      </c>
      <c r="M732" s="1" t="n">
        <f aca="false">IFERROR(INDEX(Sheet3!$B$2:$B$500,MATCH(1,(INT(C732)+MOD(D732,1)&lt;INT(Sheet3!$A$2:$A$500)+TIME(18,0,0))*(INT(E732)+MOD(F732,1)&gt;=INT(Sheet3!$A$2:$A$500)),0)),0)</f>
        <v>0</v>
      </c>
      <c r="N732" s="1" t="n">
        <f aca="false">IF(OR( AND(Q732=6,D732&gt;=TIME(17,0,0),OR(K732="12H Night",K732="Couple Half Night",K732="24H Night",K732="Couple Full Night")), AND(Q732=7,D732&gt;=TIME(6,0,0),D732&lt;TIME(12,0,0),OR(K732="12H Day",K732="Couple Half Day",K732="24H Day",K732="Couple Full Day")) ),1,0)</f>
        <v>1</v>
      </c>
      <c r="O732" s="1" t="n">
        <f aca="false">IF(OR( AND(MONTH(C732)=12,DAY(C732)&gt;=26), AND(MONTH(C732)=4,DAY(C732)&gt;=15), MONTH(C732)=5, AND(MONTH(C732)=6,DAY(C732)&lt;=10) ),1,0)</f>
        <v>0</v>
      </c>
      <c r="P732" s="1" t="str">
        <f aca="false">IF(OR(MONTH(C732)=3,MONTH(C732)=4,MONTH(C732)=5,MONTH(C732)=6), "Summer", IF(OR(MONTH(C732)=7,MONTH(C732)=8,MONTH(C732)=9,MONTH(C732)=10), "Monsoon", "Winter"))</f>
        <v>Summer</v>
      </c>
      <c r="Q732" s="1" t="n">
        <f aca="false">WEEKDAY(C732,2)</f>
        <v>6</v>
      </c>
      <c r="R732" s="0" t="n">
        <f aca="false">ROUNDDOWN(((INT(C732)+MOD(D732,1))-(INT(I732)+MOD(J732,1))),0)</f>
        <v>3</v>
      </c>
      <c r="S732" s="10"/>
    </row>
    <row r="733" customFormat="false" ht="251.6" hidden="false" customHeight="false" outlineLevel="0" collapsed="false">
      <c r="A733" s="8" t="s">
        <v>1314</v>
      </c>
      <c r="B733" s="22" t="s">
        <v>1315</v>
      </c>
      <c r="C733" s="18" t="n">
        <v>46194.7916666667</v>
      </c>
      <c r="D733" s="19" t="n">
        <v>46194.7916666667</v>
      </c>
      <c r="E733" s="18" t="n">
        <v>46195.7083333333</v>
      </c>
      <c r="F733" s="19" t="n">
        <v>0</v>
      </c>
      <c r="G733" s="20" t="n">
        <v>4500</v>
      </c>
      <c r="H733" s="8" t="n">
        <v>10</v>
      </c>
      <c r="I733" s="10" t="n">
        <v>46188</v>
      </c>
      <c r="J733" s="11" t="n">
        <v>0.858472222222188</v>
      </c>
      <c r="K733" s="1" t="str">
        <f aca="false">IF(L733&gt;24,     IF(H733=2,"Couple Extended Day","Extended Day"), IF(L733&lt;=12,     IF(AND(MOD(D733,1)&gt;=TIME(6,0,0),MOD(D733,1)&lt;TIME(18,0,0)),         IF(H733=2,"Couple Half Day","12H Day"),         IF(H733=2,"Couple Half Night","12H Night")), IF(L733&lt;=24,     IF(AND(MOD(D733,1)&gt;=TIME(6,0,0),MOD(D733,1)&lt;TIME(18,0,0)),         IF(H733=2,"Couple Full Day","24H Day"),         IF(H733=2,"Couple Full Night","24H Night")), "Check Data")))</f>
        <v>12H Night</v>
      </c>
      <c r="L733" s="12" t="n">
        <f aca="false">((INT(E733)+MOD(F733,1))-(INT(C733)+MOD(D733,1)))*24</f>
        <v>4.99999999901047</v>
      </c>
      <c r="M733" s="1" t="n">
        <f aca="false">IFERROR(INDEX(Sheet3!$B$2:$B$500,MATCH(1,(INT(C733)+MOD(D733,1)&lt;INT(Sheet3!$A$2:$A$500)+TIME(18,0,0))*(INT(E733)+MOD(F733,1)&gt;=INT(Sheet3!$A$2:$A$500)),0)),0)</f>
        <v>0</v>
      </c>
      <c r="N733" s="1" t="n">
        <f aca="false">IF(OR( AND(Q733=6,D733&gt;=TIME(17,0,0),OR(K733="12H Night",K733="Couple Half Night",K733="24H Night",K733="Couple Full Night")), AND(Q733=7,D733&gt;=TIME(6,0,0),D733&lt;TIME(12,0,0),OR(K733="12H Day",K733="Couple Half Day",K733="24H Day",K733="Couple Full Day")) ),1,0)</f>
        <v>0</v>
      </c>
      <c r="O733" s="1" t="n">
        <f aca="false">IF(OR( AND(MONTH(C733)=12,DAY(C733)&gt;=26), AND(MONTH(C733)=4,DAY(C733)&gt;=15), MONTH(C733)=5, AND(MONTH(C733)=6,DAY(C733)&lt;=10) ),1,0)</f>
        <v>0</v>
      </c>
      <c r="P733" s="1" t="str">
        <f aca="false">IF(OR(MONTH(C733)=3,MONTH(C733)=4,MONTH(C733)=5,MONTH(C733)=6), "Summer", IF(OR(MONTH(C733)=7,MONTH(C733)=8,MONTH(C733)=9,MONTH(C733)=10), "Monsoon", "Winter"))</f>
        <v>Summer</v>
      </c>
      <c r="Q733" s="1" t="n">
        <f aca="false">WEEKDAY(C733,2)</f>
        <v>7</v>
      </c>
      <c r="R733" s="0" t="n">
        <f aca="false">ROUNDDOWN(((INT(C733)+MOD(D733,1))-(INT(I733)+MOD(J733,1))),0)</f>
        <v>5</v>
      </c>
      <c r="S733" s="10"/>
    </row>
    <row r="734" customFormat="false" ht="157" hidden="false" customHeight="false" outlineLevel="0" collapsed="false">
      <c r="A734" s="8" t="s">
        <v>1316</v>
      </c>
      <c r="B734" s="22" t="s">
        <v>1317</v>
      </c>
      <c r="C734" s="18" t="n">
        <v>46195.7916666667</v>
      </c>
      <c r="D734" s="19" t="n">
        <v>46195.7916666667</v>
      </c>
      <c r="E734" s="18" t="n">
        <v>46196.75</v>
      </c>
      <c r="F734" s="19" t="n">
        <v>46196.75</v>
      </c>
      <c r="G734" s="20" t="n">
        <v>4000</v>
      </c>
      <c r="H734" s="8" t="n">
        <v>2</v>
      </c>
      <c r="I734" s="10" t="n">
        <v>46188</v>
      </c>
      <c r="J734" s="11" t="n">
        <v>0.439988425925544</v>
      </c>
      <c r="K734" s="1" t="str">
        <f aca="false">IF(L734&gt;24,     IF(H734=2,"Couple Extended Day","Extended Day"), IF(L734&lt;=12,     IF(AND(MOD(D734,1)&gt;=TIME(6,0,0),MOD(D734,1)&lt;TIME(18,0,0)),         IF(H734=2,"Couple Half Day","12H Day"),         IF(H734=2,"Couple Half Night","12H Night")), IF(L734&lt;=24,     IF(AND(MOD(D734,1)&gt;=TIME(6,0,0),MOD(D734,1)&lt;TIME(18,0,0)),         IF(H734=2,"Couple Full Day","24H Day"),         IF(H734=2,"Couple Full Night","24H Night")), "Check Data")))</f>
        <v>Couple Full Night</v>
      </c>
      <c r="L734" s="12" t="n">
        <f aca="false">((INT(E734)+MOD(F734,1))-(INT(C734)+MOD(D734,1)))*24</f>
        <v>22.9999999990105</v>
      </c>
      <c r="M734" s="1" t="n">
        <f aca="false">IFERROR(INDEX(Sheet3!$B$2:$B$500,MATCH(1,(INT(C734)+MOD(D734,1)&lt;INT(Sheet3!$A$2:$A$500)+TIME(18,0,0))*(INT(E734)+MOD(F734,1)&gt;=INT(Sheet3!$A$2:$A$500)),0)),0)</f>
        <v>0</v>
      </c>
      <c r="N734" s="1" t="n">
        <f aca="false">IF(OR( AND(Q734=6,D734&gt;=TIME(17,0,0),OR(K734="12H Night",K734="Couple Half Night",K734="24H Night",K734="Couple Full Night")), AND(Q734=7,D734&gt;=TIME(6,0,0),D734&lt;TIME(12,0,0),OR(K734="12H Day",K734="Couple Half Day",K734="24H Day",K734="Couple Full Day")) ),1,0)</f>
        <v>0</v>
      </c>
      <c r="O734" s="1" t="n">
        <f aca="false">IF(OR( AND(MONTH(C734)=12,DAY(C734)&gt;=26), AND(MONTH(C734)=4,DAY(C734)&gt;=15), MONTH(C734)=5, AND(MONTH(C734)=6,DAY(C734)&lt;=10) ),1,0)</f>
        <v>0</v>
      </c>
      <c r="P734" s="1" t="str">
        <f aca="false">IF(OR(MONTH(C734)=3,MONTH(C734)=4,MONTH(C734)=5,MONTH(C734)=6), "Summer", IF(OR(MONTH(C734)=7,MONTH(C734)=8,MONTH(C734)=9,MONTH(C734)=10), "Monsoon", "Winter"))</f>
        <v>Summer</v>
      </c>
      <c r="Q734" s="1" t="n">
        <f aca="false">WEEKDAY(C734,2)</f>
        <v>1</v>
      </c>
      <c r="R734" s="0" t="n">
        <f aca="false">ROUNDDOWN(((INT(C734)+MOD(D734,1))-(INT(I734)+MOD(J734,1))),0)</f>
        <v>7</v>
      </c>
      <c r="S734" s="10"/>
    </row>
    <row r="735" customFormat="false" ht="157" hidden="false" customHeight="false" outlineLevel="0" collapsed="false">
      <c r="A735" s="8" t="s">
        <v>1318</v>
      </c>
      <c r="B735" s="22" t="s">
        <v>1319</v>
      </c>
      <c r="C735" s="18" t="n">
        <v>46199.375</v>
      </c>
      <c r="D735" s="19" t="n">
        <v>46199.375</v>
      </c>
      <c r="E735" s="18" t="n">
        <v>46199.75</v>
      </c>
      <c r="F735" s="19" t="n">
        <v>46199.75</v>
      </c>
      <c r="G735" s="20" t="n">
        <v>4000</v>
      </c>
      <c r="H735" s="8" t="n">
        <v>10</v>
      </c>
      <c r="I735" s="10" t="n">
        <v>46184</v>
      </c>
      <c r="J735" s="11" t="n">
        <v>0.757685185184525</v>
      </c>
      <c r="K735" s="1" t="str">
        <f aca="false">IF(L735&gt;24,     IF(H735=2,"Couple Extended Day","Extended Day"), IF(L735&lt;=12,     IF(AND(MOD(D735,1)&gt;=TIME(6,0,0),MOD(D735,1)&lt;TIME(18,0,0)),         IF(H735=2,"Couple Half Day","12H Day"),         IF(H735=2,"Couple Half Night","12H Night")), IF(L735&lt;=24,     IF(AND(MOD(D735,1)&gt;=TIME(6,0,0),MOD(D735,1)&lt;TIME(18,0,0)),         IF(H735=2,"Couple Full Day","24H Day"),         IF(H735=2,"Couple Full Night","24H Night")), "Check Data")))</f>
        <v>12H Day</v>
      </c>
      <c r="L735" s="12" t="n">
        <f aca="false">((INT(E735)+MOD(F735,1))-(INT(C735)+MOD(D735,1)))*24</f>
        <v>9</v>
      </c>
      <c r="M735" s="1" t="n">
        <f aca="false">IFERROR(INDEX(Sheet3!$B$2:$B$500,MATCH(1,(INT(C735)+MOD(D735,1)&lt;INT(Sheet3!$A$2:$A$500)+TIME(18,0,0))*(INT(E735)+MOD(F735,1)&gt;=INT(Sheet3!$A$2:$A$500)),0)),0)</f>
        <v>0</v>
      </c>
      <c r="N735" s="1" t="n">
        <f aca="false">IF(OR( AND(Q735=6,D735&gt;=TIME(17,0,0),OR(K735="12H Night",K735="Couple Half Night",K735="24H Night",K735="Couple Full Night")), AND(Q735=7,D735&gt;=TIME(6,0,0),D735&lt;TIME(12,0,0),OR(K735="12H Day",K735="Couple Half Day",K735="24H Day",K735="Couple Full Day")) ),1,0)</f>
        <v>0</v>
      </c>
      <c r="O735" s="1" t="n">
        <f aca="false">IF(OR( AND(MONTH(C735)=12,DAY(C735)&gt;=26), AND(MONTH(C735)=4,DAY(C735)&gt;=15), MONTH(C735)=5, AND(MONTH(C735)=6,DAY(C735)&lt;=10) ),1,0)</f>
        <v>0</v>
      </c>
      <c r="P735" s="1" t="str">
        <f aca="false">IF(OR(MONTH(C735)=3,MONTH(C735)=4,MONTH(C735)=5,MONTH(C735)=6), "Summer", IF(OR(MONTH(C735)=7,MONTH(C735)=8,MONTH(C735)=9,MONTH(C735)=10), "Monsoon", "Winter"))</f>
        <v>Summer</v>
      </c>
      <c r="Q735" s="1" t="n">
        <f aca="false">WEEKDAY(C735,2)</f>
        <v>5</v>
      </c>
      <c r="R735" s="0" t="n">
        <f aca="false">ROUNDDOWN(((INT(C735)+MOD(D735,1))-(INT(I735)+MOD(J735,1))),0)</f>
        <v>14</v>
      </c>
      <c r="S735" s="10"/>
    </row>
    <row r="736" customFormat="false" ht="199.05" hidden="false" customHeight="false" outlineLevel="0" collapsed="false">
      <c r="A736" s="8" t="s">
        <v>1320</v>
      </c>
      <c r="B736" s="22" t="s">
        <v>1321</v>
      </c>
      <c r="C736" s="18" t="n">
        <v>46199.7916666667</v>
      </c>
      <c r="D736" s="19" t="n">
        <v>46199.7916666667</v>
      </c>
      <c r="E736" s="18" t="n">
        <v>46200.7083333333</v>
      </c>
      <c r="F736" s="19" t="n">
        <v>0</v>
      </c>
      <c r="G736" s="20" t="n">
        <v>5000</v>
      </c>
      <c r="H736" s="8" t="n">
        <v>15</v>
      </c>
      <c r="I736" s="10" t="n">
        <v>46188</v>
      </c>
      <c r="J736" s="11" t="n">
        <v>0.438425925924097</v>
      </c>
      <c r="K736" s="1" t="str">
        <f aca="false">IF(L736&gt;24,     IF(H736=2,"Couple Extended Day","Extended Day"), IF(L736&lt;=12,     IF(AND(MOD(D736,1)&gt;=TIME(6,0,0),MOD(D736,1)&lt;TIME(18,0,0)),         IF(H736=2,"Couple Half Day","12H Day"),         IF(H736=2,"Couple Half Night","12H Night")), IF(L736&lt;=24,     IF(AND(MOD(D736,1)&gt;=TIME(6,0,0),MOD(D736,1)&lt;TIME(18,0,0)),         IF(H736=2,"Couple Full Day","24H Day"),         IF(H736=2,"Couple Full Night","24H Night")), "Check Data")))</f>
        <v>12H Night</v>
      </c>
      <c r="L736" s="12" t="n">
        <f aca="false">((INT(E736)+MOD(F736,1))-(INT(C736)+MOD(D736,1)))*24</f>
        <v>4.99999999901047</v>
      </c>
      <c r="M736" s="1" t="n">
        <f aca="false">IFERROR(INDEX(Sheet3!$B$2:$B$500,MATCH(1,(INT(C736)+MOD(D736,1)&lt;INT(Sheet3!$A$2:$A$500)+TIME(18,0,0))*(INT(E736)+MOD(F736,1)&gt;=INT(Sheet3!$A$2:$A$500)),0)),0)</f>
        <v>0</v>
      </c>
      <c r="N736" s="1" t="n">
        <f aca="false">IF(OR( AND(Q736=6,D736&gt;=TIME(17,0,0),OR(K736="12H Night",K736="Couple Half Night",K736="24H Night",K736="Couple Full Night")), AND(Q736=7,D736&gt;=TIME(6,0,0),D736&lt;TIME(12,0,0),OR(K736="12H Day",K736="Couple Half Day",K736="24H Day",K736="Couple Full Day")) ),1,0)</f>
        <v>0</v>
      </c>
      <c r="O736" s="1" t="n">
        <f aca="false">IF(OR( AND(MONTH(C736)=12,DAY(C736)&gt;=26), AND(MONTH(C736)=4,DAY(C736)&gt;=15), MONTH(C736)=5, AND(MONTH(C736)=6,DAY(C736)&lt;=10) ),1,0)</f>
        <v>0</v>
      </c>
      <c r="P736" s="1" t="str">
        <f aca="false">IF(OR(MONTH(C736)=3,MONTH(C736)=4,MONTH(C736)=5,MONTH(C736)=6), "Summer", IF(OR(MONTH(C736)=7,MONTH(C736)=8,MONTH(C736)=9,MONTH(C736)=10), "Monsoon", "Winter"))</f>
        <v>Summer</v>
      </c>
      <c r="Q736" s="1" t="n">
        <f aca="false">WEEKDAY(C736,2)</f>
        <v>5</v>
      </c>
      <c r="R736" s="0" t="n">
        <f aca="false">ROUNDDOWN(((INT(C736)+MOD(D736,1))-(INT(I736)+MOD(J736,1))),0)</f>
        <v>11</v>
      </c>
      <c r="S736" s="10"/>
    </row>
    <row r="737" customFormat="false" ht="212.2" hidden="false" customHeight="false" outlineLevel="0" collapsed="false">
      <c r="A737" s="8" t="s">
        <v>1322</v>
      </c>
      <c r="B737" s="22" t="s">
        <v>1323</v>
      </c>
      <c r="C737" s="18" t="n">
        <v>46200.7916666667</v>
      </c>
      <c r="D737" s="19" t="n">
        <v>46200.7916666667</v>
      </c>
      <c r="E737" s="18" t="n">
        <v>46201.75</v>
      </c>
      <c r="F737" s="19" t="n">
        <v>46201.75</v>
      </c>
      <c r="G737" s="20" t="n">
        <v>6000</v>
      </c>
      <c r="H737" s="8" t="n">
        <v>15</v>
      </c>
      <c r="I737" s="10" t="n">
        <v>46198</v>
      </c>
      <c r="J737" s="11" t="n">
        <v>0.527557870373125</v>
      </c>
      <c r="K737" s="1" t="str">
        <f aca="false">IF(L737&gt;24,     IF(H737=2,"Couple Extended Day","Extended Day"), IF(L737&lt;=12,     IF(AND(MOD(D737,1)&gt;=TIME(6,0,0),MOD(D737,1)&lt;TIME(18,0,0)),         IF(H737=2,"Couple Half Day","12H Day"),         IF(H737=2,"Couple Half Night","12H Night")), IF(L737&lt;=24,     IF(AND(MOD(D737,1)&gt;=TIME(6,0,0),MOD(D737,1)&lt;TIME(18,0,0)),         IF(H737=2,"Couple Full Day","24H Day"),         IF(H737=2,"Couple Full Night","24H Night")), "Check Data")))</f>
        <v>24H Night</v>
      </c>
      <c r="L737" s="12" t="n">
        <f aca="false">((INT(E737)+MOD(F737,1))-(INT(C737)+MOD(D737,1)))*24</f>
        <v>22.9999999990105</v>
      </c>
      <c r="M737" s="1" t="n">
        <f aca="false">IFERROR(INDEX(Sheet3!$B$2:$B$500,MATCH(1,(INT(C737)+MOD(D737,1)&lt;INT(Sheet3!$A$2:$A$500)+TIME(18,0,0))*(INT(E737)+MOD(F737,1)&gt;=INT(Sheet3!$A$2:$A$500)),0)),0)</f>
        <v>0</v>
      </c>
      <c r="N737" s="1" t="n">
        <f aca="false">IF(OR( AND(Q737=6,D737&gt;=TIME(17,0,0),OR(K737="12H Night",K737="Couple Half Night",K737="24H Night",K737="Couple Full Night")), AND(Q737=7,D737&gt;=TIME(6,0,0),D737&lt;TIME(12,0,0),OR(K737="12H Day",K737="Couple Half Day",K737="24H Day",K737="Couple Full Day")) ),1,0)</f>
        <v>1</v>
      </c>
      <c r="O737" s="1" t="n">
        <f aca="false">IF(OR( AND(MONTH(C737)=12,DAY(C737)&gt;=26), AND(MONTH(C737)=4,DAY(C737)&gt;=15), MONTH(C737)=5, AND(MONTH(C737)=6,DAY(C737)&lt;=10) ),1,0)</f>
        <v>0</v>
      </c>
      <c r="P737" s="1" t="str">
        <f aca="false">IF(OR(MONTH(C737)=3,MONTH(C737)=4,MONTH(C737)=5,MONTH(C737)=6), "Summer", IF(OR(MONTH(C737)=7,MONTH(C737)=8,MONTH(C737)=9,MONTH(C737)=10), "Monsoon", "Winter"))</f>
        <v>Summer</v>
      </c>
      <c r="Q737" s="1" t="n">
        <f aca="false">WEEKDAY(C737,2)</f>
        <v>6</v>
      </c>
      <c r="R737" s="0" t="n">
        <f aca="false">ROUNDDOWN(((INT(C737)+MOD(D737,1))-(INT(I737)+MOD(J737,1))),0)</f>
        <v>2</v>
      </c>
      <c r="S737" s="10"/>
    </row>
    <row r="738" customFormat="false" ht="216.9" hidden="false" customHeight="false" outlineLevel="0" collapsed="false">
      <c r="A738" s="8" t="s">
        <v>1324</v>
      </c>
      <c r="B738" s="22" t="s">
        <v>1325</v>
      </c>
      <c r="C738" s="18" t="n">
        <v>46201.7916666667</v>
      </c>
      <c r="D738" s="19" t="n">
        <v>46201.7916666667</v>
      </c>
      <c r="E738" s="18" t="n">
        <v>46202.7083333333</v>
      </c>
      <c r="F738" s="19" t="n">
        <v>0</v>
      </c>
      <c r="G738" s="20" t="n">
        <v>4500</v>
      </c>
      <c r="H738" s="8" t="n">
        <v>12</v>
      </c>
      <c r="I738" s="10" t="n">
        <v>46199</v>
      </c>
      <c r="J738" s="11" t="n">
        <v>0.960752314815185</v>
      </c>
      <c r="K738" s="1" t="str">
        <f aca="false">IF(L738&gt;24,     IF(H738=2,"Couple Extended Day","Extended Day"), IF(L738&lt;=12,     IF(AND(MOD(D738,1)&gt;=TIME(6,0,0),MOD(D738,1)&lt;TIME(18,0,0)),         IF(H738=2,"Couple Half Day","12H Day"),         IF(H738=2,"Couple Half Night","12H Night")), IF(L738&lt;=24,     IF(AND(MOD(D738,1)&gt;=TIME(6,0,0),MOD(D738,1)&lt;TIME(18,0,0)),         IF(H738=2,"Couple Full Day","24H Day"),         IF(H738=2,"Couple Full Night","24H Night")), "Check Data")))</f>
        <v>12H Night</v>
      </c>
      <c r="L738" s="12" t="n">
        <f aca="false">((INT(E738)+MOD(F738,1))-(INT(C738)+MOD(D738,1)))*24</f>
        <v>4.99999999901047</v>
      </c>
      <c r="M738" s="1" t="n">
        <f aca="false">IFERROR(INDEX(Sheet3!$B$2:$B$500,MATCH(1,(INT(C738)+MOD(D738,1)&lt;INT(Sheet3!$A$2:$A$500)+TIME(18,0,0))*(INT(E738)+MOD(F738,1)&gt;=INT(Sheet3!$A$2:$A$500)),0)),0)</f>
        <v>0</v>
      </c>
      <c r="N738" s="1" t="n">
        <f aca="false">IF(OR( AND(Q738=6,D738&gt;=TIME(17,0,0),OR(K738="12H Night",K738="Couple Half Night",K738="24H Night",K738="Couple Full Night")), AND(Q738=7,D738&gt;=TIME(6,0,0),D738&lt;TIME(12,0,0),OR(K738="12H Day",K738="Couple Half Day",K738="24H Day",K738="Couple Full Day")) ),1,0)</f>
        <v>0</v>
      </c>
      <c r="O738" s="1" t="n">
        <f aca="false">IF(OR( AND(MONTH(C738)=12,DAY(C738)&gt;=26), AND(MONTH(C738)=4,DAY(C738)&gt;=15), MONTH(C738)=5, AND(MONTH(C738)=6,DAY(C738)&lt;=10) ),1,0)</f>
        <v>0</v>
      </c>
      <c r="P738" s="1" t="str">
        <f aca="false">IF(OR(MONTH(C738)=3,MONTH(C738)=4,MONTH(C738)=5,MONTH(C738)=6), "Summer", IF(OR(MONTH(C738)=7,MONTH(C738)=8,MONTH(C738)=9,MONTH(C738)=10), "Monsoon", "Winter"))</f>
        <v>Summer</v>
      </c>
      <c r="Q738" s="1" t="n">
        <f aca="false">WEEKDAY(C738,2)</f>
        <v>7</v>
      </c>
      <c r="R738" s="0" t="n">
        <f aca="false">ROUNDDOWN(((INT(C738)+MOD(D738,1))-(INT(I738)+MOD(J738,1))),0)</f>
        <v>1</v>
      </c>
      <c r="S738" s="10"/>
    </row>
    <row r="739" customFormat="false" ht="216.9" hidden="false" customHeight="false" outlineLevel="0" collapsed="false">
      <c r="A739" s="8" t="s">
        <v>1326</v>
      </c>
      <c r="B739" s="22" t="s">
        <v>1327</v>
      </c>
      <c r="C739" s="18" t="n">
        <v>46202.7916666667</v>
      </c>
      <c r="D739" s="19" t="n">
        <v>46202.7916666667</v>
      </c>
      <c r="E739" s="18" t="n">
        <v>46203.75</v>
      </c>
      <c r="F739" s="19" t="n">
        <v>46203.75</v>
      </c>
      <c r="G739" s="20" t="n">
        <v>4000</v>
      </c>
      <c r="H739" s="8" t="n">
        <v>12</v>
      </c>
      <c r="I739" s="10" t="n">
        <v>46201</v>
      </c>
      <c r="J739" s="11" t="n">
        <v>0.54184027777956</v>
      </c>
      <c r="K739" s="1" t="str">
        <f aca="false">IF(L739&gt;24,     IF(H739=2,"Couple Extended Day","Extended Day"), IF(L739&lt;=12,     IF(AND(MOD(D739,1)&gt;=TIME(6,0,0),MOD(D739,1)&lt;TIME(18,0,0)),         IF(H739=2,"Couple Half Day","12H Day"),         IF(H739=2,"Couple Half Night","12H Night")), IF(L739&lt;=24,     IF(AND(MOD(D739,1)&gt;=TIME(6,0,0),MOD(D739,1)&lt;TIME(18,0,0)),         IF(H739=2,"Couple Full Day","24H Day"),         IF(H739=2,"Couple Full Night","24H Night")), "Check Data")))</f>
        <v>24H Night</v>
      </c>
      <c r="L739" s="12" t="n">
        <f aca="false">((INT(E739)+MOD(F739,1))-(INT(C739)+MOD(D739,1)))*24</f>
        <v>22.9999999990105</v>
      </c>
      <c r="M739" s="1" t="n">
        <f aca="false">IFERROR(INDEX(Sheet3!$B$2:$B$500,MATCH(1,(INT(C739)+MOD(D739,1)&lt;INT(Sheet3!$A$2:$A$500)+TIME(18,0,0))*(INT(E739)+MOD(F739,1)&gt;=INT(Sheet3!$A$2:$A$500)),0)),0)</f>
        <v>0</v>
      </c>
      <c r="N739" s="1" t="n">
        <f aca="false">IF(OR( AND(Q739=6,D739&gt;=TIME(17,0,0),OR(K739="12H Night",K739="Couple Half Night",K739="24H Night",K739="Couple Full Night")), AND(Q739=7,D739&gt;=TIME(6,0,0),D739&lt;TIME(12,0,0),OR(K739="12H Day",K739="Couple Half Day",K739="24H Day",K739="Couple Full Day")) ),1,0)</f>
        <v>0</v>
      </c>
      <c r="O739" s="1" t="n">
        <f aca="false">IF(OR( AND(MONTH(C739)=12,DAY(C739)&gt;=26), AND(MONTH(C739)=4,DAY(C739)&gt;=15), MONTH(C739)=5, AND(MONTH(C739)=6,DAY(C739)&lt;=10) ),1,0)</f>
        <v>0</v>
      </c>
      <c r="P739" s="1" t="str">
        <f aca="false">IF(OR(MONTH(C739)=3,MONTH(C739)=4,MONTH(C739)=5,MONTH(C739)=6), "Summer", IF(OR(MONTH(C739)=7,MONTH(C739)=8,MONTH(C739)=9,MONTH(C739)=10), "Monsoon", "Winter"))</f>
        <v>Summer</v>
      </c>
      <c r="Q739" s="1" t="n">
        <f aca="false">WEEKDAY(C739,2)</f>
        <v>1</v>
      </c>
      <c r="R739" s="0" t="n">
        <f aca="false">ROUNDDOWN(((INT(C739)+MOD(D739,1))-(INT(I739)+MOD(J739,1))),0)</f>
        <v>1</v>
      </c>
      <c r="S739" s="10"/>
    </row>
    <row r="740" customFormat="false" ht="216.9" hidden="false" customHeight="false" outlineLevel="0" collapsed="false">
      <c r="A740" s="8" t="s">
        <v>1328</v>
      </c>
      <c r="B740" s="22" t="s">
        <v>1329</v>
      </c>
      <c r="C740" s="18" t="n">
        <v>46204.375</v>
      </c>
      <c r="D740" s="19" t="n">
        <v>46204.375</v>
      </c>
      <c r="E740" s="18" t="n">
        <v>46204.75</v>
      </c>
      <c r="F740" s="19" t="n">
        <v>46204.75</v>
      </c>
      <c r="G740" s="20" t="n">
        <v>3000</v>
      </c>
      <c r="H740" s="8" t="n">
        <v>7</v>
      </c>
      <c r="I740" s="10" t="n">
        <v>46202</v>
      </c>
      <c r="J740" s="11" t="n">
        <v>0.931689814809942</v>
      </c>
      <c r="K740" s="1" t="str">
        <f aca="false">IF(L740&gt;24,     IF(H740=2,"Couple Extended Day","Extended Day"), IF(L740&lt;=12,     IF(AND(MOD(D740,1)&gt;=TIME(6,0,0),MOD(D740,1)&lt;TIME(18,0,0)),         IF(H740=2,"Couple Half Day","12H Day"),         IF(H740=2,"Couple Half Night","12H Night")), IF(L740&lt;=24,     IF(AND(MOD(D740,1)&gt;=TIME(6,0,0),MOD(D740,1)&lt;TIME(18,0,0)),         IF(H740=2,"Couple Full Day","24H Day"),         IF(H740=2,"Couple Full Night","24H Night")), "Check Data")))</f>
        <v>12H Day</v>
      </c>
      <c r="L740" s="12" t="n">
        <f aca="false">((INT(E740)+MOD(F740,1))-(INT(C740)+MOD(D740,1)))*24</f>
        <v>9</v>
      </c>
      <c r="M740" s="1" t="n">
        <f aca="false">IFERROR(INDEX(Sheet3!$B$2:$B$500,MATCH(1,(INT(C740)+MOD(D740,1)&lt;INT(Sheet3!$A$2:$A$500)+TIME(18,0,0))*(INT(E740)+MOD(F740,1)&gt;=INT(Sheet3!$A$2:$A$500)),0)),0)</f>
        <v>0</v>
      </c>
      <c r="N740" s="1" t="n">
        <f aca="false">IF(OR( AND(Q740=6,D740&gt;=TIME(17,0,0),OR(K740="12H Night",K740="Couple Half Night",K740="24H Night",K740="Couple Full Night")), AND(Q740=7,D740&gt;=TIME(6,0,0),D740&lt;TIME(12,0,0),OR(K740="12H Day",K740="Couple Half Day",K740="24H Day",K740="Couple Full Day")) ),1,0)</f>
        <v>0</v>
      </c>
      <c r="O740" s="1" t="n">
        <f aca="false">IF(OR( AND(MONTH(C740)=12,DAY(C740)&gt;=26), AND(MONTH(C740)=4,DAY(C740)&gt;=15), MONTH(C740)=5, AND(MONTH(C740)=6,DAY(C740)&lt;=10) ),1,0)</f>
        <v>0</v>
      </c>
      <c r="P740" s="1" t="str">
        <f aca="false">IF(OR(MONTH(C740)=3,MONTH(C740)=4,MONTH(C740)=5,MONTH(C740)=6), "Summer", IF(OR(MONTH(C740)=7,MONTH(C740)=8,MONTH(C740)=9,MONTH(C740)=10), "Monsoon", "Winter"))</f>
        <v>Monsoon</v>
      </c>
      <c r="Q740" s="1" t="n">
        <f aca="false">WEEKDAY(C740,2)</f>
        <v>3</v>
      </c>
      <c r="R740" s="0" t="n">
        <f aca="false">ROUNDDOWN(((INT(C740)+MOD(D740,1))-(INT(I740)+MOD(J740,1))),0)</f>
        <v>1</v>
      </c>
      <c r="S740" s="10"/>
    </row>
    <row r="741" customFormat="false" ht="225.35" hidden="false" customHeight="false" outlineLevel="0" collapsed="false">
      <c r="A741" s="8" t="s">
        <v>1330</v>
      </c>
      <c r="B741" s="22" t="s">
        <v>1331</v>
      </c>
      <c r="C741" s="18" t="n">
        <v>46204.8333333333</v>
      </c>
      <c r="D741" s="19" t="n">
        <v>0</v>
      </c>
      <c r="E741" s="18" t="n">
        <v>46205.3333333333</v>
      </c>
      <c r="F741" s="19" t="n">
        <v>0</v>
      </c>
      <c r="G741" s="20" t="n">
        <v>3000</v>
      </c>
      <c r="H741" s="8" t="n">
        <v>13</v>
      </c>
      <c r="I741" s="10" t="n">
        <v>46204</v>
      </c>
      <c r="J741" s="11" t="n">
        <v>0.0391087962925695</v>
      </c>
      <c r="K741" s="1" t="str">
        <f aca="false">IF(L741&gt;24,     IF(H741=2,"Couple Extended Day","Extended Day"), IF(L741&lt;=12,     IF(AND(MOD(D741,1)&gt;=TIME(6,0,0),MOD(D741,1)&lt;TIME(18,0,0)),         IF(H741=2,"Couple Half Day","12H Day"),         IF(H741=2,"Couple Half Night","12H Night")), IF(L741&lt;=24,     IF(AND(MOD(D741,1)&gt;=TIME(6,0,0),MOD(D741,1)&lt;TIME(18,0,0)),         IF(H741=2,"Couple Full Day","24H Day"),         IF(H741=2,"Couple Full Night","24H Night")), "Check Data")))</f>
        <v>24H Night</v>
      </c>
      <c r="L741" s="12" t="n">
        <f aca="false">((INT(E741)+MOD(F741,1))-(INT(C741)+MOD(D741,1)))*24</f>
        <v>24</v>
      </c>
      <c r="M741" s="1" t="n">
        <f aca="false">IFERROR(INDEX(Sheet3!$B$2:$B$500,MATCH(1,(INT(C741)+MOD(D741,1)&lt;INT(Sheet3!$A$2:$A$500)+TIME(18,0,0))*(INT(E741)+MOD(F741,1)&gt;=INT(Sheet3!$A$2:$A$500)),0)),0)</f>
        <v>0</v>
      </c>
      <c r="N741" s="1" t="n">
        <f aca="false">IF(OR( AND(Q741=6,D741&gt;=TIME(17,0,0),OR(K741="12H Night",K741="Couple Half Night",K741="24H Night",K741="Couple Full Night")), AND(Q741=7,D741&gt;=TIME(6,0,0),D741&lt;TIME(12,0,0),OR(K741="12H Day",K741="Couple Half Day",K741="24H Day",K741="Couple Full Day")) ),1,0)</f>
        <v>0</v>
      </c>
      <c r="O741" s="1" t="n">
        <f aca="false">IF(OR( AND(MONTH(C741)=12,DAY(C741)&gt;=26), AND(MONTH(C741)=4,DAY(C741)&gt;=15), MONTH(C741)=5, AND(MONTH(C741)=6,DAY(C741)&lt;=10) ),1,0)</f>
        <v>0</v>
      </c>
      <c r="P741" s="1" t="str">
        <f aca="false">IF(OR(MONTH(C741)=3,MONTH(C741)=4,MONTH(C741)=5,MONTH(C741)=6), "Summer", IF(OR(MONTH(C741)=7,MONTH(C741)=8,MONTH(C741)=9,MONTH(C741)=10), "Monsoon", "Winter"))</f>
        <v>Monsoon</v>
      </c>
      <c r="Q741" s="1" t="n">
        <f aca="false">WEEKDAY(C741,2)</f>
        <v>3</v>
      </c>
      <c r="R741" s="0" t="n">
        <f aca="false">ROUNDDOWN(((INT(C741)+MOD(D741,1))-(INT(I741)+MOD(J741,1))),0)</f>
        <v>-0</v>
      </c>
      <c r="S741" s="10"/>
    </row>
    <row r="742" customFormat="false" ht="157" hidden="false" customHeight="false" outlineLevel="0" collapsed="false">
      <c r="A742" s="8" t="s">
        <v>1332</v>
      </c>
      <c r="B742" s="22" t="s">
        <v>1333</v>
      </c>
      <c r="C742" s="18" t="n">
        <v>46207.375</v>
      </c>
      <c r="D742" s="19" t="n">
        <v>46207.375</v>
      </c>
      <c r="E742" s="18" t="n">
        <v>46207.7083333333</v>
      </c>
      <c r="F742" s="19" t="n">
        <v>0</v>
      </c>
      <c r="G742" s="20" t="n">
        <v>2500</v>
      </c>
      <c r="H742" s="8" t="n">
        <v>2</v>
      </c>
      <c r="I742" s="10" t="n">
        <v>46204</v>
      </c>
      <c r="J742" s="11" t="n">
        <v>0.665312500001169</v>
      </c>
      <c r="K742" s="1" t="str">
        <f aca="false">IF(L742&gt;24,     IF(H742=2,"Couple Extended Day","Extended Day"), IF(L742&lt;=12,     IF(AND(MOD(D742,1)&gt;=TIME(6,0,0),MOD(D742,1)&lt;TIME(18,0,0)),         IF(H742=2,"Couple Half Day","12H Day"),         IF(H742=2,"Couple Half Night","12H Night")), IF(L742&lt;=24,     IF(AND(MOD(D742,1)&gt;=TIME(6,0,0),MOD(D742,1)&lt;TIME(18,0,0)),         IF(H742=2,"Couple Full Day","24H Day"),         IF(H742=2,"Couple Full Night","24H Night")), "Check Data")))</f>
        <v>Couple Half Day</v>
      </c>
      <c r="L742" s="12" t="n">
        <f aca="false">((INT(E742)+MOD(F742,1))-(INT(C742)+MOD(D742,1)))*24</f>
        <v>-9</v>
      </c>
      <c r="M742" s="1" t="n">
        <f aca="false">IFERROR(INDEX(Sheet3!$B$2:$B$500,MATCH(1,(INT(C742)+MOD(D742,1)&lt;INT(Sheet3!$A$2:$A$500)+TIME(18,0,0))*(INT(E742)+MOD(F742,1)&gt;=INT(Sheet3!$A$2:$A$500)),0)),0)</f>
        <v>0</v>
      </c>
      <c r="N742" s="1" t="n">
        <f aca="false">IF(OR( AND(Q742=6,D742&gt;=TIME(17,0,0),OR(K742="12H Night",K742="Couple Half Night",K742="24H Night",K742="Couple Full Night")), AND(Q742=7,D742&gt;=TIME(6,0,0),D742&lt;TIME(12,0,0),OR(K742="12H Day",K742="Couple Half Day",K742="24H Day",K742="Couple Full Day")) ),1,0)</f>
        <v>0</v>
      </c>
      <c r="O742" s="1" t="n">
        <f aca="false">IF(OR( AND(MONTH(C742)=12,DAY(C742)&gt;=26), AND(MONTH(C742)=4,DAY(C742)&gt;=15), MONTH(C742)=5, AND(MONTH(C742)=6,DAY(C742)&lt;=10) ),1,0)</f>
        <v>0</v>
      </c>
      <c r="P742" s="1" t="str">
        <f aca="false">IF(OR(MONTH(C742)=3,MONTH(C742)=4,MONTH(C742)=5,MONTH(C742)=6), "Summer", IF(OR(MONTH(C742)=7,MONTH(C742)=8,MONTH(C742)=9,MONTH(C742)=10), "Monsoon", "Winter"))</f>
        <v>Monsoon</v>
      </c>
      <c r="Q742" s="1" t="n">
        <f aca="false">WEEKDAY(C742,2)</f>
        <v>6</v>
      </c>
      <c r="R742" s="0" t="n">
        <f aca="false">ROUNDDOWN(((INT(C742)+MOD(D742,1))-(INT(I742)+MOD(J742,1))),0)</f>
        <v>2</v>
      </c>
      <c r="S742" s="10"/>
    </row>
    <row r="743" customFormat="false" ht="157" hidden="false" customHeight="false" outlineLevel="0" collapsed="false">
      <c r="A743" s="8" t="s">
        <v>1334</v>
      </c>
      <c r="B743" s="22" t="s">
        <v>1335</v>
      </c>
      <c r="C743" s="18" t="n">
        <v>46207.7916666667</v>
      </c>
      <c r="D743" s="19" t="n">
        <v>46207.7916666667</v>
      </c>
      <c r="E743" s="18" t="n">
        <v>46208.7083333333</v>
      </c>
      <c r="F743" s="19" t="n">
        <v>0</v>
      </c>
      <c r="G743" s="20" t="n">
        <v>5000</v>
      </c>
      <c r="H743" s="8" t="n">
        <v>10</v>
      </c>
      <c r="I743" s="10" t="n">
        <v>46198</v>
      </c>
      <c r="J743" s="11" t="n">
        <v>0.611828703702488</v>
      </c>
      <c r="K743" s="1" t="str">
        <f aca="false">IF(L743&gt;24,     IF(H743=2,"Couple Extended Day","Extended Day"), IF(L743&lt;=12,     IF(AND(MOD(D743,1)&gt;=TIME(6,0,0),MOD(D743,1)&lt;TIME(18,0,0)),         IF(H743=2,"Couple Half Day","12H Day"),         IF(H743=2,"Couple Half Night","12H Night")), IF(L743&lt;=24,     IF(AND(MOD(D743,1)&gt;=TIME(6,0,0),MOD(D743,1)&lt;TIME(18,0,0)),         IF(H743=2,"Couple Full Day","24H Day"),         IF(H743=2,"Couple Full Night","24H Night")), "Check Data")))</f>
        <v>12H Night</v>
      </c>
      <c r="L743" s="12" t="n">
        <f aca="false">((INT(E743)+MOD(F743,1))-(INT(C743)+MOD(D743,1)))*24</f>
        <v>4.99999999901047</v>
      </c>
      <c r="M743" s="1" t="n">
        <f aca="false">IFERROR(INDEX(Sheet3!$B$2:$B$500,MATCH(1,(INT(C743)+MOD(D743,1)&lt;INT(Sheet3!$A$2:$A$500)+TIME(18,0,0))*(INT(E743)+MOD(F743,1)&gt;=INT(Sheet3!$A$2:$A$500)),0)),0)</f>
        <v>0</v>
      </c>
      <c r="N743" s="1" t="n">
        <f aca="false">IF(OR( AND(Q743=6,D743&gt;=TIME(17,0,0),OR(K743="12H Night",K743="Couple Half Night",K743="24H Night",K743="Couple Full Night")), AND(Q743=7,D743&gt;=TIME(6,0,0),D743&lt;TIME(12,0,0),OR(K743="12H Day",K743="Couple Half Day",K743="24H Day",K743="Couple Full Day")) ),1,0)</f>
        <v>1</v>
      </c>
      <c r="O743" s="1" t="n">
        <f aca="false">IF(OR( AND(MONTH(C743)=12,DAY(C743)&gt;=26), AND(MONTH(C743)=4,DAY(C743)&gt;=15), MONTH(C743)=5, AND(MONTH(C743)=6,DAY(C743)&lt;=10) ),1,0)</f>
        <v>0</v>
      </c>
      <c r="P743" s="1" t="str">
        <f aca="false">IF(OR(MONTH(C743)=3,MONTH(C743)=4,MONTH(C743)=5,MONTH(C743)=6), "Summer", IF(OR(MONTH(C743)=7,MONTH(C743)=8,MONTH(C743)=9,MONTH(C743)=10), "Monsoon", "Winter"))</f>
        <v>Monsoon</v>
      </c>
      <c r="Q743" s="1" t="n">
        <f aca="false">WEEKDAY(C743,2)</f>
        <v>6</v>
      </c>
      <c r="R743" s="0" t="n">
        <f aca="false">ROUNDDOWN(((INT(C743)+MOD(D743,1))-(INT(I743)+MOD(J743,1))),0)</f>
        <v>9</v>
      </c>
      <c r="S743" s="10"/>
    </row>
    <row r="744" customFormat="false" ht="199.05" hidden="false" customHeight="false" outlineLevel="0" collapsed="false">
      <c r="A744" s="8" t="s">
        <v>1336</v>
      </c>
      <c r="B744" s="22" t="s">
        <v>1337</v>
      </c>
      <c r="C744" s="18" t="n">
        <v>46208.8333333333</v>
      </c>
      <c r="D744" s="19" t="n">
        <v>0</v>
      </c>
      <c r="E744" s="18" t="n">
        <v>46209.3333333333</v>
      </c>
      <c r="F744" s="19" t="n">
        <v>0</v>
      </c>
      <c r="G744" s="20" t="n">
        <v>2500</v>
      </c>
      <c r="H744" s="8" t="n">
        <v>6</v>
      </c>
      <c r="I744" s="10" t="n">
        <v>46207</v>
      </c>
      <c r="J744" s="11" t="n">
        <v>0.60234953703184</v>
      </c>
      <c r="K744" s="1" t="str">
        <f aca="false">IF(L744&gt;24,     IF(H744=2,"Couple Extended Day","Extended Day"), IF(L744&lt;=12,     IF(AND(MOD(D744,1)&gt;=TIME(6,0,0),MOD(D744,1)&lt;TIME(18,0,0)),         IF(H744=2,"Couple Half Day","12H Day"),         IF(H744=2,"Couple Half Night","12H Night")), IF(L744&lt;=24,     IF(AND(MOD(D744,1)&gt;=TIME(6,0,0),MOD(D744,1)&lt;TIME(18,0,0)),         IF(H744=2,"Couple Full Day","24H Day"),         IF(H744=2,"Couple Full Night","24H Night")), "Check Data")))</f>
        <v>24H Night</v>
      </c>
      <c r="L744" s="12" t="n">
        <f aca="false">((INT(E744)+MOD(F744,1))-(INT(C744)+MOD(D744,1)))*24</f>
        <v>24</v>
      </c>
      <c r="M744" s="1" t="n">
        <f aca="false">IFERROR(INDEX(Sheet3!$B$2:$B$500,MATCH(1,(INT(C744)+MOD(D744,1)&lt;INT(Sheet3!$A$2:$A$500)+TIME(18,0,0))*(INT(E744)+MOD(F744,1)&gt;=INT(Sheet3!$A$2:$A$500)),0)),0)</f>
        <v>0</v>
      </c>
      <c r="N744" s="1" t="n">
        <f aca="false">IF(OR( AND(Q744=6,D744&gt;=TIME(17,0,0),OR(K744="12H Night",K744="Couple Half Night",K744="24H Night",K744="Couple Full Night")), AND(Q744=7,D744&gt;=TIME(6,0,0),D744&lt;TIME(12,0,0),OR(K744="12H Day",K744="Couple Half Day",K744="24H Day",K744="Couple Full Day")) ),1,0)</f>
        <v>0</v>
      </c>
      <c r="O744" s="1" t="n">
        <f aca="false">IF(OR( AND(MONTH(C744)=12,DAY(C744)&gt;=26), AND(MONTH(C744)=4,DAY(C744)&gt;=15), MONTH(C744)=5, AND(MONTH(C744)=6,DAY(C744)&lt;=10) ),1,0)</f>
        <v>0</v>
      </c>
      <c r="P744" s="1" t="str">
        <f aca="false">IF(OR(MONTH(C744)=3,MONTH(C744)=4,MONTH(C744)=5,MONTH(C744)=6), "Summer", IF(OR(MONTH(C744)=7,MONTH(C744)=8,MONTH(C744)=9,MONTH(C744)=10), "Monsoon", "Winter"))</f>
        <v>Monsoon</v>
      </c>
      <c r="Q744" s="1" t="n">
        <f aca="false">WEEKDAY(C744,2)</f>
        <v>7</v>
      </c>
      <c r="R744" s="0" t="n">
        <f aca="false">ROUNDDOWN(((INT(C744)+MOD(D744,1))-(INT(I744)+MOD(J744,1))),0)</f>
        <v>0</v>
      </c>
      <c r="S744" s="10"/>
    </row>
    <row r="745" customFormat="false" ht="185.9" hidden="false" customHeight="false" outlineLevel="0" collapsed="false">
      <c r="A745" s="8" t="s">
        <v>1338</v>
      </c>
      <c r="B745" s="22" t="s">
        <v>1339</v>
      </c>
      <c r="C745" s="18" t="n">
        <v>46209.7916666667</v>
      </c>
      <c r="D745" s="19" t="n">
        <v>46209.7916666667</v>
      </c>
      <c r="E745" s="18" t="n">
        <v>46210.75</v>
      </c>
      <c r="F745" s="19" t="n">
        <v>46210.75</v>
      </c>
      <c r="G745" s="20" t="n">
        <v>3500</v>
      </c>
      <c r="H745" s="8" t="n">
        <v>8</v>
      </c>
      <c r="I745" s="10" t="n">
        <v>46208</v>
      </c>
      <c r="J745" s="11" t="n">
        <v>0.0511458333348843</v>
      </c>
      <c r="K745" s="1" t="str">
        <f aca="false">IF(L745&gt;24,     IF(H745=2,"Couple Extended Day","Extended Day"), IF(L745&lt;=12,     IF(AND(MOD(D745,1)&gt;=TIME(6,0,0),MOD(D745,1)&lt;TIME(18,0,0)),         IF(H745=2,"Couple Half Day","12H Day"),         IF(H745=2,"Couple Half Night","12H Night")), IF(L745&lt;=24,     IF(AND(MOD(D745,1)&gt;=TIME(6,0,0),MOD(D745,1)&lt;TIME(18,0,0)),         IF(H745=2,"Couple Full Day","24H Day"),         IF(H745=2,"Couple Full Night","24H Night")), "Check Data")))</f>
        <v>24H Night</v>
      </c>
      <c r="L745" s="12" t="n">
        <f aca="false">((INT(E745)+MOD(F745,1))-(INT(C745)+MOD(D745,1)))*24</f>
        <v>22.9999999990105</v>
      </c>
      <c r="M745" s="1" t="n">
        <f aca="false">IFERROR(INDEX(Sheet3!$B$2:$B$500,MATCH(1,(INT(C745)+MOD(D745,1)&lt;INT(Sheet3!$A$2:$A$500)+TIME(18,0,0))*(INT(E745)+MOD(F745,1)&gt;=INT(Sheet3!$A$2:$A$500)),0)),0)</f>
        <v>0</v>
      </c>
      <c r="N745" s="1" t="n">
        <f aca="false">IF(OR( AND(Q745=6,D745&gt;=TIME(17,0,0),OR(K745="12H Night",K745="Couple Half Night",K745="24H Night",K745="Couple Full Night")), AND(Q745=7,D745&gt;=TIME(6,0,0),D745&lt;TIME(12,0,0),OR(K745="12H Day",K745="Couple Half Day",K745="24H Day",K745="Couple Full Day")) ),1,0)</f>
        <v>0</v>
      </c>
      <c r="O745" s="1" t="n">
        <f aca="false">IF(OR( AND(MONTH(C745)=12,DAY(C745)&gt;=26), AND(MONTH(C745)=4,DAY(C745)&gt;=15), MONTH(C745)=5, AND(MONTH(C745)=6,DAY(C745)&lt;=10) ),1,0)</f>
        <v>0</v>
      </c>
      <c r="P745" s="1" t="str">
        <f aca="false">IF(OR(MONTH(C745)=3,MONTH(C745)=4,MONTH(C745)=5,MONTH(C745)=6), "Summer", IF(OR(MONTH(C745)=7,MONTH(C745)=8,MONTH(C745)=9,MONTH(C745)=10), "Monsoon", "Winter"))</f>
        <v>Monsoon</v>
      </c>
      <c r="Q745" s="1" t="n">
        <f aca="false">WEEKDAY(C745,2)</f>
        <v>1</v>
      </c>
      <c r="R745" s="0" t="n">
        <f aca="false">ROUNDDOWN(((INT(C745)+MOD(D745,1))-(INT(I745)+MOD(J745,1))),0)</f>
        <v>1</v>
      </c>
      <c r="S745" s="10"/>
    </row>
    <row r="746" customFormat="false" ht="251.6" hidden="false" customHeight="false" outlineLevel="0" collapsed="false">
      <c r="A746" s="8" t="s">
        <v>1340</v>
      </c>
      <c r="B746" s="22" t="s">
        <v>1341</v>
      </c>
      <c r="C746" s="18" t="n">
        <v>46211.7916666667</v>
      </c>
      <c r="D746" s="19" t="n">
        <v>46211.7916666667</v>
      </c>
      <c r="E746" s="18" t="n">
        <v>46213.7083333333</v>
      </c>
      <c r="F746" s="19" t="n">
        <v>0</v>
      </c>
      <c r="G746" s="20" t="n">
        <v>7500</v>
      </c>
      <c r="H746" s="8" t="n">
        <v>10</v>
      </c>
      <c r="I746" s="10" t="n">
        <v>46205</v>
      </c>
      <c r="J746" s="11" t="n">
        <v>0.970000000001169</v>
      </c>
      <c r="K746" s="1" t="str">
        <f aca="false">IF(L746&gt;24,     IF(H746=2,"Couple Extended Day","Extended Day"), IF(L746&lt;=12,     IF(AND(MOD(D746,1)&gt;=TIME(6,0,0),MOD(D746,1)&lt;TIME(18,0,0)),         IF(H746=2,"Couple Half Day","12H Day"),         IF(H746=2,"Couple Half Night","12H Night")), IF(L746&lt;=24,     IF(AND(MOD(D746,1)&gt;=TIME(6,0,0),MOD(D746,1)&lt;TIME(18,0,0)),         IF(H746=2,"Couple Full Day","24H Day"),         IF(H746=2,"Couple Full Night","24H Night")), "Check Data")))</f>
        <v>Extended Day</v>
      </c>
      <c r="L746" s="12" t="n">
        <f aca="false">((INT(E746)+MOD(F746,1))-(INT(C746)+MOD(D746,1)))*24</f>
        <v>28.9999999990105</v>
      </c>
      <c r="M746" s="1" t="n">
        <f aca="false">IFERROR(INDEX(Sheet3!$B$2:$B$500,MATCH(1,(INT(C746)+MOD(D746,1)&lt;INT(Sheet3!$A$2:$A$500)+TIME(18,0,0))*(INT(E746)+MOD(F746,1)&gt;=INT(Sheet3!$A$2:$A$500)),0)),0)</f>
        <v>0</v>
      </c>
      <c r="N746" s="1" t="n">
        <f aca="false">IF(OR( AND(Q746=6,D746&gt;=TIME(17,0,0),OR(K746="12H Night",K746="Couple Half Night",K746="24H Night",K746="Couple Full Night")), AND(Q746=7,D746&gt;=TIME(6,0,0),D746&lt;TIME(12,0,0),OR(K746="12H Day",K746="Couple Half Day",K746="24H Day",K746="Couple Full Day")) ),1,0)</f>
        <v>0</v>
      </c>
      <c r="O746" s="1" t="n">
        <f aca="false">IF(OR( AND(MONTH(C746)=12,DAY(C746)&gt;=26), AND(MONTH(C746)=4,DAY(C746)&gt;=15), MONTH(C746)=5, AND(MONTH(C746)=6,DAY(C746)&lt;=10) ),1,0)</f>
        <v>0</v>
      </c>
      <c r="P746" s="1" t="str">
        <f aca="false">IF(OR(MONTH(C746)=3,MONTH(C746)=4,MONTH(C746)=5,MONTH(C746)=6), "Summer", IF(OR(MONTH(C746)=7,MONTH(C746)=8,MONTH(C746)=9,MONTH(C746)=10), "Monsoon", "Winter"))</f>
        <v>Monsoon</v>
      </c>
      <c r="Q746" s="1" t="n">
        <f aca="false">WEEKDAY(C746,2)</f>
        <v>3</v>
      </c>
      <c r="R746" s="0" t="n">
        <f aca="false">ROUNDDOWN(((INT(C746)+MOD(D746,1))-(INT(I746)+MOD(J746,1))),0)</f>
        <v>5</v>
      </c>
      <c r="S746" s="10"/>
    </row>
    <row r="747" customFormat="false" ht="251.6" hidden="false" customHeight="false" outlineLevel="0" collapsed="false">
      <c r="A747" s="8" t="s">
        <v>1342</v>
      </c>
      <c r="B747" s="22" t="s">
        <v>1343</v>
      </c>
      <c r="C747" s="18" t="n">
        <v>46214.4166666667</v>
      </c>
      <c r="D747" s="19" t="n">
        <v>46214.4166666667</v>
      </c>
      <c r="E747" s="18" t="n">
        <v>46214.7083333333</v>
      </c>
      <c r="F747" s="19" t="n">
        <v>0</v>
      </c>
      <c r="G747" s="20" t="n">
        <v>2500</v>
      </c>
      <c r="H747" s="8" t="n">
        <v>4</v>
      </c>
      <c r="I747" s="10" t="n">
        <v>46213</v>
      </c>
      <c r="J747" s="11" t="n">
        <v>0.891041666662199</v>
      </c>
      <c r="K747" s="1" t="str">
        <f aca="false">IF(L747&gt;24,     IF(H747=2,"Couple Extended Day","Extended Day"), IF(L747&lt;=12,     IF(AND(MOD(D747,1)&gt;=TIME(6,0,0),MOD(D747,1)&lt;TIME(18,0,0)),         IF(H747=2,"Couple Half Day","12H Day"),         IF(H747=2,"Couple Half Night","12H Night")), IF(L747&lt;=24,     IF(AND(MOD(D747,1)&gt;=TIME(6,0,0),MOD(D747,1)&lt;TIME(18,0,0)),         IF(H747=2,"Couple Full Day","24H Day"),         IF(H747=2,"Couple Full Night","24H Night")), "Check Data")))</f>
        <v>12H Day</v>
      </c>
      <c r="L747" s="12" t="n">
        <f aca="false">((INT(E747)+MOD(F747,1))-(INT(C747)+MOD(D747,1)))*24</f>
        <v>-10.0000000009895</v>
      </c>
      <c r="M747" s="1" t="n">
        <f aca="false">IFERROR(INDEX(Sheet3!$B$2:$B$500,MATCH(1,(INT(C747)+MOD(D747,1)&lt;INT(Sheet3!$A$2:$A$500)+TIME(18,0,0))*(INT(E747)+MOD(F747,1)&gt;=INT(Sheet3!$A$2:$A$500)),0)),0)</f>
        <v>0</v>
      </c>
      <c r="N747" s="1" t="n">
        <f aca="false">IF(OR( AND(Q747=6,D747&gt;=TIME(17,0,0),OR(K747="12H Night",K747="Couple Half Night",K747="24H Night",K747="Couple Full Night")), AND(Q747=7,D747&gt;=TIME(6,0,0),D747&lt;TIME(12,0,0),OR(K747="12H Day",K747="Couple Half Day",K747="24H Day",K747="Couple Full Day")) ),1,0)</f>
        <v>0</v>
      </c>
      <c r="O747" s="1" t="n">
        <f aca="false">IF(OR( AND(MONTH(C747)=12,DAY(C747)&gt;=26), AND(MONTH(C747)=4,DAY(C747)&gt;=15), MONTH(C747)=5, AND(MONTH(C747)=6,DAY(C747)&lt;=10) ),1,0)</f>
        <v>0</v>
      </c>
      <c r="P747" s="1" t="str">
        <f aca="false">IF(OR(MONTH(C747)=3,MONTH(C747)=4,MONTH(C747)=5,MONTH(C747)=6), "Summer", IF(OR(MONTH(C747)=7,MONTH(C747)=8,MONTH(C747)=9,MONTH(C747)=10), "Monsoon", "Winter"))</f>
        <v>Monsoon</v>
      </c>
      <c r="Q747" s="1" t="n">
        <f aca="false">WEEKDAY(C747,2)</f>
        <v>6</v>
      </c>
      <c r="R747" s="0" t="n">
        <f aca="false">ROUNDDOWN(((INT(C747)+MOD(D747,1))-(INT(I747)+MOD(J747,1))),0)</f>
        <v>0</v>
      </c>
      <c r="S747" s="10"/>
    </row>
    <row r="748" customFormat="false" ht="238.45" hidden="false" customHeight="false" outlineLevel="0" collapsed="false">
      <c r="A748" s="8" t="s">
        <v>1344</v>
      </c>
      <c r="B748" s="22" t="s">
        <v>1345</v>
      </c>
      <c r="C748" s="18" t="n">
        <v>46214.7916666667</v>
      </c>
      <c r="D748" s="19" t="n">
        <v>46214.7916666667</v>
      </c>
      <c r="E748" s="18" t="n">
        <v>46215.7083333333</v>
      </c>
      <c r="F748" s="19" t="n">
        <v>0</v>
      </c>
      <c r="G748" s="20" t="n">
        <v>5000</v>
      </c>
      <c r="H748" s="8" t="n">
        <v>10</v>
      </c>
      <c r="I748" s="10" t="n">
        <v>46214</v>
      </c>
      <c r="J748" s="11" t="n">
        <v>0.475844907407014</v>
      </c>
      <c r="K748" s="1" t="str">
        <f aca="false">IF(L748&gt;24,     IF(H748=2,"Couple Extended Day","Extended Day"), IF(L748&lt;=12,     IF(AND(MOD(D748,1)&gt;=TIME(6,0,0),MOD(D748,1)&lt;TIME(18,0,0)),         IF(H748=2,"Couple Half Day","12H Day"),         IF(H748=2,"Couple Half Night","12H Night")), IF(L748&lt;=24,     IF(AND(MOD(D748,1)&gt;=TIME(6,0,0),MOD(D748,1)&lt;TIME(18,0,0)),         IF(H748=2,"Couple Full Day","24H Day"),         IF(H748=2,"Couple Full Night","24H Night")), "Check Data")))</f>
        <v>12H Night</v>
      </c>
      <c r="L748" s="12" t="n">
        <f aca="false">((INT(E748)+MOD(F748,1))-(INT(C748)+MOD(D748,1)))*24</f>
        <v>4.99999999901047</v>
      </c>
      <c r="M748" s="1" t="n">
        <f aca="false">IFERROR(INDEX(Sheet3!$B$2:$B$500,MATCH(1,(INT(C748)+MOD(D748,1)&lt;INT(Sheet3!$A$2:$A$500)+TIME(18,0,0))*(INT(E748)+MOD(F748,1)&gt;=INT(Sheet3!$A$2:$A$500)),0)),0)</f>
        <v>0</v>
      </c>
      <c r="N748" s="1" t="n">
        <f aca="false">IF(OR( AND(Q748=6,D748&gt;=TIME(17,0,0),OR(K748="12H Night",K748="Couple Half Night",K748="24H Night",K748="Couple Full Night")), AND(Q748=7,D748&gt;=TIME(6,0,0),D748&lt;TIME(12,0,0),OR(K748="12H Day",K748="Couple Half Day",K748="24H Day",K748="Couple Full Day")) ),1,0)</f>
        <v>1</v>
      </c>
      <c r="O748" s="1" t="n">
        <f aca="false">IF(OR( AND(MONTH(C748)=12,DAY(C748)&gt;=26), AND(MONTH(C748)=4,DAY(C748)&gt;=15), MONTH(C748)=5, AND(MONTH(C748)=6,DAY(C748)&lt;=10) ),1,0)</f>
        <v>0</v>
      </c>
      <c r="P748" s="1" t="str">
        <f aca="false">IF(OR(MONTH(C748)=3,MONTH(C748)=4,MONTH(C748)=5,MONTH(C748)=6), "Summer", IF(OR(MONTH(C748)=7,MONTH(C748)=8,MONTH(C748)=9,MONTH(C748)=10), "Monsoon", "Winter"))</f>
        <v>Monsoon</v>
      </c>
      <c r="Q748" s="1" t="n">
        <f aca="false">WEEKDAY(C748,2)</f>
        <v>6</v>
      </c>
      <c r="R748" s="0" t="n">
        <f aca="false">ROUNDDOWN(((INT(C748)+MOD(D748,1))-(INT(I748)+MOD(J748,1))),0)</f>
        <v>0</v>
      </c>
      <c r="S748" s="10"/>
    </row>
    <row r="749" customFormat="false" ht="216.9" hidden="false" customHeight="false" outlineLevel="0" collapsed="false">
      <c r="A749" s="8" t="s">
        <v>1346</v>
      </c>
      <c r="B749" s="22" t="s">
        <v>1347</v>
      </c>
      <c r="C749" s="18" t="n">
        <v>46215.875</v>
      </c>
      <c r="D749" s="19" t="n">
        <v>46215.875</v>
      </c>
      <c r="E749" s="18" t="n">
        <v>46216.3333333333</v>
      </c>
      <c r="F749" s="19" t="n">
        <v>0</v>
      </c>
      <c r="G749" s="20" t="n">
        <v>3000</v>
      </c>
      <c r="H749" s="8" t="n">
        <v>10</v>
      </c>
      <c r="I749" s="10" t="n">
        <v>46207</v>
      </c>
      <c r="J749" s="11" t="n">
        <v>0.381423611106586</v>
      </c>
      <c r="K749" s="1" t="str">
        <f aca="false">IF(L749&gt;24,     IF(H749=2,"Couple Extended Day","Extended Day"), IF(L749&lt;=12,     IF(AND(MOD(D749,1)&gt;=TIME(6,0,0),MOD(D749,1)&lt;TIME(18,0,0)),         IF(H749=2,"Couple Half Day","12H Day"),         IF(H749=2,"Couple Half Night","12H Night")), IF(L749&lt;=24,     IF(AND(MOD(D749,1)&gt;=TIME(6,0,0),MOD(D749,1)&lt;TIME(18,0,0)),         IF(H749=2,"Couple Full Day","24H Day"),         IF(H749=2,"Couple Full Night","24H Night")), "Check Data")))</f>
        <v>12H Night</v>
      </c>
      <c r="L749" s="12" t="n">
        <f aca="false">((INT(E749)+MOD(F749,1))-(INT(C749)+MOD(D749,1)))*24</f>
        <v>3</v>
      </c>
      <c r="M749" s="1" t="n">
        <f aca="false">IFERROR(INDEX(Sheet3!$B$2:$B$500,MATCH(1,(INT(C749)+MOD(D749,1)&lt;INT(Sheet3!$A$2:$A$500)+TIME(18,0,0))*(INT(E749)+MOD(F749,1)&gt;=INT(Sheet3!$A$2:$A$500)),0)),0)</f>
        <v>0</v>
      </c>
      <c r="N749" s="1" t="n">
        <f aca="false">IF(OR( AND(Q749=6,D749&gt;=TIME(17,0,0),OR(K749="12H Night",K749="Couple Half Night",K749="24H Night",K749="Couple Full Night")), AND(Q749=7,D749&gt;=TIME(6,0,0),D749&lt;TIME(12,0,0),OR(K749="12H Day",K749="Couple Half Day",K749="24H Day",K749="Couple Full Day")) ),1,0)</f>
        <v>0</v>
      </c>
      <c r="O749" s="1" t="n">
        <f aca="false">IF(OR( AND(MONTH(C749)=12,DAY(C749)&gt;=26), AND(MONTH(C749)=4,DAY(C749)&gt;=15), MONTH(C749)=5, AND(MONTH(C749)=6,DAY(C749)&lt;=10) ),1,0)</f>
        <v>0</v>
      </c>
      <c r="P749" s="1" t="str">
        <f aca="false">IF(OR(MONTH(C749)=3,MONTH(C749)=4,MONTH(C749)=5,MONTH(C749)=6), "Summer", IF(OR(MONTH(C749)=7,MONTH(C749)=8,MONTH(C749)=9,MONTH(C749)=10), "Monsoon", "Winter"))</f>
        <v>Monsoon</v>
      </c>
      <c r="Q749" s="1" t="n">
        <f aca="false">WEEKDAY(C749,2)</f>
        <v>7</v>
      </c>
      <c r="R749" s="0" t="n">
        <f aca="false">ROUNDDOWN(((INT(C749)+MOD(D749,1))-(INT(I749)+MOD(J749,1))),0)</f>
        <v>8</v>
      </c>
      <c r="S749" s="10"/>
    </row>
    <row r="750" customFormat="false" ht="216.9" hidden="false" customHeight="false" outlineLevel="0" collapsed="false">
      <c r="A750" s="8" t="s">
        <v>1348</v>
      </c>
      <c r="B750" s="22" t="s">
        <v>1349</v>
      </c>
      <c r="C750" s="18" t="n">
        <v>46216.4166666667</v>
      </c>
      <c r="D750" s="19" t="n">
        <v>46216.4166666667</v>
      </c>
      <c r="E750" s="18" t="n">
        <v>46216.7083333333</v>
      </c>
      <c r="F750" s="19" t="n">
        <v>0</v>
      </c>
      <c r="G750" s="20" t="n">
        <v>3000</v>
      </c>
      <c r="H750" s="8" t="n">
        <v>12</v>
      </c>
      <c r="I750" s="10" t="n">
        <v>46212</v>
      </c>
      <c r="J750" s="11" t="n">
        <v>0.72556712962978</v>
      </c>
      <c r="K750" s="1" t="str">
        <f aca="false">IF(L750&gt;24,     IF(H750=2,"Couple Extended Day","Extended Day"), IF(L750&lt;=12,     IF(AND(MOD(D750,1)&gt;=TIME(6,0,0),MOD(D750,1)&lt;TIME(18,0,0)),         IF(H750=2,"Couple Half Day","12H Day"),         IF(H750=2,"Couple Half Night","12H Night")), IF(L750&lt;=24,     IF(AND(MOD(D750,1)&gt;=TIME(6,0,0),MOD(D750,1)&lt;TIME(18,0,0)),         IF(H750=2,"Couple Full Day","24H Day"),         IF(H750=2,"Couple Full Night","24H Night")), "Check Data")))</f>
        <v>12H Day</v>
      </c>
      <c r="L750" s="12" t="n">
        <f aca="false">((INT(E750)+MOD(F750,1))-(INT(C750)+MOD(D750,1)))*24</f>
        <v>-10.0000000009895</v>
      </c>
      <c r="M750" s="1" t="n">
        <f aca="false">IFERROR(INDEX(Sheet3!$B$2:$B$500,MATCH(1,(INT(C750)+MOD(D750,1)&lt;INT(Sheet3!$A$2:$A$500)+TIME(18,0,0))*(INT(E750)+MOD(F750,1)&gt;=INT(Sheet3!$A$2:$A$500)),0)),0)</f>
        <v>0</v>
      </c>
      <c r="N750" s="1" t="n">
        <f aca="false">IF(OR( AND(Q750=6,D750&gt;=TIME(17,0,0),OR(K750="12H Night",K750="Couple Half Night",K750="24H Night",K750="Couple Full Night")), AND(Q750=7,D750&gt;=TIME(6,0,0),D750&lt;TIME(12,0,0),OR(K750="12H Day",K750="Couple Half Day",K750="24H Day",K750="Couple Full Day")) ),1,0)</f>
        <v>0</v>
      </c>
      <c r="O750" s="1" t="n">
        <f aca="false">IF(OR( AND(MONTH(C750)=12,DAY(C750)&gt;=26), AND(MONTH(C750)=4,DAY(C750)&gt;=15), MONTH(C750)=5, AND(MONTH(C750)=6,DAY(C750)&lt;=10) ),1,0)</f>
        <v>0</v>
      </c>
      <c r="P750" s="1" t="str">
        <f aca="false">IF(OR(MONTH(C750)=3,MONTH(C750)=4,MONTH(C750)=5,MONTH(C750)=6), "Summer", IF(OR(MONTH(C750)=7,MONTH(C750)=8,MONTH(C750)=9,MONTH(C750)=10), "Monsoon", "Winter"))</f>
        <v>Monsoon</v>
      </c>
      <c r="Q750" s="1" t="n">
        <f aca="false">WEEKDAY(C750,2)</f>
        <v>1</v>
      </c>
      <c r="R750" s="0" t="n">
        <f aca="false">ROUNDDOWN(((INT(C750)+MOD(D750,1))-(INT(I750)+MOD(J750,1))),0)</f>
        <v>3</v>
      </c>
      <c r="S750" s="10"/>
    </row>
    <row r="751" customFormat="false" ht="185.9" hidden="false" customHeight="false" outlineLevel="0" collapsed="false">
      <c r="A751" s="8" t="s">
        <v>1350</v>
      </c>
      <c r="B751" s="22" t="s">
        <v>1351</v>
      </c>
      <c r="C751" s="18" t="n">
        <v>46220.375</v>
      </c>
      <c r="D751" s="19" t="n">
        <v>46220.375</v>
      </c>
      <c r="E751" s="18" t="n">
        <v>46220.75</v>
      </c>
      <c r="F751" s="19" t="n">
        <v>46220.75</v>
      </c>
      <c r="G751" s="20" t="n">
        <v>3500</v>
      </c>
      <c r="H751" s="8" t="n">
        <v>8</v>
      </c>
      <c r="I751" s="10" t="n">
        <v>46204</v>
      </c>
      <c r="J751" s="11" t="n">
        <v>0.678541666668021</v>
      </c>
      <c r="K751" s="1" t="str">
        <f aca="false">IF(L751&gt;24,     IF(H751=2,"Couple Extended Day","Extended Day"), IF(L751&lt;=12,     IF(AND(MOD(D751,1)&gt;=TIME(6,0,0),MOD(D751,1)&lt;TIME(18,0,0)),         IF(H751=2,"Couple Half Day","12H Day"),         IF(H751=2,"Couple Half Night","12H Night")), IF(L751&lt;=24,     IF(AND(MOD(D751,1)&gt;=TIME(6,0,0),MOD(D751,1)&lt;TIME(18,0,0)),         IF(H751=2,"Couple Full Day","24H Day"),         IF(H751=2,"Couple Full Night","24H Night")), "Check Data")))</f>
        <v>12H Day</v>
      </c>
      <c r="L751" s="12" t="n">
        <f aca="false">((INT(E751)+MOD(F751,1))-(INT(C751)+MOD(D751,1)))*24</f>
        <v>9</v>
      </c>
      <c r="M751" s="1" t="n">
        <f aca="false">IFERROR(INDEX(Sheet3!$B$2:$B$500,MATCH(1,(INT(C751)+MOD(D751,1)&lt;INT(Sheet3!$A$2:$A$500)+TIME(18,0,0))*(INT(E751)+MOD(F751,1)&gt;=INT(Sheet3!$A$2:$A$500)),0)),0)</f>
        <v>0</v>
      </c>
      <c r="N751" s="1" t="n">
        <f aca="false">IF(OR( AND(Q751=6,D751&gt;=TIME(17,0,0),OR(K751="12H Night",K751="Couple Half Night",K751="24H Night",K751="Couple Full Night")), AND(Q751=7,D751&gt;=TIME(6,0,0),D751&lt;TIME(12,0,0),OR(K751="12H Day",K751="Couple Half Day",K751="24H Day",K751="Couple Full Day")) ),1,0)</f>
        <v>0</v>
      </c>
      <c r="O751" s="1" t="n">
        <f aca="false">IF(OR( AND(MONTH(C751)=12,DAY(C751)&gt;=26), AND(MONTH(C751)=4,DAY(C751)&gt;=15), MONTH(C751)=5, AND(MONTH(C751)=6,DAY(C751)&lt;=10) ),1,0)</f>
        <v>0</v>
      </c>
      <c r="P751" s="1" t="str">
        <f aca="false">IF(OR(MONTH(C751)=3,MONTH(C751)=4,MONTH(C751)=5,MONTH(C751)=6), "Summer", IF(OR(MONTH(C751)=7,MONTH(C751)=8,MONTH(C751)=9,MONTH(C751)=10), "Monsoon", "Winter"))</f>
        <v>Monsoon</v>
      </c>
      <c r="Q751" s="1" t="n">
        <f aca="false">WEEKDAY(C751,2)</f>
        <v>5</v>
      </c>
      <c r="R751" s="0" t="n">
        <f aca="false">ROUNDDOWN(((INT(C751)+MOD(D751,1))-(INT(I751)+MOD(J751,1))),0)</f>
        <v>15</v>
      </c>
      <c r="S751" s="10"/>
    </row>
    <row r="752" customFormat="false" ht="212.2" hidden="false" customHeight="false" outlineLevel="0" collapsed="false">
      <c r="A752" s="8" t="s">
        <v>1352</v>
      </c>
      <c r="B752" s="22" t="s">
        <v>1353</v>
      </c>
      <c r="C752" s="18" t="n">
        <v>46221.7916666667</v>
      </c>
      <c r="D752" s="19" t="n">
        <v>46221.7916666667</v>
      </c>
      <c r="E752" s="18" t="n">
        <v>46222.7083333333</v>
      </c>
      <c r="F752" s="19" t="n">
        <v>0</v>
      </c>
      <c r="G752" s="20" t="n">
        <v>5500</v>
      </c>
      <c r="H752" s="8" t="n">
        <v>10</v>
      </c>
      <c r="I752" s="10" t="n">
        <v>46218</v>
      </c>
      <c r="J752" s="11" t="n">
        <v>0.959479166667732</v>
      </c>
      <c r="K752" s="1" t="str">
        <f aca="false">IF(L752&gt;24,     IF(H752=2,"Couple Extended Day","Extended Day"), IF(L752&lt;=12,     IF(AND(MOD(D752,1)&gt;=TIME(6,0,0),MOD(D752,1)&lt;TIME(18,0,0)),         IF(H752=2,"Couple Half Day","12H Day"),         IF(H752=2,"Couple Half Night","12H Night")), IF(L752&lt;=24,     IF(AND(MOD(D752,1)&gt;=TIME(6,0,0),MOD(D752,1)&lt;TIME(18,0,0)),         IF(H752=2,"Couple Full Day","24H Day"),         IF(H752=2,"Couple Full Night","24H Night")), "Check Data")))</f>
        <v>12H Night</v>
      </c>
      <c r="L752" s="12" t="n">
        <f aca="false">((INT(E752)+MOD(F752,1))-(INT(C752)+MOD(D752,1)))*24</f>
        <v>4.99999999901047</v>
      </c>
      <c r="M752" s="1" t="n">
        <f aca="false">IFERROR(INDEX(Sheet3!$B$2:$B$500,MATCH(1,(INT(C752)+MOD(D752,1)&lt;INT(Sheet3!$A$2:$A$500)+TIME(18,0,0))*(INT(E752)+MOD(F752,1)&gt;=INT(Sheet3!$A$2:$A$500)),0)),0)</f>
        <v>0</v>
      </c>
      <c r="N752" s="1" t="n">
        <f aca="false">IF(OR( AND(Q752=6,D752&gt;=TIME(17,0,0),OR(K752="12H Night",K752="Couple Half Night",K752="24H Night",K752="Couple Full Night")), AND(Q752=7,D752&gt;=TIME(6,0,0),D752&lt;TIME(12,0,0),OR(K752="12H Day",K752="Couple Half Day",K752="24H Day",K752="Couple Full Day")) ),1,0)</f>
        <v>1</v>
      </c>
      <c r="O752" s="1" t="n">
        <f aca="false">IF(OR( AND(MONTH(C752)=12,DAY(C752)&gt;=26), AND(MONTH(C752)=4,DAY(C752)&gt;=15), MONTH(C752)=5, AND(MONTH(C752)=6,DAY(C752)&lt;=10) ),1,0)</f>
        <v>0</v>
      </c>
      <c r="P752" s="1" t="str">
        <f aca="false">IF(OR(MONTH(C752)=3,MONTH(C752)=4,MONTH(C752)=5,MONTH(C752)=6), "Summer", IF(OR(MONTH(C752)=7,MONTH(C752)=8,MONTH(C752)=9,MONTH(C752)=10), "Monsoon", "Winter"))</f>
        <v>Monsoon</v>
      </c>
      <c r="Q752" s="1" t="n">
        <f aca="false">WEEKDAY(C752,2)</f>
        <v>6</v>
      </c>
      <c r="R752" s="0" t="n">
        <f aca="false">ROUNDDOWN(((INT(C752)+MOD(D752,1))-(INT(I752)+MOD(J752,1))),0)</f>
        <v>2</v>
      </c>
      <c r="S752" s="10"/>
    </row>
    <row r="753" customFormat="false" ht="251.6" hidden="false" customHeight="false" outlineLevel="0" collapsed="false">
      <c r="A753" s="8" t="s">
        <v>1354</v>
      </c>
      <c r="B753" s="22" t="s">
        <v>1355</v>
      </c>
      <c r="C753" s="18" t="n">
        <v>46222.7916666667</v>
      </c>
      <c r="D753" s="19" t="n">
        <v>46222.7916666667</v>
      </c>
      <c r="E753" s="18" t="n">
        <v>46223.7083333333</v>
      </c>
      <c r="F753" s="19" t="n">
        <v>0</v>
      </c>
      <c r="G753" s="20" t="n">
        <v>3500</v>
      </c>
      <c r="H753" s="8" t="n">
        <v>8</v>
      </c>
      <c r="I753" s="10" t="n">
        <v>46221</v>
      </c>
      <c r="J753" s="11" t="n">
        <v>0.936226851852558</v>
      </c>
      <c r="K753" s="1" t="str">
        <f aca="false">IF(L753&gt;24,     IF(H753=2,"Couple Extended Day","Extended Day"), IF(L753&lt;=12,     IF(AND(MOD(D753,1)&gt;=TIME(6,0,0),MOD(D753,1)&lt;TIME(18,0,0)),         IF(H753=2,"Couple Half Day","12H Day"),         IF(H753=2,"Couple Half Night","12H Night")), IF(L753&lt;=24,     IF(AND(MOD(D753,1)&gt;=TIME(6,0,0),MOD(D753,1)&lt;TIME(18,0,0)),         IF(H753=2,"Couple Full Day","24H Day"),         IF(H753=2,"Couple Full Night","24H Night")), "Check Data")))</f>
        <v>12H Night</v>
      </c>
      <c r="L753" s="12" t="n">
        <f aca="false">((INT(E753)+MOD(F753,1))-(INT(C753)+MOD(D753,1)))*24</f>
        <v>4.99999999901047</v>
      </c>
      <c r="M753" s="1" t="n">
        <f aca="false">IFERROR(INDEX(Sheet3!$B$2:$B$500,MATCH(1,(INT(C753)+MOD(D753,1)&lt;INT(Sheet3!$A$2:$A$500)+TIME(18,0,0))*(INT(E753)+MOD(F753,1)&gt;=INT(Sheet3!$A$2:$A$500)),0)),0)</f>
        <v>0</v>
      </c>
      <c r="N753" s="1" t="n">
        <f aca="false">IF(OR( AND(Q753=6,D753&gt;=TIME(17,0,0),OR(K753="12H Night",K753="Couple Half Night",K753="24H Night",K753="Couple Full Night")), AND(Q753=7,D753&gt;=TIME(6,0,0),D753&lt;TIME(12,0,0),OR(K753="12H Day",K753="Couple Half Day",K753="24H Day",K753="Couple Full Day")) ),1,0)</f>
        <v>0</v>
      </c>
      <c r="O753" s="1" t="n">
        <f aca="false">IF(OR( AND(MONTH(C753)=12,DAY(C753)&gt;=26), AND(MONTH(C753)=4,DAY(C753)&gt;=15), MONTH(C753)=5, AND(MONTH(C753)=6,DAY(C753)&lt;=10) ),1,0)</f>
        <v>0</v>
      </c>
      <c r="P753" s="1" t="str">
        <f aca="false">IF(OR(MONTH(C753)=3,MONTH(C753)=4,MONTH(C753)=5,MONTH(C753)=6), "Summer", IF(OR(MONTH(C753)=7,MONTH(C753)=8,MONTH(C753)=9,MONTH(C753)=10), "Monsoon", "Winter"))</f>
        <v>Monsoon</v>
      </c>
      <c r="Q753" s="1" t="n">
        <f aca="false">WEEKDAY(C753,2)</f>
        <v>7</v>
      </c>
      <c r="R753" s="0" t="n">
        <f aca="false">ROUNDDOWN(((INT(C753)+MOD(D753,1))-(INT(I753)+MOD(J753,1))),0)</f>
        <v>0</v>
      </c>
      <c r="S753" s="10"/>
    </row>
    <row r="754" customFormat="false" ht="212.2" hidden="false" customHeight="false" outlineLevel="0" collapsed="false">
      <c r="A754" s="8" t="s">
        <v>1356</v>
      </c>
      <c r="B754" s="22" t="s">
        <v>1357</v>
      </c>
      <c r="C754" s="18" t="n">
        <v>46223.7916666667</v>
      </c>
      <c r="D754" s="19" t="n">
        <v>46223.7916666667</v>
      </c>
      <c r="E754" s="18" t="n">
        <v>46224.3333333333</v>
      </c>
      <c r="F754" s="19" t="n">
        <v>0</v>
      </c>
      <c r="G754" s="20" t="n">
        <v>3000</v>
      </c>
      <c r="H754" s="8" t="n">
        <v>7</v>
      </c>
      <c r="I754" s="10" t="n">
        <v>46223</v>
      </c>
      <c r="J754" s="11" t="n">
        <v>0.698101851856331</v>
      </c>
      <c r="K754" s="1" t="str">
        <f aca="false">IF(L754&gt;24,     IF(H754=2,"Couple Extended Day","Extended Day"), IF(L754&lt;=12,     IF(AND(MOD(D754,1)&gt;=TIME(6,0,0),MOD(D754,1)&lt;TIME(18,0,0)),         IF(H754=2,"Couple Half Day","12H Day"),         IF(H754=2,"Couple Half Night","12H Night")), IF(L754&lt;=24,     IF(AND(MOD(D754,1)&gt;=TIME(6,0,0),MOD(D754,1)&lt;TIME(18,0,0)),         IF(H754=2,"Couple Full Day","24H Day"),         IF(H754=2,"Couple Full Night","24H Night")), "Check Data")))</f>
        <v>12H Night</v>
      </c>
      <c r="L754" s="12" t="n">
        <f aca="false">((INT(E754)+MOD(F754,1))-(INT(C754)+MOD(D754,1)))*24</f>
        <v>4.99999999901047</v>
      </c>
      <c r="M754" s="1" t="n">
        <f aca="false">IFERROR(INDEX(Sheet3!$B$2:$B$500,MATCH(1,(INT(C754)+MOD(D754,1)&lt;INT(Sheet3!$A$2:$A$500)+TIME(18,0,0))*(INT(E754)+MOD(F754,1)&gt;=INT(Sheet3!$A$2:$A$500)),0)),0)</f>
        <v>0</v>
      </c>
      <c r="N754" s="1" t="n">
        <f aca="false">IF(OR( AND(Q754=6,D754&gt;=TIME(17,0,0),OR(K754="12H Night",K754="Couple Half Night",K754="24H Night",K754="Couple Full Night")), AND(Q754=7,D754&gt;=TIME(6,0,0),D754&lt;TIME(12,0,0),OR(K754="12H Day",K754="Couple Half Day",K754="24H Day",K754="Couple Full Day")) ),1,0)</f>
        <v>0</v>
      </c>
      <c r="O754" s="1" t="n">
        <f aca="false">IF(OR( AND(MONTH(C754)=12,DAY(C754)&gt;=26), AND(MONTH(C754)=4,DAY(C754)&gt;=15), MONTH(C754)=5, AND(MONTH(C754)=6,DAY(C754)&lt;=10) ),1,0)</f>
        <v>0</v>
      </c>
      <c r="P754" s="1" t="str">
        <f aca="false">IF(OR(MONTH(C754)=3,MONTH(C754)=4,MONTH(C754)=5,MONTH(C754)=6), "Summer", IF(OR(MONTH(C754)=7,MONTH(C754)=8,MONTH(C754)=9,MONTH(C754)=10), "Monsoon", "Winter"))</f>
        <v>Monsoon</v>
      </c>
      <c r="Q754" s="1" t="n">
        <f aca="false">WEEKDAY(C754,2)</f>
        <v>1</v>
      </c>
      <c r="R754" s="0" t="n">
        <f aca="false">ROUNDDOWN(((INT(C754)+MOD(D754,1))-(INT(I754)+MOD(J754,1))),0)</f>
        <v>0</v>
      </c>
      <c r="S754" s="10"/>
    </row>
    <row r="755" customFormat="false" ht="212.2" hidden="false" customHeight="false" outlineLevel="0" collapsed="false">
      <c r="A755" s="8" t="s">
        <v>1358</v>
      </c>
      <c r="B755" s="22" t="s">
        <v>1359</v>
      </c>
      <c r="C755" s="18" t="n">
        <v>46227.4166666667</v>
      </c>
      <c r="D755" s="19" t="n">
        <v>46227.4166666667</v>
      </c>
      <c r="E755" s="18" t="n">
        <v>46227.7083333333</v>
      </c>
      <c r="F755" s="19" t="n">
        <v>0</v>
      </c>
      <c r="G755" s="20" t="n">
        <v>1500</v>
      </c>
      <c r="H755" s="8" t="n">
        <v>2</v>
      </c>
      <c r="I755" s="10" t="n">
        <v>46225</v>
      </c>
      <c r="J755" s="11" t="n">
        <v>0.609016203699861</v>
      </c>
      <c r="K755" s="1" t="str">
        <f aca="false">IF(L755&gt;24,     IF(H755=2,"Couple Extended Day","Extended Day"), IF(L755&lt;=12,     IF(AND(MOD(D755,1)&gt;=TIME(6,0,0),MOD(D755,1)&lt;TIME(18,0,0)),         IF(H755=2,"Couple Half Day","12H Day"),         IF(H755=2,"Couple Half Night","12H Night")), IF(L755&lt;=24,     IF(AND(MOD(D755,1)&gt;=TIME(6,0,0),MOD(D755,1)&lt;TIME(18,0,0)),         IF(H755=2,"Couple Full Day","24H Day"),         IF(H755=2,"Couple Full Night","24H Night")), "Check Data")))</f>
        <v>Couple Half Day</v>
      </c>
      <c r="L755" s="12" t="n">
        <f aca="false">((INT(E755)+MOD(F755,1))-(INT(C755)+MOD(D755,1)))*24</f>
        <v>-10.0000000009895</v>
      </c>
      <c r="M755" s="1" t="n">
        <f aca="false">IFERROR(INDEX(Sheet3!$B$2:$B$500,MATCH(1,(INT(C755)+MOD(D755,1)&lt;INT(Sheet3!$A$2:$A$500)+TIME(18,0,0))*(INT(E755)+MOD(F755,1)&gt;=INT(Sheet3!$A$2:$A$500)),0)),0)</f>
        <v>0</v>
      </c>
      <c r="N755" s="1" t="n">
        <f aca="false">IF(OR( AND(Q755=6,D755&gt;=TIME(17,0,0),OR(K755="12H Night",K755="Couple Half Night",K755="24H Night",K755="Couple Full Night")), AND(Q755=7,D755&gt;=TIME(6,0,0),D755&lt;TIME(12,0,0),OR(K755="12H Day",K755="Couple Half Day",K755="24H Day",K755="Couple Full Day")) ),1,0)</f>
        <v>0</v>
      </c>
      <c r="O755" s="1" t="n">
        <f aca="false">IF(OR( AND(MONTH(C755)=12,DAY(C755)&gt;=26), AND(MONTH(C755)=4,DAY(C755)&gt;=15), MONTH(C755)=5, AND(MONTH(C755)=6,DAY(C755)&lt;=10) ),1,0)</f>
        <v>0</v>
      </c>
      <c r="P755" s="1" t="str">
        <f aca="false">IF(OR(MONTH(C755)=3,MONTH(C755)=4,MONTH(C755)=5,MONTH(C755)=6), "Summer", IF(OR(MONTH(C755)=7,MONTH(C755)=8,MONTH(C755)=9,MONTH(C755)=10), "Monsoon", "Winter"))</f>
        <v>Monsoon</v>
      </c>
      <c r="Q755" s="1" t="n">
        <f aca="false">WEEKDAY(C755,2)</f>
        <v>5</v>
      </c>
      <c r="R755" s="0" t="n">
        <f aca="false">ROUNDDOWN(((INT(C755)+MOD(D755,1))-(INT(I755)+MOD(J755,1))),0)</f>
        <v>1</v>
      </c>
      <c r="S755" s="10"/>
    </row>
    <row r="756" customFormat="false" ht="251.6" hidden="false" customHeight="false" outlineLevel="0" collapsed="false">
      <c r="A756" s="8" t="s">
        <v>1360</v>
      </c>
      <c r="B756" s="22" t="s">
        <v>1361</v>
      </c>
      <c r="C756" s="18" t="n">
        <v>46228.7916666667</v>
      </c>
      <c r="D756" s="19" t="n">
        <v>46228.7916666667</v>
      </c>
      <c r="E756" s="18" t="n">
        <v>46229.7083333333</v>
      </c>
      <c r="F756" s="19" t="n">
        <v>0</v>
      </c>
      <c r="G756" s="20" t="n">
        <v>6000</v>
      </c>
      <c r="H756" s="8" t="n">
        <v>12</v>
      </c>
      <c r="I756" s="10" t="n">
        <v>46212</v>
      </c>
      <c r="J756" s="11" t="n">
        <v>0.906296296292569</v>
      </c>
      <c r="K756" s="1" t="str">
        <f aca="false">IF(L756&gt;24,     IF(H756=2,"Couple Extended Day","Extended Day"), IF(L756&lt;=12,     IF(AND(MOD(D756,1)&gt;=TIME(6,0,0),MOD(D756,1)&lt;TIME(18,0,0)),         IF(H756=2,"Couple Half Day","12H Day"),         IF(H756=2,"Couple Half Night","12H Night")), IF(L756&lt;=24,     IF(AND(MOD(D756,1)&gt;=TIME(6,0,0),MOD(D756,1)&lt;TIME(18,0,0)),         IF(H756=2,"Couple Full Day","24H Day"),         IF(H756=2,"Couple Full Night","24H Night")), "Check Data")))</f>
        <v>12H Night</v>
      </c>
      <c r="L756" s="12" t="n">
        <f aca="false">((INT(E756)+MOD(F756,1))-(INT(C756)+MOD(D756,1)))*24</f>
        <v>4.99999999901047</v>
      </c>
      <c r="M756" s="1" t="n">
        <f aca="false">IFERROR(INDEX(Sheet3!$B$2:$B$500,MATCH(1,(INT(C756)+MOD(D756,1)&lt;INT(Sheet3!$A$2:$A$500)+TIME(18,0,0))*(INT(E756)+MOD(F756,1)&gt;=INT(Sheet3!$A$2:$A$500)),0)),0)</f>
        <v>0</v>
      </c>
      <c r="N756" s="1" t="n">
        <f aca="false">IF(OR( AND(Q756=6,D756&gt;=TIME(17,0,0),OR(K756="12H Night",K756="Couple Half Night",K756="24H Night",K756="Couple Full Night")), AND(Q756=7,D756&gt;=TIME(6,0,0),D756&lt;TIME(12,0,0),OR(K756="12H Day",K756="Couple Half Day",K756="24H Day",K756="Couple Full Day")) ),1,0)</f>
        <v>1</v>
      </c>
      <c r="O756" s="1" t="n">
        <f aca="false">IF(OR( AND(MONTH(C756)=12,DAY(C756)&gt;=26), AND(MONTH(C756)=4,DAY(C756)&gt;=15), MONTH(C756)=5, AND(MONTH(C756)=6,DAY(C756)&lt;=10) ),1,0)</f>
        <v>0</v>
      </c>
      <c r="P756" s="1" t="str">
        <f aca="false">IF(OR(MONTH(C756)=3,MONTH(C756)=4,MONTH(C756)=5,MONTH(C756)=6), "Summer", IF(OR(MONTH(C756)=7,MONTH(C756)=8,MONTH(C756)=9,MONTH(C756)=10), "Monsoon", "Winter"))</f>
        <v>Monsoon</v>
      </c>
      <c r="Q756" s="1" t="n">
        <f aca="false">WEEKDAY(C756,2)</f>
        <v>6</v>
      </c>
      <c r="R756" s="0" t="n">
        <f aca="false">ROUNDDOWN(((INT(C756)+MOD(D756,1))-(INT(I756)+MOD(J756,1))),0)</f>
        <v>15</v>
      </c>
      <c r="S756" s="10"/>
    </row>
    <row r="757" customFormat="false" ht="216.9" hidden="false" customHeight="false" outlineLevel="0" collapsed="false">
      <c r="A757" s="8" t="s">
        <v>1362</v>
      </c>
      <c r="B757" s="22" t="s">
        <v>1363</v>
      </c>
      <c r="C757" s="18" t="n">
        <v>46230.9583333333</v>
      </c>
      <c r="D757" s="19" t="n">
        <v>0</v>
      </c>
      <c r="E757" s="18" t="n">
        <v>46231.3333333333</v>
      </c>
      <c r="F757" s="19" t="n">
        <v>0</v>
      </c>
      <c r="G757" s="20" t="n">
        <v>2000</v>
      </c>
      <c r="H757" s="8" t="n">
        <v>3</v>
      </c>
      <c r="I757" s="10" t="n">
        <v>46230</v>
      </c>
      <c r="J757" s="11" t="n">
        <v>0.990451388890509</v>
      </c>
      <c r="K757" s="1" t="str">
        <f aca="false">IF(L757&gt;24,     IF(H757=2,"Couple Extended Day","Extended Day"), IF(L757&lt;=12,     IF(AND(MOD(D757,1)&gt;=TIME(6,0,0),MOD(D757,1)&lt;TIME(18,0,0)),         IF(H757=2,"Couple Half Day","12H Day"),         IF(H757=2,"Couple Half Night","12H Night")), IF(L757&lt;=24,     IF(AND(MOD(D757,1)&gt;=TIME(6,0,0),MOD(D757,1)&lt;TIME(18,0,0)),         IF(H757=2,"Couple Full Day","24H Day"),         IF(H757=2,"Couple Full Night","24H Night")), "Check Data")))</f>
        <v>24H Night</v>
      </c>
      <c r="L757" s="12" t="n">
        <f aca="false">((INT(E757)+MOD(F757,1))-(INT(C757)+MOD(D757,1)))*24</f>
        <v>24</v>
      </c>
      <c r="M757" s="1" t="n">
        <f aca="false">IFERROR(INDEX(Sheet3!$B$2:$B$500,MATCH(1,(INT(C757)+MOD(D757,1)&lt;INT(Sheet3!$A$2:$A$500)+TIME(18,0,0))*(INT(E757)+MOD(F757,1)&gt;=INT(Sheet3!$A$2:$A$500)),0)),0)</f>
        <v>0</v>
      </c>
      <c r="N757" s="1" t="n">
        <f aca="false">IF(OR( AND(Q757=6,D757&gt;=TIME(17,0,0),OR(K757="12H Night",K757="Couple Half Night",K757="24H Night",K757="Couple Full Night")), AND(Q757=7,D757&gt;=TIME(6,0,0),D757&lt;TIME(12,0,0),OR(K757="12H Day",K757="Couple Half Day",K757="24H Day",K757="Couple Full Day")) ),1,0)</f>
        <v>0</v>
      </c>
      <c r="O757" s="1" t="n">
        <f aca="false">IF(OR( AND(MONTH(C757)=12,DAY(C757)&gt;=26), AND(MONTH(C757)=4,DAY(C757)&gt;=15), MONTH(C757)=5, AND(MONTH(C757)=6,DAY(C757)&lt;=10) ),1,0)</f>
        <v>0</v>
      </c>
      <c r="P757" s="1" t="str">
        <f aca="false">IF(OR(MONTH(C757)=3,MONTH(C757)=4,MONTH(C757)=5,MONTH(C757)=6), "Summer", IF(OR(MONTH(C757)=7,MONTH(C757)=8,MONTH(C757)=9,MONTH(C757)=10), "Monsoon", "Winter"))</f>
        <v>Monsoon</v>
      </c>
      <c r="Q757" s="1" t="n">
        <f aca="false">WEEKDAY(C757,2)</f>
        <v>1</v>
      </c>
      <c r="R757" s="0" t="n">
        <f aca="false">ROUNDDOWN(((INT(C757)+MOD(D757,1))-(INT(I757)+MOD(J757,1))),0)</f>
        <v>-0</v>
      </c>
      <c r="S757" s="10"/>
    </row>
    <row r="758" customFormat="false" ht="216.9" hidden="false" customHeight="false" outlineLevel="0" collapsed="false">
      <c r="A758" s="8" t="s">
        <v>1364</v>
      </c>
      <c r="B758" s="22" t="s">
        <v>1365</v>
      </c>
      <c r="C758" s="18" t="n">
        <v>46231.375</v>
      </c>
      <c r="D758" s="19" t="n">
        <v>46231.375</v>
      </c>
      <c r="E758" s="18" t="n">
        <v>46231.75</v>
      </c>
      <c r="F758" s="19" t="n">
        <v>46231.75</v>
      </c>
      <c r="G758" s="20" t="n">
        <v>3000</v>
      </c>
      <c r="H758" s="8" t="n">
        <v>6</v>
      </c>
      <c r="I758" s="10" t="n">
        <v>46230</v>
      </c>
      <c r="J758" s="11" t="n">
        <v>0.863090277780428</v>
      </c>
      <c r="K758" s="1" t="str">
        <f aca="false">IF(L758&gt;24,     IF(H758=2,"Couple Extended Day","Extended Day"), IF(L758&lt;=12,     IF(AND(MOD(D758,1)&gt;=TIME(6,0,0),MOD(D758,1)&lt;TIME(18,0,0)),         IF(H758=2,"Couple Half Day","12H Day"),         IF(H758=2,"Couple Half Night","12H Night")), IF(L758&lt;=24,     IF(AND(MOD(D758,1)&gt;=TIME(6,0,0),MOD(D758,1)&lt;TIME(18,0,0)),         IF(H758=2,"Couple Full Day","24H Day"),         IF(H758=2,"Couple Full Night","24H Night")), "Check Data")))</f>
        <v>12H Day</v>
      </c>
      <c r="L758" s="12" t="n">
        <f aca="false">((INT(E758)+MOD(F758,1))-(INT(C758)+MOD(D758,1)))*24</f>
        <v>9</v>
      </c>
      <c r="M758" s="1" t="n">
        <f aca="false">IFERROR(INDEX(Sheet3!$B$2:$B$500,MATCH(1,(INT(C758)+MOD(D758,1)&lt;INT(Sheet3!$A$2:$A$500)+TIME(18,0,0))*(INT(E758)+MOD(F758,1)&gt;=INT(Sheet3!$A$2:$A$500)),0)),0)</f>
        <v>0</v>
      </c>
      <c r="N758" s="1" t="n">
        <f aca="false">IF(OR( AND(Q758=6,D758&gt;=TIME(17,0,0),OR(K758="12H Night",K758="Couple Half Night",K758="24H Night",K758="Couple Full Night")), AND(Q758=7,D758&gt;=TIME(6,0,0),D758&lt;TIME(12,0,0),OR(K758="12H Day",K758="Couple Half Day",K758="24H Day",K758="Couple Full Day")) ),1,0)</f>
        <v>0</v>
      </c>
      <c r="O758" s="1" t="n">
        <f aca="false">IF(OR( AND(MONTH(C758)=12,DAY(C758)&gt;=26), AND(MONTH(C758)=4,DAY(C758)&gt;=15), MONTH(C758)=5, AND(MONTH(C758)=6,DAY(C758)&lt;=10) ),1,0)</f>
        <v>0</v>
      </c>
      <c r="P758" s="1" t="str">
        <f aca="false">IF(OR(MONTH(C758)=3,MONTH(C758)=4,MONTH(C758)=5,MONTH(C758)=6), "Summer", IF(OR(MONTH(C758)=7,MONTH(C758)=8,MONTH(C758)=9,MONTH(C758)=10), "Monsoon", "Winter"))</f>
        <v>Monsoon</v>
      </c>
      <c r="Q758" s="1" t="n">
        <f aca="false">WEEKDAY(C758,2)</f>
        <v>2</v>
      </c>
      <c r="R758" s="0" t="n">
        <f aca="false">ROUNDDOWN(((INT(C758)+MOD(D758,1))-(INT(I758)+MOD(J758,1))),0)</f>
        <v>0</v>
      </c>
      <c r="S758" s="10"/>
    </row>
    <row r="759" customFormat="false" ht="216.9" hidden="false" customHeight="false" outlineLevel="0" collapsed="false">
      <c r="A759" s="8" t="s">
        <v>1366</v>
      </c>
      <c r="B759" s="22" t="s">
        <v>1367</v>
      </c>
      <c r="C759" s="18" t="n">
        <v>46231.9166666667</v>
      </c>
      <c r="D759" s="19" t="n">
        <v>46231.9166666667</v>
      </c>
      <c r="E759" s="18" t="n">
        <v>46232.7083333333</v>
      </c>
      <c r="F759" s="19" t="n">
        <v>0</v>
      </c>
      <c r="G759" s="20" t="n">
        <v>3500</v>
      </c>
      <c r="H759" s="8" t="n">
        <v>8</v>
      </c>
      <c r="I759" s="10" t="n">
        <v>46231</v>
      </c>
      <c r="J759" s="11" t="n">
        <v>0.954745370370799</v>
      </c>
      <c r="K759" s="1" t="str">
        <f aca="false">IF(L759&gt;24,     IF(H759=2,"Couple Extended Day","Extended Day"), IF(L759&lt;=12,     IF(AND(MOD(D759,1)&gt;=TIME(6,0,0),MOD(D759,1)&lt;TIME(18,0,0)),         IF(H759=2,"Couple Half Day","12H Day"),         IF(H759=2,"Couple Half Night","12H Night")), IF(L759&lt;=24,     IF(AND(MOD(D759,1)&gt;=TIME(6,0,0),MOD(D759,1)&lt;TIME(18,0,0)),         IF(H759=2,"Couple Full Day","24H Day"),         IF(H759=2,"Couple Full Night","24H Night")), "Check Data")))</f>
        <v>12H Night</v>
      </c>
      <c r="L759" s="12" t="n">
        <f aca="false">((INT(E759)+MOD(F759,1))-(INT(C759)+MOD(D759,1)))*24</f>
        <v>1.99999999901047</v>
      </c>
      <c r="M759" s="1" t="n">
        <f aca="false">IFERROR(INDEX(Sheet3!$B$2:$B$500,MATCH(1,(INT(C759)+MOD(D759,1)&lt;INT(Sheet3!$A$2:$A$500)+TIME(18,0,0))*(INT(E759)+MOD(F759,1)&gt;=INT(Sheet3!$A$2:$A$500)),0)),0)</f>
        <v>0</v>
      </c>
      <c r="N759" s="1" t="n">
        <f aca="false">IF(OR( AND(Q759=6,D759&gt;=TIME(17,0,0),OR(K759="12H Night",K759="Couple Half Night",K759="24H Night",K759="Couple Full Night")), AND(Q759=7,D759&gt;=TIME(6,0,0),D759&lt;TIME(12,0,0),OR(K759="12H Day",K759="Couple Half Day",K759="24H Day",K759="Couple Full Day")) ),1,0)</f>
        <v>0</v>
      </c>
      <c r="O759" s="1" t="n">
        <f aca="false">IF(OR( AND(MONTH(C759)=12,DAY(C759)&gt;=26), AND(MONTH(C759)=4,DAY(C759)&gt;=15), MONTH(C759)=5, AND(MONTH(C759)=6,DAY(C759)&lt;=10) ),1,0)</f>
        <v>0</v>
      </c>
      <c r="P759" s="1" t="str">
        <f aca="false">IF(OR(MONTH(C759)=3,MONTH(C759)=4,MONTH(C759)=5,MONTH(C759)=6), "Summer", IF(OR(MONTH(C759)=7,MONTH(C759)=8,MONTH(C759)=9,MONTH(C759)=10), "Monsoon", "Winter"))</f>
        <v>Monsoon</v>
      </c>
      <c r="Q759" s="1" t="n">
        <f aca="false">WEEKDAY(C759,2)</f>
        <v>2</v>
      </c>
      <c r="R759" s="0" t="n">
        <f aca="false">ROUNDDOWN(((INT(C759)+MOD(D759,1))-(INT(I759)+MOD(J759,1))),0)</f>
        <v>-0</v>
      </c>
      <c r="S759" s="10"/>
    </row>
    <row r="760" customFormat="false" ht="216.9" hidden="false" customHeight="false" outlineLevel="0" collapsed="false">
      <c r="A760" s="8" t="s">
        <v>1368</v>
      </c>
      <c r="B760" s="22" t="s">
        <v>1369</v>
      </c>
      <c r="C760" s="18" t="n">
        <v>46233.375</v>
      </c>
      <c r="D760" s="19" t="n">
        <v>46233.375</v>
      </c>
      <c r="E760" s="18" t="n">
        <v>46233.75</v>
      </c>
      <c r="F760" s="19" t="n">
        <v>46233.75</v>
      </c>
      <c r="G760" s="20" t="n">
        <v>2000</v>
      </c>
      <c r="H760" s="8" t="n">
        <v>2</v>
      </c>
      <c r="I760" s="10" t="n">
        <v>46232</v>
      </c>
      <c r="J760" s="11" t="n">
        <v>0.767939814817512</v>
      </c>
      <c r="K760" s="1" t="str">
        <f aca="false">IF(L760&gt;24,     IF(H760=2,"Couple Extended Day","Extended Day"), IF(L760&lt;=12,     IF(AND(MOD(D760,1)&gt;=TIME(6,0,0),MOD(D760,1)&lt;TIME(18,0,0)),         IF(H760=2,"Couple Half Day","12H Day"),         IF(H760=2,"Couple Half Night","12H Night")), IF(L760&lt;=24,     IF(AND(MOD(D760,1)&gt;=TIME(6,0,0),MOD(D760,1)&lt;TIME(18,0,0)),         IF(H760=2,"Couple Full Day","24H Day"),         IF(H760=2,"Couple Full Night","24H Night")), "Check Data")))</f>
        <v>Couple Half Day</v>
      </c>
      <c r="L760" s="12" t="n">
        <f aca="false">((INT(E760)+MOD(F760,1))-(INT(C760)+MOD(D760,1)))*24</f>
        <v>9</v>
      </c>
      <c r="M760" s="1" t="n">
        <f aca="false">IFERROR(INDEX(Sheet3!$B$2:$B$500,MATCH(1,(INT(C760)+MOD(D760,1)&lt;INT(Sheet3!$A$2:$A$500)+TIME(18,0,0))*(INT(E760)+MOD(F760,1)&gt;=INT(Sheet3!$A$2:$A$500)),0)),0)</f>
        <v>0</v>
      </c>
      <c r="N760" s="1" t="n">
        <f aca="false">IF(OR( AND(Q760=6,D760&gt;=TIME(17,0,0),OR(K760="12H Night",K760="Couple Half Night",K760="24H Night",K760="Couple Full Night")), AND(Q760=7,D760&gt;=TIME(6,0,0),D760&lt;TIME(12,0,0),OR(K760="12H Day",K760="Couple Half Day",K760="24H Day",K760="Couple Full Day")) ),1,0)</f>
        <v>0</v>
      </c>
      <c r="O760" s="1" t="n">
        <f aca="false">IF(OR( AND(MONTH(C760)=12,DAY(C760)&gt;=26), AND(MONTH(C760)=4,DAY(C760)&gt;=15), MONTH(C760)=5, AND(MONTH(C760)=6,DAY(C760)&lt;=10) ),1,0)</f>
        <v>0</v>
      </c>
      <c r="P760" s="1" t="str">
        <f aca="false">IF(OR(MONTH(C760)=3,MONTH(C760)=4,MONTH(C760)=5,MONTH(C760)=6), "Summer", IF(OR(MONTH(C760)=7,MONTH(C760)=8,MONTH(C760)=9,MONTH(C760)=10), "Monsoon", "Winter"))</f>
        <v>Monsoon</v>
      </c>
      <c r="Q760" s="1" t="n">
        <f aca="false">WEEKDAY(C760,2)</f>
        <v>4</v>
      </c>
      <c r="R760" s="0" t="n">
        <f aca="false">ROUNDDOWN(((INT(C760)+MOD(D760,1))-(INT(I760)+MOD(J760,1))),0)</f>
        <v>0</v>
      </c>
      <c r="S760" s="10"/>
    </row>
    <row r="761" customFormat="false" ht="216.9" hidden="false" customHeight="false" outlineLevel="0" collapsed="false">
      <c r="A761" s="8" t="s">
        <v>1370</v>
      </c>
      <c r="B761" s="22" t="s">
        <v>1371</v>
      </c>
      <c r="C761" s="18" t="n">
        <v>46233.7916666667</v>
      </c>
      <c r="D761" s="19" t="n">
        <v>46233.7916666667</v>
      </c>
      <c r="E761" s="18" t="n">
        <v>46234.7083333333</v>
      </c>
      <c r="F761" s="19" t="n">
        <v>0</v>
      </c>
      <c r="G761" s="20" t="n">
        <v>3500</v>
      </c>
      <c r="H761" s="8" t="n">
        <v>2</v>
      </c>
      <c r="I761" s="10" t="n">
        <v>46232</v>
      </c>
      <c r="J761" s="11" t="n">
        <v>0.493819444440301</v>
      </c>
      <c r="K761" s="1" t="str">
        <f aca="false">IF(L761&gt;24,     IF(H761=2,"Couple Extended Day","Extended Day"), IF(L761&lt;=12,     IF(AND(MOD(D761,1)&gt;=TIME(6,0,0),MOD(D761,1)&lt;TIME(18,0,0)),         IF(H761=2,"Couple Half Day","12H Day"),         IF(H761=2,"Couple Half Night","12H Night")), IF(L761&lt;=24,     IF(AND(MOD(D761,1)&gt;=TIME(6,0,0),MOD(D761,1)&lt;TIME(18,0,0)),         IF(H761=2,"Couple Full Day","24H Day"),         IF(H761=2,"Couple Full Night","24H Night")), "Check Data")))</f>
        <v>Couple Half Night</v>
      </c>
      <c r="L761" s="12" t="n">
        <f aca="false">((INT(E761)+MOD(F761,1))-(INT(C761)+MOD(D761,1)))*24</f>
        <v>4.99999999901047</v>
      </c>
      <c r="M761" s="1" t="n">
        <f aca="false">IFERROR(INDEX(Sheet3!$B$2:$B$500,MATCH(1,(INT(C761)+MOD(D761,1)&lt;INT(Sheet3!$A$2:$A$500)+TIME(18,0,0))*(INT(E761)+MOD(F761,1)&gt;=INT(Sheet3!$A$2:$A$500)),0)),0)</f>
        <v>0</v>
      </c>
      <c r="N761" s="1" t="n">
        <f aca="false">IF(OR( AND(Q761=6,D761&gt;=TIME(17,0,0),OR(K761="12H Night",K761="Couple Half Night",K761="24H Night",K761="Couple Full Night")), AND(Q761=7,D761&gt;=TIME(6,0,0),D761&lt;TIME(12,0,0),OR(K761="12H Day",K761="Couple Half Day",K761="24H Day",K761="Couple Full Day")) ),1,0)</f>
        <v>0</v>
      </c>
      <c r="O761" s="1" t="n">
        <f aca="false">IF(OR( AND(MONTH(C761)=12,DAY(C761)&gt;=26), AND(MONTH(C761)=4,DAY(C761)&gt;=15), MONTH(C761)=5, AND(MONTH(C761)=6,DAY(C761)&lt;=10) ),1,0)</f>
        <v>0</v>
      </c>
      <c r="P761" s="1" t="str">
        <f aca="false">IF(OR(MONTH(C761)=3,MONTH(C761)=4,MONTH(C761)=5,MONTH(C761)=6), "Summer", IF(OR(MONTH(C761)=7,MONTH(C761)=8,MONTH(C761)=9,MONTH(C761)=10), "Monsoon", "Winter"))</f>
        <v>Monsoon</v>
      </c>
      <c r="Q761" s="1" t="n">
        <f aca="false">WEEKDAY(C761,2)</f>
        <v>4</v>
      </c>
      <c r="R761" s="0" t="n">
        <f aca="false">ROUNDDOWN(((INT(C761)+MOD(D761,1))-(INT(I761)+MOD(J761,1))),0)</f>
        <v>1</v>
      </c>
      <c r="S761" s="10"/>
    </row>
    <row r="762" customFormat="false" ht="264.75" hidden="false" customHeight="false" outlineLevel="0" collapsed="false">
      <c r="A762" s="8" t="s">
        <v>1372</v>
      </c>
      <c r="B762" s="22" t="s">
        <v>1373</v>
      </c>
      <c r="C762" s="18" t="n">
        <v>46235.4166666667</v>
      </c>
      <c r="D762" s="19" t="n">
        <v>46235.4166666667</v>
      </c>
      <c r="E762" s="18" t="n">
        <v>46235.7083333333</v>
      </c>
      <c r="F762" s="19" t="n">
        <v>0</v>
      </c>
      <c r="G762" s="20" t="n">
        <v>1500</v>
      </c>
      <c r="H762" s="8" t="n">
        <v>2</v>
      </c>
      <c r="I762" s="10" t="n">
        <v>46232</v>
      </c>
      <c r="J762" s="11" t="n">
        <v>0.929166666668611</v>
      </c>
      <c r="K762" s="1" t="str">
        <f aca="false">IF(L762&gt;24,     IF(H762=2,"Couple Extended Day","Extended Day"), IF(L762&lt;=12,     IF(AND(MOD(D762,1)&gt;=TIME(6,0,0),MOD(D762,1)&lt;TIME(18,0,0)),         IF(H762=2,"Couple Half Day","12H Day"),         IF(H762=2,"Couple Half Night","12H Night")), IF(L762&lt;=24,     IF(AND(MOD(D762,1)&gt;=TIME(6,0,0),MOD(D762,1)&lt;TIME(18,0,0)),         IF(H762=2,"Couple Full Day","24H Day"),         IF(H762=2,"Couple Full Night","24H Night")), "Check Data")))</f>
        <v>Couple Half Day</v>
      </c>
      <c r="L762" s="12" t="n">
        <f aca="false">((INT(E762)+MOD(F762,1))-(INT(C762)+MOD(D762,1)))*24</f>
        <v>-10.0000000009895</v>
      </c>
      <c r="M762" s="1" t="n">
        <f aca="false">IFERROR(INDEX(Sheet3!$B$2:$B$500,MATCH(1,(INT(C762)+MOD(D762,1)&lt;INT(Sheet3!$A$2:$A$500)+TIME(18,0,0))*(INT(E762)+MOD(F762,1)&gt;=INT(Sheet3!$A$2:$A$500)),0)),0)</f>
        <v>0</v>
      </c>
      <c r="N762" s="1" t="n">
        <f aca="false">IF(OR( AND(Q762=6,D762&gt;=TIME(17,0,0),OR(K762="12H Night",K762="Couple Half Night",K762="24H Night",K762="Couple Full Night")), AND(Q762=7,D762&gt;=TIME(6,0,0),D762&lt;TIME(12,0,0),OR(K762="12H Day",K762="Couple Half Day",K762="24H Day",K762="Couple Full Day")) ),1,0)</f>
        <v>0</v>
      </c>
      <c r="O762" s="1" t="n">
        <f aca="false">IF(OR( AND(MONTH(C762)=12,DAY(C762)&gt;=26), AND(MONTH(C762)=4,DAY(C762)&gt;=15), MONTH(C762)=5, AND(MONTH(C762)=6,DAY(C762)&lt;=10) ),1,0)</f>
        <v>0</v>
      </c>
      <c r="P762" s="1" t="str">
        <f aca="false">IF(OR(MONTH(C762)=3,MONTH(C762)=4,MONTH(C762)=5,MONTH(C762)=6), "Summer", IF(OR(MONTH(C762)=7,MONTH(C762)=8,MONTH(C762)=9,MONTH(C762)=10), "Monsoon", "Winter"))</f>
        <v>Monsoon</v>
      </c>
      <c r="Q762" s="1" t="n">
        <f aca="false">WEEKDAY(C762,2)</f>
        <v>6</v>
      </c>
      <c r="R762" s="0" t="n">
        <f aca="false">ROUNDDOWN(((INT(C762)+MOD(D762,1))-(INT(I762)+MOD(J762,1))),0)</f>
        <v>2</v>
      </c>
      <c r="S762" s="10"/>
    </row>
    <row r="763" customFormat="false" ht="204.9" hidden="false" customHeight="false" outlineLevel="0" collapsed="false">
      <c r="A763" s="8" t="s">
        <v>1374</v>
      </c>
      <c r="B763" s="22" t="s">
        <v>1375</v>
      </c>
      <c r="C763" s="18" t="n">
        <v>46235.7916666667</v>
      </c>
      <c r="D763" s="19" t="n">
        <v>46235.7916666667</v>
      </c>
      <c r="E763" s="18" t="n">
        <v>46236.7083333333</v>
      </c>
      <c r="F763" s="19" t="n">
        <v>0</v>
      </c>
      <c r="G763" s="20" t="n">
        <v>5500</v>
      </c>
      <c r="H763" s="8" t="n">
        <v>8</v>
      </c>
      <c r="I763" s="10" t="n">
        <v>46233</v>
      </c>
      <c r="J763" s="11" t="n">
        <v>0.992106481484375</v>
      </c>
      <c r="K763" s="1" t="str">
        <f aca="false">IF(L763&gt;24,     IF(H763=2,"Couple Extended Day","Extended Day"), IF(L763&lt;=12,     IF(AND(MOD(D763,1)&gt;=TIME(6,0,0),MOD(D763,1)&lt;TIME(18,0,0)),         IF(H763=2,"Couple Half Day","12H Day"),         IF(H763=2,"Couple Half Night","12H Night")), IF(L763&lt;=24,     IF(AND(MOD(D763,1)&gt;=TIME(6,0,0),MOD(D763,1)&lt;TIME(18,0,0)),         IF(H763=2,"Couple Full Day","24H Day"),         IF(H763=2,"Couple Full Night","24H Night")), "Check Data")))</f>
        <v>12H Night</v>
      </c>
      <c r="L763" s="12" t="n">
        <f aca="false">((INT(E763)+MOD(F763,1))-(INT(C763)+MOD(D763,1)))*24</f>
        <v>4.99999999901047</v>
      </c>
      <c r="M763" s="1" t="n">
        <f aca="false">IFERROR(INDEX(Sheet3!$B$2:$B$500,MATCH(1,(INT(C763)+MOD(D763,1)&lt;INT(Sheet3!$A$2:$A$500)+TIME(18,0,0))*(INT(E763)+MOD(F763,1)&gt;=INT(Sheet3!$A$2:$A$500)),0)),0)</f>
        <v>0</v>
      </c>
      <c r="N763" s="1" t="n">
        <f aca="false">IF(OR( AND(Q763=6,D763&gt;=TIME(17,0,0),OR(K763="12H Night",K763="Couple Half Night",K763="24H Night",K763="Couple Full Night")), AND(Q763=7,D763&gt;=TIME(6,0,0),D763&lt;TIME(12,0,0),OR(K763="12H Day",K763="Couple Half Day",K763="24H Day",K763="Couple Full Day")) ),1,0)</f>
        <v>1</v>
      </c>
      <c r="O763" s="1" t="n">
        <f aca="false">IF(OR( AND(MONTH(C763)=12,DAY(C763)&gt;=26), AND(MONTH(C763)=4,DAY(C763)&gt;=15), MONTH(C763)=5, AND(MONTH(C763)=6,DAY(C763)&lt;=10) ),1,0)</f>
        <v>0</v>
      </c>
      <c r="P763" s="1" t="str">
        <f aca="false">IF(OR(MONTH(C763)=3,MONTH(C763)=4,MONTH(C763)=5,MONTH(C763)=6), "Summer", IF(OR(MONTH(C763)=7,MONTH(C763)=8,MONTH(C763)=9,MONTH(C763)=10), "Monsoon", "Winter"))</f>
        <v>Monsoon</v>
      </c>
      <c r="Q763" s="1" t="n">
        <f aca="false">WEEKDAY(C763,2)</f>
        <v>6</v>
      </c>
      <c r="R763" s="0" t="n">
        <f aca="false">ROUNDDOWN(((INT(C763)+MOD(D763,1))-(INT(I763)+MOD(J763,1))),0)</f>
        <v>1</v>
      </c>
      <c r="S763" s="10"/>
    </row>
    <row r="764" customFormat="false" ht="204.9" hidden="false" customHeight="false" outlineLevel="0" collapsed="false">
      <c r="A764" s="8" t="s">
        <v>1376</v>
      </c>
      <c r="B764" s="22" t="s">
        <v>1377</v>
      </c>
      <c r="C764" s="18" t="n">
        <v>46268.7916666667</v>
      </c>
      <c r="D764" s="19" t="n">
        <v>46268.7916666667</v>
      </c>
      <c r="E764" s="18" t="n">
        <v>46270.7083333333</v>
      </c>
      <c r="F764" s="19" t="n">
        <v>0</v>
      </c>
      <c r="G764" s="20" t="n">
        <v>14500</v>
      </c>
      <c r="H764" s="8" t="n">
        <v>16</v>
      </c>
      <c r="I764" s="10" t="n">
        <v>46224</v>
      </c>
      <c r="J764" s="11" t="n">
        <v>0.369733796294896</v>
      </c>
      <c r="K764" s="1" t="str">
        <f aca="false">IF(L764&gt;24,     IF(H764=2,"Couple Extended Day","Extended Day"), IF(L764&lt;=12,     IF(AND(MOD(D764,1)&gt;=TIME(6,0,0),MOD(D764,1)&lt;TIME(18,0,0)),         IF(H764=2,"Couple Half Day","12H Day"),         IF(H764=2,"Couple Half Night","12H Night")), IF(L764&lt;=24,     IF(AND(MOD(D764,1)&gt;=TIME(6,0,0),MOD(D764,1)&lt;TIME(18,0,0)),         IF(H764=2,"Couple Full Day","24H Day"),         IF(H764=2,"Couple Full Night","24H Night")), "Check Data")))</f>
        <v>Extended Day</v>
      </c>
      <c r="L764" s="12" t="n">
        <f aca="false">((INT(E764)+MOD(F764,1))-(INT(C764)+MOD(D764,1)))*24</f>
        <v>28.9999999990105</v>
      </c>
      <c r="M764" s="1" t="n">
        <f aca="false">IFERROR(INDEX(Sheet3!$B$2:$B$500,MATCH(1,(INT(C764)+MOD(D764,1)&lt;INT(Sheet3!$A$2:$A$500)+TIME(18,0,0))*(INT(E764)+MOD(F764,1)&gt;=INT(Sheet3!$A$2:$A$500)),0)),0)</f>
        <v>0</v>
      </c>
      <c r="N764" s="1" t="n">
        <f aca="false">IF(OR( AND(Q764=6,D764&gt;=TIME(17,0,0),OR(K764="12H Night",K764="Couple Half Night",K764="24H Night",K764="Couple Full Night")), AND(Q764=7,D764&gt;=TIME(6,0,0),D764&lt;TIME(12,0,0),OR(K764="12H Day",K764="Couple Half Day",K764="24H Day",K764="Couple Full Day")) ),1,0)</f>
        <v>0</v>
      </c>
      <c r="O764" s="1" t="n">
        <f aca="false">IF(OR( AND(MONTH(C764)=12,DAY(C764)&gt;=26), AND(MONTH(C764)=4,DAY(C764)&gt;=15), MONTH(C764)=5, AND(MONTH(C764)=6,DAY(C764)&lt;=10) ),1,0)</f>
        <v>0</v>
      </c>
      <c r="P764" s="1" t="str">
        <f aca="false">IF(OR(MONTH(C764)=3,MONTH(C764)=4,MONTH(C764)=5,MONTH(C764)=6), "Summer", IF(OR(MONTH(C764)=7,MONTH(C764)=8,MONTH(C764)=9,MONTH(C764)=10), "Monsoon", "Winter"))</f>
        <v>Monsoon</v>
      </c>
      <c r="Q764" s="1" t="n">
        <f aca="false">WEEKDAY(C764,2)</f>
        <v>4</v>
      </c>
      <c r="R764" s="0" t="n">
        <f aca="false">ROUNDDOWN(((INT(C764)+MOD(D764,1))-(INT(I764)+MOD(J764,1))),0)</f>
        <v>44</v>
      </c>
      <c r="S764" s="10"/>
    </row>
    <row r="765" customFormat="false" ht="15.75" hidden="false" customHeight="false" outlineLevel="0" collapsed="false">
      <c r="S765" s="10"/>
    </row>
    <row r="766" customFormat="false" ht="15.75" hidden="false" customHeight="false" outlineLevel="0" collapsed="false">
      <c r="S766" s="10"/>
    </row>
    <row r="767" customFormat="false" ht="15.75" hidden="false" customHeight="false" outlineLevel="0" collapsed="false">
      <c r="S767" s="10"/>
    </row>
    <row r="768" customFormat="false" ht="15.75" hidden="false" customHeight="false" outlineLevel="0" collapsed="false">
      <c r="S768" s="10"/>
    </row>
    <row r="769" customFormat="false" ht="15.75" hidden="false" customHeight="false" outlineLevel="0" collapsed="false">
      <c r="S769" s="10"/>
    </row>
    <row r="770" customFormat="false" ht="15.75" hidden="false" customHeight="false" outlineLevel="0" collapsed="false">
      <c r="S770" s="10"/>
    </row>
    <row r="771" customFormat="false" ht="15.75" hidden="false" customHeight="false" outlineLevel="0" collapsed="false">
      <c r="S771" s="10"/>
    </row>
    <row r="772" customFormat="false" ht="15.75" hidden="false" customHeight="false" outlineLevel="0" collapsed="false">
      <c r="S772" s="10"/>
    </row>
    <row r="773" customFormat="false" ht="15.75" hidden="false" customHeight="false" outlineLevel="0" collapsed="false">
      <c r="S773" s="10"/>
    </row>
    <row r="774" customFormat="false" ht="15.75" hidden="false" customHeight="false" outlineLevel="0" collapsed="false">
      <c r="S774" s="10"/>
    </row>
    <row r="775" customFormat="false" ht="15.75" hidden="false" customHeight="false" outlineLevel="0" collapsed="false">
      <c r="S775" s="10"/>
    </row>
    <row r="776" customFormat="false" ht="15.75" hidden="false" customHeight="false" outlineLevel="0" collapsed="false">
      <c r="S776" s="10"/>
    </row>
    <row r="777" customFormat="false" ht="15.75" hidden="false" customHeight="false" outlineLevel="0" collapsed="false">
      <c r="S777" s="10"/>
    </row>
    <row r="778" customFormat="false" ht="15.75" hidden="false" customHeight="false" outlineLevel="0" collapsed="false">
      <c r="S778" s="10"/>
    </row>
    <row r="779" customFormat="false" ht="15.75" hidden="false" customHeight="false" outlineLevel="0" collapsed="false">
      <c r="S779" s="10"/>
    </row>
    <row r="780" customFormat="false" ht="15.75" hidden="false" customHeight="false" outlineLevel="0" collapsed="false">
      <c r="S780" s="10"/>
    </row>
    <row r="781" customFormat="false" ht="15.75" hidden="false" customHeight="false" outlineLevel="0" collapsed="false">
      <c r="S781" s="10"/>
    </row>
    <row r="782" customFormat="false" ht="15.75" hidden="false" customHeight="false" outlineLevel="0" collapsed="false">
      <c r="S782" s="10"/>
    </row>
    <row r="783" customFormat="false" ht="15.75" hidden="false" customHeight="false" outlineLevel="0" collapsed="false">
      <c r="S783" s="10"/>
    </row>
    <row r="784" customFormat="false" ht="15.75" hidden="false" customHeight="false" outlineLevel="0" collapsed="false">
      <c r="S784" s="10"/>
    </row>
    <row r="785" customFormat="false" ht="15.75" hidden="false" customHeight="false" outlineLevel="0" collapsed="false">
      <c r="S785" s="10"/>
    </row>
    <row r="786" customFormat="false" ht="15.75" hidden="false" customHeight="false" outlineLevel="0" collapsed="false">
      <c r="S786" s="10"/>
    </row>
    <row r="787" customFormat="false" ht="15.75" hidden="false" customHeight="false" outlineLevel="0" collapsed="false">
      <c r="S787" s="10"/>
    </row>
    <row r="788" customFormat="false" ht="15.75" hidden="false" customHeight="false" outlineLevel="0" collapsed="false">
      <c r="S788" s="10"/>
    </row>
    <row r="789" customFormat="false" ht="15.75" hidden="false" customHeight="false" outlineLevel="0" collapsed="false">
      <c r="S789" s="10"/>
    </row>
    <row r="790" customFormat="false" ht="15.75" hidden="false" customHeight="false" outlineLevel="0" collapsed="false">
      <c r="S790" s="10"/>
    </row>
    <row r="791" customFormat="false" ht="15.75" hidden="false" customHeight="false" outlineLevel="0" collapsed="false">
      <c r="S791" s="10"/>
    </row>
    <row r="792" customFormat="false" ht="15.75" hidden="false" customHeight="false" outlineLevel="0" collapsed="false">
      <c r="S792" s="10"/>
    </row>
    <row r="793" customFormat="false" ht="15.75" hidden="false" customHeight="false" outlineLevel="0" collapsed="false">
      <c r="S793" s="10"/>
    </row>
    <row r="794" customFormat="false" ht="15.75" hidden="false" customHeight="false" outlineLevel="0" collapsed="false">
      <c r="S794" s="10"/>
    </row>
    <row r="795" customFormat="false" ht="15.75" hidden="false" customHeight="false" outlineLevel="0" collapsed="false">
      <c r="S795" s="10"/>
    </row>
    <row r="796" customFormat="false" ht="15.75" hidden="false" customHeight="false" outlineLevel="0" collapsed="false">
      <c r="S796" s="10"/>
    </row>
    <row r="797" customFormat="false" ht="15.75" hidden="false" customHeight="false" outlineLevel="0" collapsed="false">
      <c r="S797" s="10"/>
    </row>
    <row r="798" customFormat="false" ht="15.75" hidden="false" customHeight="false" outlineLevel="0" collapsed="false">
      <c r="S798" s="10"/>
    </row>
    <row r="799" customFormat="false" ht="15.75" hidden="false" customHeight="false" outlineLevel="0" collapsed="false">
      <c r="S799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44.19"/>
  </cols>
  <sheetData>
    <row r="1" customFormat="false" ht="12.8" hidden="false" customHeight="false" outlineLevel="0" collapsed="false">
      <c r="A1" s="1" t="s">
        <v>1378</v>
      </c>
      <c r="B1" s="1" t="s">
        <v>1379</v>
      </c>
      <c r="H1" s="24"/>
    </row>
    <row r="2" customFormat="false" ht="12.8" hidden="false" customHeight="false" outlineLevel="0" collapsed="false">
      <c r="A2" s="10" t="n">
        <v>44927</v>
      </c>
      <c r="B2" s="1" t="s">
        <v>1380</v>
      </c>
      <c r="E2" s="25"/>
    </row>
    <row r="3" customFormat="false" ht="12.8" hidden="false" customHeight="false" outlineLevel="0" collapsed="false">
      <c r="A3" s="10" t="n">
        <v>44940</v>
      </c>
      <c r="B3" s="1" t="s">
        <v>1381</v>
      </c>
    </row>
    <row r="4" customFormat="false" ht="12.8" hidden="false" customHeight="false" outlineLevel="0" collapsed="false">
      <c r="A4" s="10" t="n">
        <v>44941</v>
      </c>
      <c r="B4" s="1" t="s">
        <v>1382</v>
      </c>
      <c r="G4" s="24"/>
    </row>
    <row r="5" customFormat="false" ht="12.8" hidden="false" customHeight="false" outlineLevel="0" collapsed="false">
      <c r="A5" s="10" t="n">
        <v>44952</v>
      </c>
      <c r="B5" s="1" t="s">
        <v>1383</v>
      </c>
      <c r="F5" s="24"/>
    </row>
    <row r="6" customFormat="false" ht="12.8" hidden="false" customHeight="false" outlineLevel="0" collapsed="false">
      <c r="A6" s="10" t="n">
        <v>44975</v>
      </c>
      <c r="B6" s="1" t="s">
        <v>1384</v>
      </c>
    </row>
    <row r="7" customFormat="false" ht="12.8" hidden="false" customHeight="false" outlineLevel="0" collapsed="false">
      <c r="A7" s="10" t="n">
        <v>44993</v>
      </c>
      <c r="B7" s="1" t="s">
        <v>1385</v>
      </c>
    </row>
    <row r="8" customFormat="false" ht="12.8" hidden="false" customHeight="false" outlineLevel="0" collapsed="false">
      <c r="A8" s="10" t="n">
        <v>44994</v>
      </c>
      <c r="B8" s="1" t="s">
        <v>1386</v>
      </c>
    </row>
    <row r="9" customFormat="false" ht="12.8" hidden="false" customHeight="false" outlineLevel="0" collapsed="false">
      <c r="A9" s="10" t="n">
        <v>45015</v>
      </c>
      <c r="B9" s="1" t="s">
        <v>1387</v>
      </c>
    </row>
    <row r="10" customFormat="false" ht="12.8" hidden="false" customHeight="false" outlineLevel="0" collapsed="false">
      <c r="A10" s="10" t="n">
        <v>45020</v>
      </c>
      <c r="B10" s="1" t="s">
        <v>1388</v>
      </c>
    </row>
    <row r="11" customFormat="false" ht="12.8" hidden="false" customHeight="false" outlineLevel="0" collapsed="false">
      <c r="A11" s="10" t="n">
        <v>45023</v>
      </c>
      <c r="B11" s="1" t="s">
        <v>1389</v>
      </c>
    </row>
    <row r="12" customFormat="false" ht="12.8" hidden="false" customHeight="false" outlineLevel="0" collapsed="false">
      <c r="A12" s="10" t="n">
        <v>45038</v>
      </c>
      <c r="B12" s="1" t="s">
        <v>1390</v>
      </c>
    </row>
    <row r="13" customFormat="false" ht="12.8" hidden="false" customHeight="false" outlineLevel="0" collapsed="false">
      <c r="A13" s="10" t="n">
        <v>45051</v>
      </c>
      <c r="B13" s="1" t="s">
        <v>1391</v>
      </c>
    </row>
    <row r="14" customFormat="false" ht="12.8" hidden="false" customHeight="false" outlineLevel="0" collapsed="false">
      <c r="A14" s="10" t="n">
        <v>45106</v>
      </c>
      <c r="B14" s="1" t="s">
        <v>1392</v>
      </c>
    </row>
    <row r="15" customFormat="false" ht="12.8" hidden="false" customHeight="false" outlineLevel="0" collapsed="false">
      <c r="A15" s="10" t="n">
        <v>45136</v>
      </c>
      <c r="B15" s="1" t="s">
        <v>1393</v>
      </c>
    </row>
    <row r="16" customFormat="false" ht="12.8" hidden="false" customHeight="false" outlineLevel="0" collapsed="false">
      <c r="A16" s="10" t="n">
        <v>45153</v>
      </c>
      <c r="B16" s="1" t="s">
        <v>1394</v>
      </c>
    </row>
    <row r="17" customFormat="false" ht="12.8" hidden="false" customHeight="false" outlineLevel="0" collapsed="false">
      <c r="A17" s="10" t="n">
        <v>45168</v>
      </c>
      <c r="B17" s="1" t="s">
        <v>1395</v>
      </c>
    </row>
    <row r="18" customFormat="false" ht="12.8" hidden="false" customHeight="false" outlineLevel="0" collapsed="false">
      <c r="A18" s="10" t="n">
        <v>45176</v>
      </c>
      <c r="B18" s="1" t="s">
        <v>1396</v>
      </c>
    </row>
    <row r="19" customFormat="false" ht="12.8" hidden="false" customHeight="false" outlineLevel="0" collapsed="false">
      <c r="A19" s="10" t="n">
        <v>45188</v>
      </c>
      <c r="B19" s="1" t="s">
        <v>1397</v>
      </c>
    </row>
    <row r="20" customFormat="false" ht="12.8" hidden="false" customHeight="false" outlineLevel="0" collapsed="false">
      <c r="A20" s="10" t="n">
        <v>45223</v>
      </c>
      <c r="B20" s="1" t="s">
        <v>1398</v>
      </c>
    </row>
    <row r="21" customFormat="false" ht="12.8" hidden="false" customHeight="false" outlineLevel="0" collapsed="false">
      <c r="A21" s="10" t="n">
        <v>45227</v>
      </c>
      <c r="B21" s="1" t="s">
        <v>1399</v>
      </c>
    </row>
    <row r="22" customFormat="false" ht="12.8" hidden="false" customHeight="false" outlineLevel="0" collapsed="false">
      <c r="A22" s="10" t="n">
        <v>45240</v>
      </c>
      <c r="B22" s="1" t="s">
        <v>1400</v>
      </c>
    </row>
    <row r="23" customFormat="false" ht="12.8" hidden="false" customHeight="false" outlineLevel="0" collapsed="false">
      <c r="A23" s="10" t="n">
        <v>45241</v>
      </c>
      <c r="B23" s="1" t="s">
        <v>1401</v>
      </c>
    </row>
    <row r="24" customFormat="false" ht="12.8" hidden="false" customHeight="false" outlineLevel="0" collapsed="false">
      <c r="A24" s="10" t="n">
        <v>45242</v>
      </c>
      <c r="B24" s="1" t="s">
        <v>1402</v>
      </c>
    </row>
    <row r="25" customFormat="false" ht="12.8" hidden="false" customHeight="false" outlineLevel="0" collapsed="false">
      <c r="A25" s="10" t="n">
        <v>45244</v>
      </c>
      <c r="B25" s="1" t="s">
        <v>1403</v>
      </c>
    </row>
    <row r="26" customFormat="false" ht="12.8" hidden="false" customHeight="false" outlineLevel="0" collapsed="false">
      <c r="A26" s="10" t="n">
        <v>45245</v>
      </c>
      <c r="B26" s="1" t="s">
        <v>1404</v>
      </c>
    </row>
    <row r="27" customFormat="false" ht="12.8" hidden="false" customHeight="false" outlineLevel="0" collapsed="false">
      <c r="A27" s="10" t="n">
        <v>45285</v>
      </c>
      <c r="B27" s="1" t="s">
        <v>1405</v>
      </c>
    </row>
    <row r="28" customFormat="false" ht="12.8" hidden="false" customHeight="false" outlineLevel="0" collapsed="false">
      <c r="A28" s="10" t="n">
        <v>45291</v>
      </c>
      <c r="B28" s="1" t="s">
        <v>1406</v>
      </c>
    </row>
    <row r="29" customFormat="false" ht="12.8" hidden="false" customHeight="false" outlineLevel="0" collapsed="false">
      <c r="A29" s="10" t="n">
        <v>45292</v>
      </c>
      <c r="B29" s="1" t="s">
        <v>1380</v>
      </c>
    </row>
    <row r="30" customFormat="false" ht="12.8" hidden="false" customHeight="false" outlineLevel="0" collapsed="false">
      <c r="A30" s="10" t="n">
        <v>45305</v>
      </c>
      <c r="B30" s="1" t="s">
        <v>1381</v>
      </c>
    </row>
    <row r="31" customFormat="false" ht="12.8" hidden="false" customHeight="false" outlineLevel="0" collapsed="false">
      <c r="A31" s="10" t="n">
        <v>45306</v>
      </c>
      <c r="B31" s="1" t="s">
        <v>1382</v>
      </c>
    </row>
    <row r="32" customFormat="false" ht="12.8" hidden="false" customHeight="false" outlineLevel="0" collapsed="false">
      <c r="A32" s="10" t="n">
        <v>45317</v>
      </c>
      <c r="B32" s="1" t="s">
        <v>1383</v>
      </c>
    </row>
    <row r="33" customFormat="false" ht="12.8" hidden="false" customHeight="false" outlineLevel="0" collapsed="false">
      <c r="A33" s="10" t="n">
        <v>45359</v>
      </c>
      <c r="B33" s="1" t="s">
        <v>1384</v>
      </c>
    </row>
    <row r="34" customFormat="false" ht="12.8" hidden="false" customHeight="false" outlineLevel="0" collapsed="false">
      <c r="A34" s="10" t="n">
        <v>45376</v>
      </c>
      <c r="B34" s="1" t="s">
        <v>1385</v>
      </c>
    </row>
    <row r="35" customFormat="false" ht="12.8" hidden="false" customHeight="false" outlineLevel="0" collapsed="false">
      <c r="A35" s="10" t="n">
        <v>45377</v>
      </c>
      <c r="B35" s="1" t="s">
        <v>1386</v>
      </c>
    </row>
    <row r="36" customFormat="false" ht="12.8" hidden="false" customHeight="false" outlineLevel="0" collapsed="false">
      <c r="A36" s="10" t="n">
        <v>45393</v>
      </c>
      <c r="B36" s="1" t="s">
        <v>1390</v>
      </c>
    </row>
    <row r="37" customFormat="false" ht="12.8" hidden="false" customHeight="false" outlineLevel="0" collapsed="false">
      <c r="A37" s="10" t="n">
        <v>45399</v>
      </c>
      <c r="B37" s="1" t="s">
        <v>1387</v>
      </c>
    </row>
    <row r="38" customFormat="false" ht="12.8" hidden="false" customHeight="false" outlineLevel="0" collapsed="false">
      <c r="A38" s="10" t="n">
        <v>45403</v>
      </c>
      <c r="B38" s="1" t="s">
        <v>1388</v>
      </c>
    </row>
    <row r="39" customFormat="false" ht="12.8" hidden="false" customHeight="false" outlineLevel="0" collapsed="false">
      <c r="A39" s="10" t="n">
        <v>45380</v>
      </c>
      <c r="B39" s="1" t="s">
        <v>1389</v>
      </c>
    </row>
    <row r="40" customFormat="false" ht="12.8" hidden="false" customHeight="false" outlineLevel="0" collapsed="false">
      <c r="A40" s="10" t="n">
        <v>45435</v>
      </c>
      <c r="B40" s="1" t="s">
        <v>1391</v>
      </c>
    </row>
    <row r="41" customFormat="false" ht="12.8" hidden="false" customHeight="false" outlineLevel="0" collapsed="false">
      <c r="A41" s="10" t="n">
        <v>45460</v>
      </c>
      <c r="B41" s="1" t="s">
        <v>1392</v>
      </c>
    </row>
    <row r="42" customFormat="false" ht="12.8" hidden="false" customHeight="false" outlineLevel="0" collapsed="false">
      <c r="A42" s="10" t="n">
        <v>45490</v>
      </c>
      <c r="B42" s="1" t="s">
        <v>1393</v>
      </c>
    </row>
    <row r="43" customFormat="false" ht="12.8" hidden="false" customHeight="false" outlineLevel="0" collapsed="false">
      <c r="A43" s="10" t="n">
        <v>45519</v>
      </c>
      <c r="B43" s="1" t="s">
        <v>1394</v>
      </c>
    </row>
    <row r="44" customFormat="false" ht="12.8" hidden="false" customHeight="false" outlineLevel="0" collapsed="false">
      <c r="A44" s="10" t="n">
        <v>45523</v>
      </c>
      <c r="B44" s="1" t="s">
        <v>1395</v>
      </c>
    </row>
    <row r="45" customFormat="false" ht="12.8" hidden="false" customHeight="false" outlineLevel="0" collapsed="false">
      <c r="A45" s="10" t="n">
        <v>45530</v>
      </c>
      <c r="B45" s="1" t="s">
        <v>1396</v>
      </c>
    </row>
    <row r="46" customFormat="false" ht="12.8" hidden="false" customHeight="false" outlineLevel="0" collapsed="false">
      <c r="A46" s="10" t="n">
        <v>45542</v>
      </c>
      <c r="B46" s="1" t="s">
        <v>1397</v>
      </c>
    </row>
    <row r="47" customFormat="false" ht="12.8" hidden="false" customHeight="false" outlineLevel="0" collapsed="false">
      <c r="A47" s="10" t="n">
        <v>45577</v>
      </c>
      <c r="B47" s="1" t="s">
        <v>1398</v>
      </c>
    </row>
    <row r="48" customFormat="false" ht="12.8" hidden="false" customHeight="false" outlineLevel="0" collapsed="false">
      <c r="A48" s="10" t="n">
        <v>45581</v>
      </c>
      <c r="B48" s="1" t="s">
        <v>1399</v>
      </c>
    </row>
    <row r="49" customFormat="false" ht="12.8" hidden="false" customHeight="false" outlineLevel="0" collapsed="false">
      <c r="A49" s="10" t="n">
        <v>45594</v>
      </c>
      <c r="B49" s="1" t="s">
        <v>1400</v>
      </c>
    </row>
    <row r="50" customFormat="false" ht="12.8" hidden="false" customHeight="false" outlineLevel="0" collapsed="false">
      <c r="A50" s="10" t="n">
        <v>45596</v>
      </c>
      <c r="B50" s="1" t="s">
        <v>1401</v>
      </c>
    </row>
    <row r="51" customFormat="false" ht="12.8" hidden="false" customHeight="false" outlineLevel="0" collapsed="false">
      <c r="A51" s="10" t="n">
        <v>45597</v>
      </c>
      <c r="B51" s="1" t="s">
        <v>1402</v>
      </c>
    </row>
    <row r="52" customFormat="false" ht="12.8" hidden="false" customHeight="false" outlineLevel="0" collapsed="false">
      <c r="A52" s="10" t="n">
        <v>45598</v>
      </c>
      <c r="B52" s="1" t="s">
        <v>1403</v>
      </c>
    </row>
    <row r="53" customFormat="false" ht="12.8" hidden="false" customHeight="false" outlineLevel="0" collapsed="false">
      <c r="A53" s="10" t="n">
        <v>45599</v>
      </c>
      <c r="B53" s="1" t="s">
        <v>1404</v>
      </c>
    </row>
    <row r="54" customFormat="false" ht="12.8" hidden="false" customHeight="false" outlineLevel="0" collapsed="false">
      <c r="A54" s="10" t="n">
        <v>45651</v>
      </c>
      <c r="B54" s="1" t="s">
        <v>1405</v>
      </c>
    </row>
    <row r="55" customFormat="false" ht="12.8" hidden="false" customHeight="false" outlineLevel="0" collapsed="false">
      <c r="A55" s="10" t="n">
        <v>45657</v>
      </c>
      <c r="B55" s="1" t="s">
        <v>1406</v>
      </c>
    </row>
    <row r="56" customFormat="false" ht="12.8" hidden="false" customHeight="false" outlineLevel="0" collapsed="false">
      <c r="A56" s="10" t="n">
        <v>45658</v>
      </c>
      <c r="B56" s="1" t="s">
        <v>1380</v>
      </c>
    </row>
    <row r="57" customFormat="false" ht="12.8" hidden="false" customHeight="false" outlineLevel="0" collapsed="false">
      <c r="A57" s="10" t="n">
        <v>45671</v>
      </c>
      <c r="B57" s="1" t="s">
        <v>1381</v>
      </c>
    </row>
    <row r="58" customFormat="false" ht="12.8" hidden="false" customHeight="false" outlineLevel="0" collapsed="false">
      <c r="A58" s="10" t="n">
        <v>45683</v>
      </c>
      <c r="B58" s="1" t="s">
        <v>1383</v>
      </c>
    </row>
    <row r="59" customFormat="false" ht="12.8" hidden="false" customHeight="false" outlineLevel="0" collapsed="false">
      <c r="A59" s="10" t="n">
        <v>45730</v>
      </c>
      <c r="B59" s="1" t="s">
        <v>1385</v>
      </c>
    </row>
    <row r="60" customFormat="false" ht="12.8" hidden="false" customHeight="false" outlineLevel="0" collapsed="false">
      <c r="A60" s="10" t="n">
        <v>45731</v>
      </c>
      <c r="B60" s="1" t="s">
        <v>1386</v>
      </c>
    </row>
    <row r="61" customFormat="false" ht="12.8" hidden="false" customHeight="false" outlineLevel="0" collapsed="false">
      <c r="A61" s="10" t="n">
        <v>45745</v>
      </c>
      <c r="B61" s="1" t="s">
        <v>1390</v>
      </c>
    </row>
    <row r="62" customFormat="false" ht="12.8" hidden="false" customHeight="false" outlineLevel="0" collapsed="false">
      <c r="A62" s="10" t="n">
        <v>45753</v>
      </c>
      <c r="B62" s="1" t="s">
        <v>1387</v>
      </c>
    </row>
    <row r="63" customFormat="false" ht="12.8" hidden="false" customHeight="false" outlineLevel="0" collapsed="false">
      <c r="A63" s="10" t="n">
        <v>45884</v>
      </c>
      <c r="B63" s="1" t="s">
        <v>1394</v>
      </c>
    </row>
    <row r="64" customFormat="false" ht="12.8" hidden="false" customHeight="false" outlineLevel="0" collapsed="false">
      <c r="A64" s="10" t="n">
        <v>45896</v>
      </c>
      <c r="B64" s="1" t="s">
        <v>1397</v>
      </c>
    </row>
    <row r="65" customFormat="false" ht="12.8" hidden="false" customHeight="false" outlineLevel="0" collapsed="false">
      <c r="A65" s="10" t="n">
        <v>45950</v>
      </c>
      <c r="B65" s="1" t="s">
        <v>1402</v>
      </c>
    </row>
    <row r="66" customFormat="false" ht="12.8" hidden="false" customHeight="false" outlineLevel="0" collapsed="false">
      <c r="A66" s="10" t="n">
        <v>45951</v>
      </c>
      <c r="B66" s="1" t="s">
        <v>1403</v>
      </c>
    </row>
    <row r="67" customFormat="false" ht="12.8" hidden="false" customHeight="false" outlineLevel="0" collapsed="false">
      <c r="A67" s="10" t="n">
        <v>46016</v>
      </c>
      <c r="B67" s="1" t="s">
        <v>1405</v>
      </c>
    </row>
    <row r="68" customFormat="false" ht="12.8" hidden="false" customHeight="false" outlineLevel="0" collapsed="false">
      <c r="A68" s="10" t="n">
        <v>46022</v>
      </c>
      <c r="B68" s="1" t="s">
        <v>1406</v>
      </c>
    </row>
    <row r="69" customFormat="false" ht="12.8" hidden="false" customHeight="false" outlineLevel="0" collapsed="false">
      <c r="A69" s="10" t="n">
        <v>46023</v>
      </c>
      <c r="B69" s="1" t="s">
        <v>1380</v>
      </c>
    </row>
    <row r="70" customFormat="false" ht="12.8" hidden="false" customHeight="false" outlineLevel="0" collapsed="false">
      <c r="A70" s="10" t="n">
        <v>46036</v>
      </c>
      <c r="B70" s="1" t="s">
        <v>1381</v>
      </c>
    </row>
    <row r="71" customFormat="false" ht="12.8" hidden="false" customHeight="false" outlineLevel="0" collapsed="false">
      <c r="A71" s="10" t="n">
        <v>46048</v>
      </c>
      <c r="B71" s="1" t="s">
        <v>1383</v>
      </c>
    </row>
    <row r="72" customFormat="false" ht="12.8" hidden="false" customHeight="false" outlineLevel="0" collapsed="false">
      <c r="A72" s="10" t="n">
        <v>46085</v>
      </c>
      <c r="B72" s="1" t="s">
        <v>1385</v>
      </c>
    </row>
    <row r="73" customFormat="false" ht="12.8" hidden="false" customHeight="false" outlineLevel="0" collapsed="false">
      <c r="A73" s="10" t="n">
        <v>46086</v>
      </c>
      <c r="B73" s="1" t="s">
        <v>1386</v>
      </c>
    </row>
    <row r="74" customFormat="false" ht="12.8" hidden="false" customHeight="false" outlineLevel="0" collapsed="false">
      <c r="A74" s="10" t="n">
        <v>46101</v>
      </c>
      <c r="B74" s="1" t="s">
        <v>1387</v>
      </c>
    </row>
    <row r="75" customFormat="false" ht="12.8" hidden="false" customHeight="false" outlineLevel="0" collapsed="false">
      <c r="A75" s="10" t="n">
        <v>46249</v>
      </c>
      <c r="B75" s="1" t="s">
        <v>1394</v>
      </c>
    </row>
    <row r="76" customFormat="false" ht="12.8" hidden="false" customHeight="false" outlineLevel="0" collapsed="false">
      <c r="A76" s="10" t="n">
        <v>46280</v>
      </c>
      <c r="B76" s="1" t="s">
        <v>1397</v>
      </c>
    </row>
    <row r="77" customFormat="false" ht="12.8" hidden="false" customHeight="false" outlineLevel="0" collapsed="false">
      <c r="A77" s="10" t="n">
        <v>46334</v>
      </c>
      <c r="B77" s="1" t="s">
        <v>1402</v>
      </c>
    </row>
    <row r="78" customFormat="false" ht="12.8" hidden="false" customHeight="false" outlineLevel="0" collapsed="false">
      <c r="A78" s="10" t="n">
        <v>46335</v>
      </c>
      <c r="B78" s="1" t="s">
        <v>1403</v>
      </c>
    </row>
    <row r="79" customFormat="false" ht="12.8" hidden="false" customHeight="false" outlineLevel="0" collapsed="false">
      <c r="A79" s="10" t="n">
        <v>46381</v>
      </c>
      <c r="B79" s="1" t="s">
        <v>1405</v>
      </c>
    </row>
    <row r="80" customFormat="false" ht="12.8" hidden="false" customHeight="false" outlineLevel="0" collapsed="false">
      <c r="A80" s="10" t="n">
        <v>46387</v>
      </c>
      <c r="B80" s="1" t="s">
        <v>1406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K14" activeCellId="0" sqref="K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45"/>
    <col collapsed="false" customWidth="true" hidden="false" outlineLevel="0" max="2" min="2" style="0" width="20.9"/>
    <col collapsed="false" customWidth="true" hidden="false" outlineLevel="0" max="3" min="3" style="0" width="26.86"/>
    <col collapsed="false" customWidth="true" hidden="false" outlineLevel="0" max="4" min="4" style="0" width="24.31"/>
    <col collapsed="false" customWidth="true" hidden="false" outlineLevel="0" max="5" min="5" style="0" width="24.81"/>
    <col collapsed="false" customWidth="true" hidden="false" outlineLevel="0" max="6" min="6" style="0" width="26.69"/>
    <col collapsed="false" customWidth="true" hidden="false" outlineLevel="0" max="7" min="7" style="0" width="20.39"/>
    <col collapsed="false" customWidth="true" hidden="false" outlineLevel="0" max="8" min="8" style="0" width="22.43"/>
  </cols>
  <sheetData>
    <row r="1" customFormat="false" ht="12.8" hidden="false" customHeight="false" outlineLevel="0" collapsed="false">
      <c r="A1" s="26" t="s">
        <v>1407</v>
      </c>
      <c r="B1" s="26" t="s">
        <v>1408</v>
      </c>
      <c r="C1" s="26" t="s">
        <v>1409</v>
      </c>
      <c r="D1" s="26" t="s">
        <v>1410</v>
      </c>
      <c r="E1" s="26" t="s">
        <v>1411</v>
      </c>
      <c r="F1" s="26" t="s">
        <v>1412</v>
      </c>
      <c r="G1" s="26" t="s">
        <v>1413</v>
      </c>
      <c r="H1" s="26" t="s">
        <v>1414</v>
      </c>
      <c r="I1" s="27"/>
    </row>
    <row r="2" customFormat="false" ht="12.8" hidden="false" customHeight="false" outlineLevel="0" collapsed="false">
      <c r="A2" s="26" t="s">
        <v>1415</v>
      </c>
      <c r="B2" s="28" t="s">
        <v>1416</v>
      </c>
      <c r="C2" s="28" t="s">
        <v>1417</v>
      </c>
      <c r="D2" s="28" t="s">
        <v>1418</v>
      </c>
      <c r="E2" s="26" t="s">
        <v>1419</v>
      </c>
      <c r="F2" s="26" t="s">
        <v>1420</v>
      </c>
      <c r="G2" s="26" t="s">
        <v>1421</v>
      </c>
      <c r="H2" s="26" t="n">
        <v>1.4</v>
      </c>
      <c r="I2" s="27"/>
    </row>
    <row r="3" customFormat="false" ht="12.8" hidden="false" customHeight="false" outlineLevel="0" collapsed="false">
      <c r="A3" s="26" t="s">
        <v>1422</v>
      </c>
      <c r="B3" s="28" t="s">
        <v>1423</v>
      </c>
      <c r="C3" s="28" t="s">
        <v>1424</v>
      </c>
      <c r="D3" s="28" t="s">
        <v>1425</v>
      </c>
      <c r="E3" s="26" t="s">
        <v>1426</v>
      </c>
      <c r="F3" s="26" t="s">
        <v>1427</v>
      </c>
      <c r="G3" s="26" t="s">
        <v>1428</v>
      </c>
      <c r="H3" s="26" t="n">
        <v>1.15</v>
      </c>
      <c r="I3" s="27"/>
    </row>
    <row r="4" customFormat="false" ht="12.8" hidden="false" customHeight="false" outlineLevel="0" collapsed="false">
      <c r="A4" s="26" t="s">
        <v>1429</v>
      </c>
      <c r="B4" s="28" t="s">
        <v>1430</v>
      </c>
      <c r="C4" s="28" t="s">
        <v>1431</v>
      </c>
      <c r="D4" s="28" t="s">
        <v>1432</v>
      </c>
      <c r="E4" s="26" t="s">
        <v>1419</v>
      </c>
      <c r="F4" s="26" t="s">
        <v>1420</v>
      </c>
      <c r="G4" s="26" t="s">
        <v>1428</v>
      </c>
      <c r="H4" s="26" t="n">
        <v>1.3</v>
      </c>
      <c r="I4" s="27"/>
    </row>
    <row r="5" customFormat="false" ht="12.8" hidden="false" customHeight="false" outlineLevel="0" collapsed="false">
      <c r="A5" s="26" t="s">
        <v>1383</v>
      </c>
      <c r="B5" s="28" t="s">
        <v>1433</v>
      </c>
      <c r="C5" s="28" t="s">
        <v>1434</v>
      </c>
      <c r="D5" s="28" t="s">
        <v>1435</v>
      </c>
      <c r="E5" s="26" t="s">
        <v>1426</v>
      </c>
      <c r="F5" s="26" t="s">
        <v>1427</v>
      </c>
      <c r="G5" s="26" t="s">
        <v>1436</v>
      </c>
      <c r="H5" s="26" t="n">
        <v>1.1</v>
      </c>
      <c r="I5" s="27"/>
    </row>
    <row r="6" customFormat="false" ht="12.8" hidden="false" customHeight="false" outlineLevel="0" collapsed="false">
      <c r="A6" s="26" t="s">
        <v>1437</v>
      </c>
      <c r="B6" s="28" t="s">
        <v>1438</v>
      </c>
      <c r="C6" s="28" t="s">
        <v>1439</v>
      </c>
      <c r="D6" s="28" t="s">
        <v>1440</v>
      </c>
      <c r="E6" s="26" t="s">
        <v>1426</v>
      </c>
      <c r="F6" s="26" t="s">
        <v>1441</v>
      </c>
      <c r="G6" s="26" t="s">
        <v>1442</v>
      </c>
      <c r="H6" s="26" t="n">
        <v>1.1</v>
      </c>
      <c r="I6" s="27"/>
    </row>
    <row r="7" customFormat="false" ht="12.8" hidden="false" customHeight="false" outlineLevel="0" collapsed="false">
      <c r="A7" s="26" t="s">
        <v>1443</v>
      </c>
      <c r="B7" s="28" t="s">
        <v>1444</v>
      </c>
      <c r="C7" s="28" t="s">
        <v>1445</v>
      </c>
      <c r="D7" s="28" t="s">
        <v>1446</v>
      </c>
      <c r="E7" s="26" t="s">
        <v>1447</v>
      </c>
      <c r="F7" s="26" t="s">
        <v>1420</v>
      </c>
      <c r="G7" s="26" t="s">
        <v>1442</v>
      </c>
      <c r="H7" s="26" t="n">
        <v>1.25</v>
      </c>
      <c r="I7" s="27"/>
    </row>
    <row r="8" customFormat="false" ht="12.8" hidden="false" customHeight="false" outlineLevel="0" collapsed="false">
      <c r="A8" s="26" t="s">
        <v>1385</v>
      </c>
      <c r="B8" s="28" t="s">
        <v>1448</v>
      </c>
      <c r="C8" s="28" t="s">
        <v>1449</v>
      </c>
      <c r="D8" s="28" t="s">
        <v>1450</v>
      </c>
      <c r="E8" s="26" t="s">
        <v>1419</v>
      </c>
      <c r="F8" s="26" t="s">
        <v>1420</v>
      </c>
      <c r="G8" s="26" t="s">
        <v>1379</v>
      </c>
      <c r="H8" s="26" t="n">
        <v>1.35</v>
      </c>
      <c r="I8" s="27"/>
    </row>
    <row r="9" customFormat="false" ht="12.8" hidden="false" customHeight="false" outlineLevel="0" collapsed="false">
      <c r="A9" s="26" t="s">
        <v>1389</v>
      </c>
      <c r="B9" s="28" t="s">
        <v>1451</v>
      </c>
      <c r="C9" s="28" t="s">
        <v>1452</v>
      </c>
      <c r="D9" s="28" t="s">
        <v>1453</v>
      </c>
      <c r="E9" s="26" t="s">
        <v>1426</v>
      </c>
      <c r="F9" s="26" t="s">
        <v>1441</v>
      </c>
      <c r="G9" s="26" t="s">
        <v>1454</v>
      </c>
      <c r="H9" s="26" t="n">
        <v>1.1</v>
      </c>
      <c r="I9" s="27"/>
    </row>
    <row r="10" customFormat="false" ht="12.8" hidden="false" customHeight="false" outlineLevel="0" collapsed="false">
      <c r="A10" s="26" t="s">
        <v>1455</v>
      </c>
      <c r="B10" s="28" t="s">
        <v>1456</v>
      </c>
      <c r="C10" s="28" t="s">
        <v>1457</v>
      </c>
      <c r="D10" s="28" t="s">
        <v>1458</v>
      </c>
      <c r="E10" s="26" t="s">
        <v>1426</v>
      </c>
      <c r="F10" s="26" t="s">
        <v>1427</v>
      </c>
      <c r="G10" s="26" t="s">
        <v>1380</v>
      </c>
      <c r="H10" s="26" t="n">
        <v>1.15</v>
      </c>
      <c r="I10" s="27"/>
    </row>
    <row r="11" customFormat="false" ht="12.8" hidden="false" customHeight="false" outlineLevel="0" collapsed="false">
      <c r="A11" s="26" t="s">
        <v>1459</v>
      </c>
      <c r="B11" s="28" t="s">
        <v>1460</v>
      </c>
      <c r="C11" s="28" t="s">
        <v>1461</v>
      </c>
      <c r="D11" s="28" t="s">
        <v>1462</v>
      </c>
      <c r="E11" s="26" t="s">
        <v>1426</v>
      </c>
      <c r="F11" s="26" t="s">
        <v>1427</v>
      </c>
      <c r="G11" s="26" t="s">
        <v>1428</v>
      </c>
      <c r="H11" s="26" t="n">
        <v>1.15</v>
      </c>
      <c r="I11" s="27"/>
    </row>
    <row r="12" customFormat="false" ht="12.8" hidden="false" customHeight="false" outlineLevel="0" collapsed="false">
      <c r="A12" s="26" t="s">
        <v>1463</v>
      </c>
      <c r="B12" s="28" t="s">
        <v>1464</v>
      </c>
      <c r="C12" s="28" t="s">
        <v>1465</v>
      </c>
      <c r="D12" s="28" t="s">
        <v>1466</v>
      </c>
      <c r="E12" s="26" t="s">
        <v>1447</v>
      </c>
      <c r="F12" s="26" t="s">
        <v>1427</v>
      </c>
      <c r="G12" s="26" t="s">
        <v>1442</v>
      </c>
      <c r="H12" s="26" t="n">
        <v>1.2</v>
      </c>
      <c r="I12" s="27"/>
    </row>
    <row r="13" customFormat="false" ht="12.8" hidden="false" customHeight="false" outlineLevel="0" collapsed="false">
      <c r="A13" s="26" t="s">
        <v>1388</v>
      </c>
      <c r="B13" s="28" t="s">
        <v>1467</v>
      </c>
      <c r="C13" s="28" t="s">
        <v>1468</v>
      </c>
      <c r="D13" s="28" t="s">
        <v>1469</v>
      </c>
      <c r="E13" s="26" t="s">
        <v>1426</v>
      </c>
      <c r="F13" s="26" t="s">
        <v>1441</v>
      </c>
      <c r="G13" s="26" t="s">
        <v>1470</v>
      </c>
      <c r="H13" s="26" t="n">
        <v>1.1</v>
      </c>
      <c r="I13" s="27"/>
    </row>
    <row r="14" customFormat="false" ht="12.8" hidden="false" customHeight="false" outlineLevel="0" collapsed="false">
      <c r="A14" s="26" t="s">
        <v>1471</v>
      </c>
      <c r="B14" s="28" t="s">
        <v>1472</v>
      </c>
      <c r="C14" s="28" t="s">
        <v>1473</v>
      </c>
      <c r="D14" s="28" t="s">
        <v>1474</v>
      </c>
      <c r="E14" s="26" t="s">
        <v>1447</v>
      </c>
      <c r="F14" s="26" t="s">
        <v>1420</v>
      </c>
      <c r="G14" s="26" t="s">
        <v>1475</v>
      </c>
      <c r="H14" s="26" t="n">
        <v>1.25</v>
      </c>
      <c r="I14" s="27"/>
    </row>
    <row r="15" customFormat="false" ht="12.8" hidden="false" customHeight="false" outlineLevel="0" collapsed="false">
      <c r="A15" s="26" t="s">
        <v>1391</v>
      </c>
      <c r="B15" s="28" t="s">
        <v>1476</v>
      </c>
      <c r="C15" s="28" t="s">
        <v>1477</v>
      </c>
      <c r="D15" s="28" t="s">
        <v>1478</v>
      </c>
      <c r="E15" s="26" t="s">
        <v>1426</v>
      </c>
      <c r="F15" s="26" t="s">
        <v>1441</v>
      </c>
      <c r="G15" s="26" t="s">
        <v>1479</v>
      </c>
      <c r="H15" s="26" t="n">
        <v>1.1</v>
      </c>
      <c r="I15" s="27"/>
    </row>
    <row r="16" customFormat="false" ht="12.8" hidden="false" customHeight="false" outlineLevel="0" collapsed="false">
      <c r="A16" s="26" t="s">
        <v>1480</v>
      </c>
      <c r="B16" s="28" t="s">
        <v>1481</v>
      </c>
      <c r="C16" s="28" t="s">
        <v>1482</v>
      </c>
      <c r="D16" s="28" t="s">
        <v>1483</v>
      </c>
      <c r="E16" s="26" t="s">
        <v>1426</v>
      </c>
      <c r="F16" s="26" t="s">
        <v>1441</v>
      </c>
      <c r="G16" s="26" t="s">
        <v>1442</v>
      </c>
      <c r="H16" s="26" t="n">
        <v>1.1</v>
      </c>
      <c r="I16" s="27"/>
    </row>
    <row r="17" customFormat="false" ht="12.8" hidden="false" customHeight="false" outlineLevel="0" collapsed="false">
      <c r="A17" s="26" t="s">
        <v>1484</v>
      </c>
      <c r="B17" s="28" t="s">
        <v>1485</v>
      </c>
      <c r="C17" s="28" t="s">
        <v>1486</v>
      </c>
      <c r="D17" s="28" t="s">
        <v>1487</v>
      </c>
      <c r="E17" s="26" t="s">
        <v>1426</v>
      </c>
      <c r="F17" s="26" t="s">
        <v>1441</v>
      </c>
      <c r="G17" s="26" t="s">
        <v>1442</v>
      </c>
      <c r="H17" s="26" t="n">
        <v>1.1</v>
      </c>
      <c r="I17" s="27"/>
    </row>
    <row r="18" customFormat="false" ht="12.8" hidden="false" customHeight="false" outlineLevel="0" collapsed="false">
      <c r="A18" s="26" t="s">
        <v>1394</v>
      </c>
      <c r="B18" s="28" t="s">
        <v>1488</v>
      </c>
      <c r="C18" s="28" t="s">
        <v>1489</v>
      </c>
      <c r="D18" s="28" t="s">
        <v>1490</v>
      </c>
      <c r="E18" s="26" t="s">
        <v>1426</v>
      </c>
      <c r="F18" s="26" t="s">
        <v>1427</v>
      </c>
      <c r="G18" s="26" t="s">
        <v>1436</v>
      </c>
      <c r="H18" s="26" t="n">
        <v>1.15</v>
      </c>
      <c r="I18" s="27"/>
    </row>
    <row r="19" customFormat="false" ht="12.8" hidden="false" customHeight="false" outlineLevel="0" collapsed="false">
      <c r="A19" s="26" t="s">
        <v>1395</v>
      </c>
      <c r="B19" s="28" t="s">
        <v>1491</v>
      </c>
      <c r="C19" s="28" t="s">
        <v>1492</v>
      </c>
      <c r="D19" s="28" t="s">
        <v>1493</v>
      </c>
      <c r="E19" s="26" t="s">
        <v>1447</v>
      </c>
      <c r="F19" s="26" t="s">
        <v>1427</v>
      </c>
      <c r="G19" s="26" t="s">
        <v>1379</v>
      </c>
      <c r="H19" s="26" t="n">
        <v>1.2</v>
      </c>
      <c r="I19" s="27"/>
    </row>
    <row r="20" customFormat="false" ht="12.8" hidden="false" customHeight="false" outlineLevel="0" collapsed="false">
      <c r="A20" s="26" t="s">
        <v>1494</v>
      </c>
      <c r="B20" s="28" t="s">
        <v>1495</v>
      </c>
      <c r="C20" s="28" t="s">
        <v>1496</v>
      </c>
      <c r="D20" s="28" t="s">
        <v>1497</v>
      </c>
      <c r="E20" s="26" t="s">
        <v>1419</v>
      </c>
      <c r="F20" s="26" t="s">
        <v>1420</v>
      </c>
      <c r="G20" s="26" t="s">
        <v>1442</v>
      </c>
      <c r="H20" s="26" t="n">
        <v>1.3</v>
      </c>
      <c r="I20" s="27"/>
    </row>
    <row r="21" customFormat="false" ht="12.8" hidden="false" customHeight="false" outlineLevel="0" collapsed="false">
      <c r="A21" s="26" t="s">
        <v>1397</v>
      </c>
      <c r="B21" s="28" t="s">
        <v>1498</v>
      </c>
      <c r="C21" s="28" t="s">
        <v>1499</v>
      </c>
      <c r="D21" s="28" t="s">
        <v>1500</v>
      </c>
      <c r="E21" s="26" t="s">
        <v>1419</v>
      </c>
      <c r="F21" s="26" t="s">
        <v>1420</v>
      </c>
      <c r="G21" s="26" t="s">
        <v>1379</v>
      </c>
      <c r="H21" s="26" t="n">
        <v>1.3</v>
      </c>
      <c r="I21" s="27"/>
    </row>
    <row r="22" customFormat="false" ht="12.8" hidden="false" customHeight="false" outlineLevel="0" collapsed="false">
      <c r="A22" s="26" t="s">
        <v>1501</v>
      </c>
      <c r="B22" s="28" t="s">
        <v>1502</v>
      </c>
      <c r="C22" s="28" t="s">
        <v>1503</v>
      </c>
      <c r="D22" s="28" t="s">
        <v>1504</v>
      </c>
      <c r="E22" s="26" t="s">
        <v>1426</v>
      </c>
      <c r="F22" s="26" t="s">
        <v>1427</v>
      </c>
      <c r="G22" s="26" t="s">
        <v>1379</v>
      </c>
      <c r="H22" s="26" t="n">
        <v>1.15</v>
      </c>
      <c r="I22" s="27"/>
    </row>
    <row r="23" customFormat="false" ht="12.8" hidden="false" customHeight="false" outlineLevel="0" collapsed="false">
      <c r="A23" s="26" t="s">
        <v>1505</v>
      </c>
      <c r="B23" s="28" t="s">
        <v>1506</v>
      </c>
      <c r="C23" s="28" t="s">
        <v>1507</v>
      </c>
      <c r="D23" s="28" t="s">
        <v>1508</v>
      </c>
      <c r="E23" s="26" t="s">
        <v>1426</v>
      </c>
      <c r="F23" s="26" t="s">
        <v>1441</v>
      </c>
      <c r="G23" s="26" t="s">
        <v>1436</v>
      </c>
      <c r="H23" s="26" t="n">
        <v>1.1</v>
      </c>
      <c r="I23" s="27"/>
    </row>
    <row r="24" customFormat="false" ht="12.8" hidden="false" customHeight="false" outlineLevel="0" collapsed="false">
      <c r="A24" s="26" t="s">
        <v>1509</v>
      </c>
      <c r="B24" s="28" t="s">
        <v>1510</v>
      </c>
      <c r="C24" s="28" t="s">
        <v>1511</v>
      </c>
      <c r="D24" s="28" t="s">
        <v>1512</v>
      </c>
      <c r="E24" s="26" t="s">
        <v>1447</v>
      </c>
      <c r="F24" s="26" t="s">
        <v>1427</v>
      </c>
      <c r="G24" s="26" t="s">
        <v>1379</v>
      </c>
      <c r="H24" s="26" t="n">
        <v>1.2</v>
      </c>
      <c r="I24" s="27"/>
    </row>
    <row r="25" customFormat="false" ht="12.8" hidden="false" customHeight="false" outlineLevel="0" collapsed="false">
      <c r="A25" s="26" t="s">
        <v>1513</v>
      </c>
      <c r="B25" s="28" t="s">
        <v>1514</v>
      </c>
      <c r="C25" s="28" t="s">
        <v>1515</v>
      </c>
      <c r="D25" s="28" t="s">
        <v>1516</v>
      </c>
      <c r="E25" s="26" t="s">
        <v>1447</v>
      </c>
      <c r="F25" s="26" t="s">
        <v>1427</v>
      </c>
      <c r="G25" s="26" t="s">
        <v>1379</v>
      </c>
      <c r="H25" s="26" t="n">
        <v>1.2</v>
      </c>
      <c r="I25" s="27"/>
    </row>
    <row r="26" customFormat="false" ht="12.8" hidden="false" customHeight="false" outlineLevel="0" collapsed="false">
      <c r="A26" s="26" t="s">
        <v>1398</v>
      </c>
      <c r="B26" s="28" t="s">
        <v>1517</v>
      </c>
      <c r="C26" s="28" t="s">
        <v>1518</v>
      </c>
      <c r="D26" s="28" t="s">
        <v>1519</v>
      </c>
      <c r="E26" s="26" t="s">
        <v>1419</v>
      </c>
      <c r="F26" s="26" t="s">
        <v>1420</v>
      </c>
      <c r="G26" s="26" t="s">
        <v>1379</v>
      </c>
      <c r="H26" s="26" t="n">
        <v>1.3</v>
      </c>
      <c r="I26" s="27"/>
    </row>
    <row r="27" customFormat="false" ht="12.8" hidden="false" customHeight="false" outlineLevel="0" collapsed="false">
      <c r="A27" s="26" t="s">
        <v>1402</v>
      </c>
      <c r="B27" s="28" t="s">
        <v>1520</v>
      </c>
      <c r="C27" s="28" t="s">
        <v>1521</v>
      </c>
      <c r="D27" s="28" t="s">
        <v>1522</v>
      </c>
      <c r="E27" s="26" t="s">
        <v>1523</v>
      </c>
      <c r="F27" s="26" t="s">
        <v>1420</v>
      </c>
      <c r="G27" s="26" t="s">
        <v>1379</v>
      </c>
      <c r="H27" s="26" t="n">
        <v>1.5</v>
      </c>
      <c r="I27" s="27"/>
    </row>
    <row r="28" customFormat="false" ht="12.8" hidden="false" customHeight="false" outlineLevel="0" collapsed="false">
      <c r="A28" s="26" t="s">
        <v>1524</v>
      </c>
      <c r="B28" s="28" t="s">
        <v>1525</v>
      </c>
      <c r="C28" s="28" t="s">
        <v>1526</v>
      </c>
      <c r="D28" s="28" t="s">
        <v>1527</v>
      </c>
      <c r="E28" s="26" t="s">
        <v>1447</v>
      </c>
      <c r="F28" s="26" t="s">
        <v>1427</v>
      </c>
      <c r="G28" s="26" t="s">
        <v>1379</v>
      </c>
      <c r="H28" s="26" t="n">
        <v>1.25</v>
      </c>
      <c r="I28" s="27"/>
    </row>
    <row r="29" customFormat="false" ht="12.8" hidden="false" customHeight="false" outlineLevel="0" collapsed="false">
      <c r="A29" s="26" t="s">
        <v>1528</v>
      </c>
      <c r="B29" s="28" t="s">
        <v>1529</v>
      </c>
      <c r="C29" s="28" t="s">
        <v>1530</v>
      </c>
      <c r="D29" s="28" t="s">
        <v>1531</v>
      </c>
      <c r="E29" s="26" t="s">
        <v>1447</v>
      </c>
      <c r="F29" s="26" t="s">
        <v>1427</v>
      </c>
      <c r="G29" s="26" t="s">
        <v>1379</v>
      </c>
      <c r="H29" s="26" t="n">
        <v>1.2</v>
      </c>
      <c r="I29" s="27"/>
    </row>
    <row r="30" customFormat="false" ht="12.8" hidden="false" customHeight="false" outlineLevel="0" collapsed="false">
      <c r="A30" s="26" t="s">
        <v>1532</v>
      </c>
      <c r="B30" s="28" t="s">
        <v>1533</v>
      </c>
      <c r="C30" s="28" t="s">
        <v>1534</v>
      </c>
      <c r="D30" s="28" t="s">
        <v>1535</v>
      </c>
      <c r="E30" s="26" t="s">
        <v>1447</v>
      </c>
      <c r="F30" s="26" t="s">
        <v>1427</v>
      </c>
      <c r="G30" s="26" t="s">
        <v>1379</v>
      </c>
      <c r="H30" s="26" t="n">
        <v>1.2</v>
      </c>
      <c r="I30" s="27"/>
    </row>
    <row r="31" customFormat="false" ht="12.8" hidden="false" customHeight="false" outlineLevel="0" collapsed="false">
      <c r="A31" s="26" t="s">
        <v>1536</v>
      </c>
      <c r="B31" s="28" t="s">
        <v>1537</v>
      </c>
      <c r="C31" s="28" t="s">
        <v>1538</v>
      </c>
      <c r="D31" s="28" t="s">
        <v>1539</v>
      </c>
      <c r="E31" s="26" t="s">
        <v>1447</v>
      </c>
      <c r="F31" s="26" t="s">
        <v>1427</v>
      </c>
      <c r="G31" s="26" t="s">
        <v>1540</v>
      </c>
      <c r="H31" s="26" t="n">
        <v>1.2</v>
      </c>
      <c r="I31" s="27"/>
    </row>
    <row r="32" customFormat="false" ht="12.8" hidden="false" customHeight="false" outlineLevel="0" collapsed="false">
      <c r="A32" s="26" t="s">
        <v>1405</v>
      </c>
      <c r="B32" s="28" t="s">
        <v>1541</v>
      </c>
      <c r="C32" s="28" t="s">
        <v>1542</v>
      </c>
      <c r="D32" s="28" t="s">
        <v>1543</v>
      </c>
      <c r="E32" s="26" t="s">
        <v>1419</v>
      </c>
      <c r="F32" s="26" t="s">
        <v>1420</v>
      </c>
      <c r="G32" s="26" t="s">
        <v>1454</v>
      </c>
      <c r="H32" s="26" t="n">
        <v>1.35</v>
      </c>
      <c r="I32" s="2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712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2026-08-05T14:09:25Z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