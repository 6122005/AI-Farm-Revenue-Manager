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shboard" sheetId="1" state="visible" r:id="rId2"/>
    <sheet name="Festival_List" sheetId="2" state="visible" r:id="rId3"/>
    <sheet name="Raw Event Data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<sst xmlns="http://schemas.openxmlformats.org/spreadsheetml/2006/main" count="2353" uniqueCount="2118">
  <si>
    <t xml:space="preserve">Month</t>
  </si>
  <si>
    <t xml:space="preserve">Total Rent</t>
  </si>
  <si>
    <t xml:space="preserve">Rent Change (YoY)</t>
  </si>
  <si>
    <t xml:space="preserve">Occupancy Rate (%)</t>
  </si>
  <si>
    <t xml:space="preserve">Occupancy Change (YoY)</t>
  </si>
  <si>
    <t xml:space="preserve">Total Bookings</t>
  </si>
  <si>
    <t xml:space="preserve">Bookings Change (YoY)</t>
  </si>
  <si>
    <t xml:space="preserve">Unbooked 24hr Slots</t>
  </si>
  <si>
    <t xml:space="preserve">Unbooked Day Slots</t>
  </si>
  <si>
    <t xml:space="preserve">Unbooked Night Slots</t>
  </si>
  <si>
    <t xml:space="preserve">Date</t>
  </si>
  <si>
    <t xml:space="preserve">Festival</t>
  </si>
  <si>
    <t xml:space="preserve">New Year</t>
  </si>
  <si>
    <t xml:space="preserve">Makar Sankranti</t>
  </si>
  <si>
    <t xml:space="preserve">Vasi Uttarayan</t>
  </si>
  <si>
    <t xml:space="preserve">Republic Day</t>
  </si>
  <si>
    <t xml:space="preserve">Maha Shivratri</t>
  </si>
  <si>
    <t xml:space="preserve">Holi</t>
  </si>
  <si>
    <t xml:space="preserve">Dhuleti</t>
  </si>
  <si>
    <t xml:space="preserve">Ram Navami</t>
  </si>
  <si>
    <t xml:space="preserve">Mahavir Jayanti</t>
  </si>
  <si>
    <t xml:space="preserve">Good Friday</t>
  </si>
  <si>
    <t xml:space="preserve">Eid-ul-Fitr</t>
  </si>
  <si>
    <t xml:space="preserve">Buddha Purnima</t>
  </si>
  <si>
    <t xml:space="preserve">Bakrid</t>
  </si>
  <si>
    <t xml:space="preserve">Muharram</t>
  </si>
  <si>
    <t xml:space="preserve">Independence Day</t>
  </si>
  <si>
    <t xml:space="preserve">Raksha Bandhan</t>
  </si>
  <si>
    <t xml:space="preserve">Janmashtami</t>
  </si>
  <si>
    <t xml:space="preserve">Ganesh Chaturthi</t>
  </si>
  <si>
    <t xml:space="preserve">Navratri Day 1</t>
  </si>
  <si>
    <t xml:space="preserve">Navratri Day 2</t>
  </si>
  <si>
    <t xml:space="preserve">Navratri Day 3</t>
  </si>
  <si>
    <t xml:space="preserve">Navratri Day 4</t>
  </si>
  <si>
    <t xml:space="preserve">Navratri Day 5</t>
  </si>
  <si>
    <t xml:space="preserve">Navratri Day 6</t>
  </si>
  <si>
    <t xml:space="preserve">Navratri Day 7</t>
  </si>
  <si>
    <t xml:space="preserve">Navratri Day 8</t>
  </si>
  <si>
    <t xml:space="preserve">Navratri Day 9</t>
  </si>
  <si>
    <t xml:space="preserve">Dussehra</t>
  </si>
  <si>
    <t xml:space="preserve">Sharad Purnima</t>
  </si>
  <si>
    <t xml:space="preserve">Dhanteras</t>
  </si>
  <si>
    <t xml:space="preserve">Kali Chaudas</t>
  </si>
  <si>
    <t xml:space="preserve">Diwali</t>
  </si>
  <si>
    <t xml:space="preserve">Bestu Varas</t>
  </si>
  <si>
    <t xml:space="preserve">Bhai Beej</t>
  </si>
  <si>
    <t xml:space="preserve">Christmas</t>
  </si>
  <si>
    <t xml:space="preserve">New Year's Eve</t>
  </si>
  <si>
    <t xml:space="preserve">Event ID</t>
  </si>
  <si>
    <t xml:space="preserve">Title</t>
  </si>
  <si>
    <t xml:space="preserve">Description</t>
  </si>
  <si>
    <t xml:space="preserve">Start Date</t>
  </si>
  <si>
    <t xml:space="preserve">Start Time </t>
  </si>
  <si>
    <t xml:space="preserve">End Date</t>
  </si>
  <si>
    <t xml:space="preserve">End Time</t>
  </si>
  <si>
    <t xml:space="preserve">Last Updated</t>
  </si>
  <si>
    <t xml:space="preserve">Extracted Rent</t>
  </si>
  <si>
    <t xml:space="preserve">vacation time </t>
  </si>
  <si>
    <t xml:space="preserve">festival </t>
  </si>
  <si>
    <t xml:space="preserve">duration</t>
  </si>
  <si>
    <t xml:space="preserve">Weekend</t>
  </si>
  <si>
    <t xml:space="preserve">season</t>
  </si>
  <si>
    <t xml:space="preserve">Booking_Category</t>
  </si>
  <si>
    <t xml:space="preserve">Day of Week </t>
  </si>
  <si>
    <t xml:space="preserve">Month Number</t>
  </si>
  <si>
    <t xml:space="preserve">Quarter</t>
  </si>
  <si>
    <t xml:space="preserve">650702B8-0D30-40EC-8591-6A0B4E419EBB</t>
  </si>
  <si>
    <t xml:space="preserve">Farm Booked</t>
  </si>
  <si>
    <t xml:space="preserve">Rent: ₹3500</t>
  </si>
  <si>
    <t xml:space="preserve">258FCFFE-201C-49F3-97DC-4986C6199422</t>
  </si>
  <si>
    <t xml:space="preserve">Rent: ₹4800</t>
  </si>
  <si>
    <t xml:space="preserve">B056A138-309B-47E4-BD7F-4AD7403DDC3B</t>
  </si>
  <si>
    <t xml:space="preserve">Rent: 2000</t>
  </si>
  <si>
    <t xml:space="preserve">5C19569C-8322-4BDD-88C5-3657B4C76C67</t>
  </si>
  <si>
    <t xml:space="preserve">Rent: 5000</t>
  </si>
  <si>
    <t xml:space="preserve">262A5BB9-AB9A-430A-847A-08EA1B35B090</t>
  </si>
  <si>
    <t xml:space="preserve">Rent: 2800</t>
  </si>
  <si>
    <t xml:space="preserve">4F0AD433-C7B3-41BE-A13B-B817FD39F27C</t>
  </si>
  <si>
    <t xml:space="preserve">4ED4DF48-C6FB-4850-B560-1834D59A8A32</t>
  </si>
  <si>
    <t xml:space="preserve">Rent: 1200</t>
  </si>
  <si>
    <t xml:space="preserve">CF2DAAD3-F27E-433E-A804-713D3EE6DCD0</t>
  </si>
  <si>
    <t xml:space="preserve">5960F9EB-8EAC-4048-A3B5-3D593CEF99A4</t>
  </si>
  <si>
    <t xml:space="preserve">Farm booked</t>
  </si>
  <si>
    <t xml:space="preserve">Rent: 2500 only room</t>
  </si>
  <si>
    <t xml:space="preserve">BBF795B4-5F70-4A56-B1C1-2A1ABFEF017D</t>
  </si>
  <si>
    <t xml:space="preserve">Rent: 2700</t>
  </si>
  <si>
    <t xml:space="preserve">BF0119DC-33C7-49F8-913B-756F62D93A1A</t>
  </si>
  <si>
    <t xml:space="preserve">Rent: 3300 room + kitchen</t>
  </si>
  <si>
    <t xml:space="preserve">ADAEFA30-EE34-44F8-ABC5-230C8A335F4B</t>
  </si>
  <si>
    <t xml:space="preserve">B943F24C-27D4-45EC-8EAF-126517A1737B</t>
  </si>
  <si>
    <t xml:space="preserve">711DC804-25EA-40D5-B26C-6FCC2F2993D5</t>
  </si>
  <si>
    <t xml:space="preserve">Rent: 4500</t>
  </si>
  <si>
    <t xml:space="preserve">392B3894-618B-4A67-A951-7CF5E1D06243</t>
  </si>
  <si>
    <t xml:space="preserve">Farm booked - Hirenbhai</t>
  </si>
  <si>
    <t xml:space="preserve">Rent: 2500</t>
  </si>
  <si>
    <t xml:space="preserve">FBE719D2-B92C-434C-B472-A438E1AD1FD1</t>
  </si>
  <si>
    <t xml:space="preserve">Farm booked by Monu</t>
  </si>
  <si>
    <t xml:space="preserve">Rent: 2500
Full facilities</t>
  </si>
  <si>
    <t xml:space="preserve">8C57A729-E10A-4133-A33B-49FC3E865B73</t>
  </si>
  <si>
    <t xml:space="preserve">Farm booked by Vishal</t>
  </si>
  <si>
    <t xml:space="preserve">6477D17C-B838-47C9-851F-7DD2D1FA8869</t>
  </si>
  <si>
    <t xml:space="preserve">Farm booked by Divyesh</t>
  </si>
  <si>
    <t xml:space="preserve">Rent: 1500
Only room</t>
  </si>
  <si>
    <t xml:space="preserve">166D79C0-430A-49A9-8219-08BFCE8D14E6</t>
  </si>
  <si>
    <t xml:space="preserve">Rent: 1500 only photo</t>
  </si>
  <si>
    <t xml:space="preserve">50DA6D74-3198-42D7-B49E-63FD06A2694B</t>
  </si>
  <si>
    <t xml:space="preserve">Farm Booked by Vatsal</t>
  </si>
  <si>
    <t xml:space="preserve">Rent: 8500</t>
  </si>
  <si>
    <t xml:space="preserve">A44EA067-90CC-4B3C-800C-71A2289B9348</t>
  </si>
  <si>
    <t xml:space="preserve">Farm Booked by Yash</t>
  </si>
  <si>
    <t xml:space="preserve">Rent: 3000</t>
  </si>
  <si>
    <t xml:space="preserve">4DA9DCBE-07EE-4A37-BCFD-F0C2254481D8</t>
  </si>
  <si>
    <t xml:space="preserve">Farm Booked by Roopen’s friend</t>
  </si>
  <si>
    <t xml:space="preserve">Rent: ₹3000
₹2000 - penalty
Guest name: Rekha</t>
  </si>
  <si>
    <t xml:space="preserve">B24254C7-91D5-4B8A-B699-FE84E846281A</t>
  </si>
  <si>
    <t xml:space="preserve">Farb booked by Atul</t>
  </si>
  <si>
    <t xml:space="preserve">8B8AA255-43E0-416C-A57B-B7B6E8FD5AF7</t>
  </si>
  <si>
    <t xml:space="preserve">Farm booked by Raj</t>
  </si>
  <si>
    <t xml:space="preserve">9 Jan 9AM to 9 Jan 6PM
2 Person
Full facility
Rent: ₹2000
Deposit: ₹2000
Advanced paid: ₹500</t>
  </si>
  <si>
    <t xml:space="preserve">684FC06E-B131-4EC0-A11F-F1A8A0A5BEF1</t>
  </si>
  <si>
    <t xml:space="preserve">Farm booked by Prashant</t>
  </si>
  <si>
    <t xml:space="preserve">10 Jan 9 AM to 10 Jan 5 PM
4 Person
Full Facilities
Rent: 2500
Deposit: 2000
Total Payment before checkin: 4500
2000 refundable within 24 hours of checkout.
Advance Payment received: ₹500
Pending amount: ₹4000</t>
  </si>
  <si>
    <t xml:space="preserve">19EF54E6-02FD-47EB-A2AC-6E0F41A2DA87</t>
  </si>
  <si>
    <t xml:space="preserve">Farm booked by Aman</t>
  </si>
  <si>
    <t xml:space="preserve">9 Jan 6 PM to 10 Jan 6 PM
24 hours
Full facilities with JBL sound system
5 person
Rent: ₹4000
Deposit: ₹2000
Total payment before check in: ₹6000
₹2000 refundable within 24 hours of check out
Advance payment paid: ₹1000
Pending Amount: ₹5000</t>
  </si>
  <si>
    <t xml:space="preserve">930D7ACD-5AC5-4868-BB2B-C964A1224BCA</t>
  </si>
  <si>
    <t xml:space="preserve">Farm booked by Om</t>
  </si>
  <si>
    <t xml:space="preserve">13 Jan 6PM to 14 Jan 8AM
6 Persons
Full facilities with JBL sound system
Rent: ₹4500
Deposit: ₹2000
Total payment before check in: ₹6500
₹2000 refundable within 24 hours of check out.
Advance payment paid: ₹2000.
Pending amount: ₹4500</t>
  </si>
  <si>
    <t xml:space="preserve">64CDBCA0-DD2E-4984-9948-857309B398C0</t>
  </si>
  <si>
    <t xml:space="preserve">Farm booked by Jignesh </t>
  </si>
  <si>
    <t xml:space="preserve">14 Jan 8 AM to 15 Jan 8 PM
8 Person
Full facilities
Rent: ₹10000
Deposit: ₹2000
Total payment: ₹12000
Payment received: ₹2000</t>
  </si>
  <si>
    <t xml:space="preserve">8083F1EC-271B-483F-82CB-8F21BAA90A96</t>
  </si>
  <si>
    <t xml:space="preserve">Farm booked by Rutvik </t>
  </si>
  <si>
    <t xml:space="preserve">Booking confirmed ✅ 
17 jan 6 AM to 6 PM
2 Person
Only Room + Kitchen
Rent: ₹2200
Deposit: ₹2000
Total payment: ₹4200
Advance received: ₹1000</t>
  </si>
  <si>
    <t xml:space="preserve">D67598B0-A499-4D83-82D2-16CCBE3130A4</t>
  </si>
  <si>
    <t xml:space="preserve">Farm booked by Anand</t>
  </si>
  <si>
    <t xml:space="preserve">18 Jan 10 AM to 4 PM
2 Person
Full facilities
Rent: ₹2200
Deposit: ₹2000
Total payment: ₹4200
₹2000 refund after check out.</t>
  </si>
  <si>
    <t xml:space="preserve">0BC733CA-DE87-487B-85C7-23DD1515D6D2</t>
  </si>
  <si>
    <t xml:space="preserve">Farm booked by Priyank</t>
  </si>
  <si>
    <t xml:space="preserve">21 Jan 9 PM to 22 Jan 12PM
10 Person
Rent: ₹3000
Deposit: ₹2000
Total payment: ₹5000
₹2000 refund after check out
₹1000 received</t>
  </si>
  <si>
    <t xml:space="preserve">0C4C1946-015B-464E-831E-01EBBBAD6E85</t>
  </si>
  <si>
    <t xml:space="preserve">Farm booked by Nikunj</t>
  </si>
  <si>
    <t xml:space="preserve">22 Jan 12PM to 6PM
4 Person
Full Facilities with JBL Sound system
Rent: ₹2500
Deposit: ₹2000
Total Payment: ₹4500
₹2000 refund after checkout
Payment Received: ₹2000
Pending: ₹2500</t>
  </si>
  <si>
    <t xml:space="preserve">3A433683-0893-4498-901C-8F0F2CA8879A</t>
  </si>
  <si>
    <t xml:space="preserve">24 Jan 6 AM to 6 PM
10 Person
Rent: ₹2200
Deposit: ₹2000
Total Payment: ₹4200
₹2000 received </t>
  </si>
  <si>
    <t xml:space="preserve">0118A891-0A2A-46F2-A077-0FAF1CA381E0</t>
  </si>
  <si>
    <t xml:space="preserve">Farm booked by Jay - Partial payment</t>
  </si>
  <si>
    <t xml:space="preserve">25 Jan 9 AM to 5 PM
4 Person
Only Room
Rent: ₹1500
Deposit: ₹2000
Total payment: ₹3500
₹2000 refund after check out.</t>
  </si>
  <si>
    <t xml:space="preserve">BB52DF2B-B52B-4261-A483-5CB61A522BDF</t>
  </si>
  <si>
    <t xml:space="preserve">Farm booked by Neel - Partial payment</t>
  </si>
  <si>
    <t xml:space="preserve">26Jan 6 PM to 27 Jan 4 PM
10 Person
Full facilities with sound system
Rent: 3500
Deposit: 2000
Amount received: ₹1000</t>
  </si>
  <si>
    <t xml:space="preserve">73D6A7CC-768F-4A50-9799-1C24CE9235BB</t>
  </si>
  <si>
    <t xml:space="preserve">Farm booked by Parimal - Partial Payment</t>
  </si>
  <si>
    <t xml:space="preserve">27/1 4:00 PM to 28/1 8:00 PM
17 Person
Rent: ₹6000
Deposit: ₹2000
Total payment before check in: ₹8000
₹2000 refundable within 24 hours of check out.
Amount paid: ₹1000
Your booking is confirmed</t>
  </si>
  <si>
    <t xml:space="preserve">55E8673D-E95B-4C4B-B9F6-B0082FB4F733</t>
  </si>
  <si>
    <t xml:space="preserve">Farm booked by Suresh</t>
  </si>
  <si>
    <t xml:space="preserve">Guest name: Dhaval
30 Jan 6PM to 2 Feb 6PM
3 Night - 3 Days
4 Person
Full facilities with JBL sound system
Rent: ₹8000
Deposit: 2000
Payment Received: ₹10000</t>
  </si>
  <si>
    <t xml:space="preserve">D2F2D239-F53C-4531-8DCE-D6A4B166E891</t>
  </si>
  <si>
    <t xml:space="preserve">Farm booked by Nirmal</t>
  </si>
  <si>
    <t xml:space="preserve">No rent - relative
Rent: 0</t>
  </si>
  <si>
    <t xml:space="preserve">A664ECAA-F593-4490-A12B-114C434C1273</t>
  </si>
  <si>
    <t xml:space="preserve">Farm booked by Neel </t>
  </si>
  <si>
    <t xml:space="preserve">3 Feb 6 PM to 4 Feb 9 AM
15 hours
10 Person
Rent: ₹3000
Deposit: ₹2000
Pay Advance on this number to confirm booking.</t>
  </si>
  <si>
    <t xml:space="preserve">87135306-4EF0-4FD1-BA20-CA0D3A359438</t>
  </si>
  <si>
    <t xml:space="preserve">Farm booked by Nandan</t>
  </si>
  <si>
    <t xml:space="preserve">Tomorrow 10 AM to 10 PM
5 Person
Full facilities with JBL sound system
Rent: ₹3300
Deposit: ₹2000
Deposit refund after check out
Advance received: ₹1000
No Cash - online only.</t>
  </si>
  <si>
    <t xml:space="preserve">FEF68DBB-BC57-4B04-AEDB-2975AA331997</t>
  </si>
  <si>
    <t xml:space="preserve">Farm booked by Ronit </t>
  </si>
  <si>
    <t xml:space="preserve">6 Feb 8 AM to 8 PM
8 Person
Rent: ₹2500
Deposit: ₹2000
Received: ₹500</t>
  </si>
  <si>
    <t xml:space="preserve">826D73AF-8D0D-4DFD-83BF-11227AD0D7E6</t>
  </si>
  <si>
    <t xml:space="preserve">Farm booked by Dipak</t>
  </si>
  <si>
    <t xml:space="preserve">6 Feb 9PM to 7 Feb 8:30 AM
8 Person
Full facility with swimming pool and sound system
Rent: ₹2200
Deposit: ₹2000
Deposit refund after check out</t>
  </si>
  <si>
    <t xml:space="preserve">DB5D9AC0-2E49-4B8E-91B6-4B703044A669</t>
  </si>
  <si>
    <t xml:space="preserve">Farm booked by Abhishek</t>
  </si>
  <si>
    <t xml:space="preserve">7 Feb 12:30 PM to 4:00 PM
2 Person
Full facilities - with swimming pool 
Rent: ₹2000
Deposit: ₹2000
*Deposit refund after check out.*
Advance payment ₹1000 to confirm your booking</t>
  </si>
  <si>
    <t xml:space="preserve">32261D47-5479-450B-999E-651D07324001</t>
  </si>
  <si>
    <t xml:space="preserve">Farm booked by Atul</t>
  </si>
  <si>
    <t xml:space="preserve">9 Feb 9AM to 3PM
4 Person
Full Facility
Rent: ₹2000
Deposit: ₹2000
Advance received ✅ : ₹2000</t>
  </si>
  <si>
    <t xml:space="preserve">A5E54F90-3A46-4BC2-9473-994C0F7B2197</t>
  </si>
  <si>
    <t xml:space="preserve">Farm booked by Rajnish</t>
  </si>
  <si>
    <t xml:space="preserve">09-Feb-2024 at 8:00 AM to 09-Feb-2024 at 5:00 PM
4 Persons
Rent: ₹2000
Deposit: ₹2000
₹500 received 
Deposit Refund after check out.</t>
  </si>
  <si>
    <t xml:space="preserve">DED20183-A506-4F0F-9C2B-A4CD4DB1AC60</t>
  </si>
  <si>
    <t xml:space="preserve">Farm booked by Surya</t>
  </si>
  <si>
    <t xml:space="preserve">10-Feb-2024 at 7:00 PM to 11-Feb-2024 at 1:00 PM
12 Persons
Rent: ₹4500
Deposit: ₹2000
Deposit Refund after check out.</t>
  </si>
  <si>
    <t xml:space="preserve">CBDD030F-D0C8-4199-A50A-38C15C9CCDAB</t>
  </si>
  <si>
    <t xml:space="preserve">Farm booked by 14 number</t>
  </si>
  <si>
    <t xml:space="preserve">Rent: 7000 paid 1000</t>
  </si>
  <si>
    <t xml:space="preserve">9B4891E1-AC95-4796-BDA5-3958FC5A4BA7</t>
  </si>
  <si>
    <t xml:space="preserve">Farm booked by Bhupendra</t>
  </si>
  <si>
    <t xml:space="preserve">15 Feb 6 AM to 6 PM
4 person
Full facilities with JBL sound system
Rent: ₹2500
Deposit: ₹2000
Amount received: ₹1000
Pending: ₹3500
Farm number: 11 kevanu gate pr.</t>
  </si>
  <si>
    <t xml:space="preserve">4E7CFD2C-B8D3-41C1-B7A9-636C01761177</t>
  </si>
  <si>
    <t xml:space="preserve">Booked by Rutvik</t>
  </si>
  <si>
    <t xml:space="preserve">16-Feb-2024 at 10:00 AM to 16-Feb-2024 at 6:00 PM
2 Persons
Rent: ₹2700
Deposit: ₹2000
Deposit Refund after check out.</t>
  </si>
  <si>
    <t xml:space="preserve">98FE754C-1561-4B7F-A9BF-5D85C1FBFBE4</t>
  </si>
  <si>
    <t xml:space="preserve">Farm booked by Parimal</t>
  </si>
  <si>
    <t xml:space="preserve">17 Feb 4:00 PM to 18 feb 8:00 PM
22 Person
Rent: ₹6000
Deposit: ₹1000
₹1000 received
(Note : Tejas Pay 7000₹)</t>
  </si>
  <si>
    <t xml:space="preserve">660C4997-B5D6-4811-A2DF-3D8E261B7F82</t>
  </si>
  <si>
    <t xml:space="preserve">Farm booked by Anand Yadav ~ Partial payment</t>
  </si>
  <si>
    <t xml:space="preserve">20-Feb-2024 at 10:00 AM to 20-Feb-2024 at 6:00 PM
4 Persons
Rent: ₹2000
Deposit: ₹2000
₹1000 advance received 
₹1000 Advance received.</t>
  </si>
  <si>
    <t xml:space="preserve">3BECB75F-7568-45A2-BF02-9FC7A5A22AF6</t>
  </si>
  <si>
    <t xml:space="preserve">Farm booked by Nidhish - Partial payment</t>
  </si>
  <si>
    <t xml:space="preserve">21-Feb-2024 at 6:00 AM to 21-Feb-2024 at 6:00 PM
4 Persons
Rent: ₹1700
Deposit: ₹2000
₹1000 Received </t>
  </si>
  <si>
    <t xml:space="preserve">986C487F-ECF2-417B-B468-D2A0AB949C10</t>
  </si>
  <si>
    <t xml:space="preserve">Farm booked by Yash Chahidiya</t>
  </si>
  <si>
    <t xml:space="preserve">21-Feb-2024 at 7:00 PM to 22-Feb-2024 at 5:00 PM
2 Persons
Only Room with AC
Rent: ₹3000
Deposit: ₹1000
₹3000 Received </t>
  </si>
  <si>
    <t xml:space="preserve">dvgmrek9vtsqlc3gptk1beasck@google.com</t>
  </si>
  <si>
    <t xml:space="preserve">Farm booked by Sharad - Partial payment</t>
  </si>
  <si>
    <t xml:space="preserve">22-Feb-2024 at 6:00 PM to 23-Feb-2024 at 6:00 PM
15 Persons
Rent: ₹4000
Deposit: ₹2000
₹2000 received
Deposit Refund after check out.</t>
  </si>
  <si>
    <t xml:space="preserve">B9013A14-53A5-43B9-B743-3A87841FCB28</t>
  </si>
  <si>
    <t xml:space="preserve">Farm booked by Arkit</t>
  </si>
  <si>
    <t xml:space="preserve">24-Feb-2024 at 6:00 PM to 25-Feb-2024 at 6:00 PM
12 Persons
Rent: ₹5000
Deposit: ₹2000
₹2000 Received 
Deposit Refund after check out.</t>
  </si>
  <si>
    <t xml:space="preserve">7F69AC7D-769D-4EB5-8AFA-4F5949CD0626</t>
  </si>
  <si>
    <t xml:space="preserve">Farm booked by Bhautik Vaghasiya ~  Partial payment</t>
  </si>
  <si>
    <t xml:space="preserve">26-Feb-2024 at 6:00 AM to 26-Feb-2024 at 6:00 PM
2 Persons
Rent: ₹2000
Deposit:₹2000
₹2000 Received</t>
  </si>
  <si>
    <t xml:space="preserve">3F1BA4C3-4097-4217-8594-98C07E7E724E</t>
  </si>
  <si>
    <t xml:space="preserve">Farm Booked by Payal Patel</t>
  </si>
  <si>
    <t xml:space="preserve">29-Feb-2024 at 6:00 AM to 29-Feb-2024 at 6:00 PM
2 Persons
Rent: ₹1700
Deposit: ₹2000
₹1700 Received 
Deposit Refund after check out.</t>
  </si>
  <si>
    <t xml:space="preserve">2B573FD4-716C-480F-BA4C-60A0C39AC9CD</t>
  </si>
  <si>
    <t xml:space="preserve">Farm booked by Pavan Joshi</t>
  </si>
  <si>
    <t xml:space="preserve">29-Feb-2024 at 10:00 PM to 01-Mar-2024 at 10:00 AM
6 Persons
Rent: ₹2000
Deposit: ₹2000
₹2000 Received 
Deposit Refund after check out.</t>
  </si>
  <si>
    <t xml:space="preserve">9A2209DF-86D0-44EE-A454-BBD1E58E025C</t>
  </si>
  <si>
    <t xml:space="preserve">Farm Booked by Atul Vishwakarma</t>
  </si>
  <si>
    <t xml:space="preserve">01-Mar-2024 at 11:00 AM to 02-Mar-2024 at 06:00 AM
12 Persons
Rent: ₹3200
Deposit: ₹2000
₹2000 Received 
Deposit Refund after check out.</t>
  </si>
  <si>
    <t xml:space="preserve">EF2E5A1C-3178-4631-9BF8-07E3619F8133</t>
  </si>
  <si>
    <t xml:space="preserve">Farm Booked by Kaushik Jethva </t>
  </si>
  <si>
    <t xml:space="preserve">02-Mar-2024 at 6:00 AM to 02-Mar-2024 at 6:00 PM
10 Persons
Rent: ₹3500
Deposit: ₹2000
₹1000 Received 
Deposit Refund after check out.</t>
  </si>
  <si>
    <t xml:space="preserve">165F8538-B0BA-4E70-B0AB-05DD389F64FC</t>
  </si>
  <si>
    <t xml:space="preserve">Farm booked by Kenil - Partial Payment</t>
  </si>
  <si>
    <t xml:space="preserve">02-Mar-2024 at 6:00 PM to 03-Mar-2024 at 6:00 PM
5 Persons
Rent: ₹5500
Deposit: ₹2000
₹2000 Received 
Deposit Refund after check out.</t>
  </si>
  <si>
    <t xml:space="preserve">FE80714E-A9E8-4DAD-9BFC-DF92A78A65C5</t>
  </si>
  <si>
    <t xml:space="preserve">Booked by Kunal Rana - Partial payment</t>
  </si>
  <si>
    <t xml:space="preserve">03-Mar-2024 at 8:00 PM to 04-Mar-2024 at 8:00 PM
4 Persons
Rent: ₹4500
Deposit: ₹2000
₹4500 Received 
Deposit Refund after check out.</t>
  </si>
  <si>
    <t xml:space="preserve">AA1241A1-718F-4713-8A6D-4AACE898EFEA</t>
  </si>
  <si>
    <t xml:space="preserve">Farm booked by Nikunj - full paid</t>
  </si>
  <si>
    <t xml:space="preserve">05-Mar-2024 at 6:00 AM to 05-Mar-2024 at 6:00 PM
2 Persons
Rent: ₹3000
Deposit: ₹2000 Deposit Refund after check out.
₹5000 received</t>
  </si>
  <si>
    <t xml:space="preserve">DEB971D5-B35F-4325-88F1-D4405A5C697E</t>
  </si>
  <si>
    <t xml:space="preserve">Farm booked by Sahil Patel</t>
  </si>
  <si>
    <t xml:space="preserve">09-Mar-2024 at 6:00 PM to 10-Mar-2024 at 6:00 PM
8 Persons
Rent: ₹5500
Deposit: ₹2000
₹3000 Received 
Deposit Refund after check out.</t>
  </si>
  <si>
    <t xml:space="preserve">BEED25B1-D1FE-46DE-88ED-479F9A60E0C3</t>
  </si>
  <si>
    <t xml:space="preserve">Booked by Zeel - Partial payment </t>
  </si>
  <si>
    <t xml:space="preserve">14 Mar 2024 at 6:00 AM to 14 Mar 2024 at 6:00 PM
4 Persons
Rent: ₹3000
Deposit: ₹2000
₹500 Received 
Deposit Refund after check out.</t>
  </si>
  <si>
    <t xml:space="preserve">AFC63977-A525-41F2-9573-FEC43C1B7779</t>
  </si>
  <si>
    <t xml:space="preserve">Booked by Anand - Partial payment</t>
  </si>
  <si>
    <t xml:space="preserve">15-Mar-2024 at 10:00 AM to 15-Mar-2024 at 5:00 PM
4 Persons
Rent: ₹3000
Deposit: ₹2000
₹1000 received 
Deposit Refund after check out.</t>
  </si>
  <si>
    <t xml:space="preserve">F0DAE08B-2DE7-4F35-BF8E-82D4450420F6</t>
  </si>
  <si>
    <t xml:space="preserve">Booked by Kenil - Partial booking</t>
  </si>
  <si>
    <t xml:space="preserve">15 Mar 2024 at 6:00 PM to 16 Mar 2024 at 6:00 PM
10 Persons
Rent: ₹4500
Deposit: ₹2000
₹2000 received
Deposit Refund after check out.</t>
  </si>
  <si>
    <t xml:space="preserve">FC182333-4DF9-491E-9AF7-57EF3D46A083</t>
  </si>
  <si>
    <t xml:space="preserve">Booked by Kiran - Partial payment</t>
  </si>
  <si>
    <t xml:space="preserve">16-Mar-2024 at 6:00 PM to 17-Mar-2024 at 6:00 PM
10 Persons
Rent: ₹6000
Deposit: ₹2000
₹2000 Received 
Deposit Refund after check out.</t>
  </si>
  <si>
    <t xml:space="preserve">B948DF7C-5B55-47A8-80BB-98B8D94E8DDC</t>
  </si>
  <si>
    <t xml:space="preserve">Booked by Sharad</t>
  </si>
  <si>
    <t xml:space="preserve">17 Mar 2024 at 11:00 PM to 18 Mar 2024 at 11:59 PM
8 Persons
Rent: ₹4000
Deposit: ₹2000
Deposit Refund after check out.</t>
  </si>
  <si>
    <t xml:space="preserve">9BEBDED2-4ABB-45F6-BADB-FF0BF3B5BF84</t>
  </si>
  <si>
    <t xml:space="preserve">Booked by Mihir</t>
  </si>
  <si>
    <t xml:space="preserve">19 Mar 2024 at 9:00 AM to 19 Mar 2024 at 6:00 PM
3 Persons
Rent: ₹2250
Deposit: ₹2000
₹1000 received
Farm number - 11
Deposit Refund after check out.</t>
  </si>
  <si>
    <t xml:space="preserve">AE15B9D7-2DEA-4710-BC82-9994DAFFB20A</t>
  </si>
  <si>
    <t xml:space="preserve">Booked by Aditya</t>
  </si>
  <si>
    <t xml:space="preserve">20 Mar 2024 at 6:00 PM to 21 Mar 2024 at 6:00 PM
8 Persons
Rent: ₹4000
Deposit: ₹2000
Deposit Refund after check out.</t>
  </si>
  <si>
    <t xml:space="preserve">4275E0F7-9B7A-4E3D-AC0B-9D2CBE903D96</t>
  </si>
  <si>
    <t xml:space="preserve">Farm booked by Smit - Partial payment</t>
  </si>
  <si>
    <t xml:space="preserve">10 Persons
Rent: ₹6000
Deposit: ₹2000
Payment received: ₹2000
</t>
  </si>
  <si>
    <t xml:space="preserve">01162942-8550-4233-870E-6394544899BD</t>
  </si>
  <si>
    <t xml:space="preserve">Booked by farm 11</t>
  </si>
  <si>
    <t xml:space="preserve">23 Mar 2024 at 11:00 AM to 23 Mar 2024 at 5:00 PM
4 Persons
Rent: ₹2200
Deposit: ₹2000
Deposit Refund after check out.</t>
  </si>
  <si>
    <t xml:space="preserve">DC71399C-5520-47C7-BBE1-600EBEDC5F98</t>
  </si>
  <si>
    <t xml:space="preserve">Booked by Mehul - partial payment</t>
  </si>
  <si>
    <t xml:space="preserve">23 Mar 2024 at 6:00 PM to 24 Mar 2024 at 6:00 PM
13 Persons max allowed
Rent: ₹9000
Deposit: ₹2000
₹3000 received
Deposit Refund after check out.</t>
  </si>
  <si>
    <t xml:space="preserve">49CFAFDF-3EA6-42B3-A05F-A6E8C1133822</t>
  </si>
  <si>
    <t xml:space="preserve">Booked by Limbani Meet</t>
  </si>
  <si>
    <t xml:space="preserve">Rent: ₹18000
+91 93286 25025
24 Mar 2024 at 6:00 PM to 25 Mar 2024 at 6:00 PM
15 Persons
Deposit: ₹2000
Deposit Refund after check out.</t>
  </si>
  <si>
    <t xml:space="preserve">F81BFFF5-9DD7-453B-B0F9-30CD2ADF649B</t>
  </si>
  <si>
    <t xml:space="preserve">Booked by Yug - Partial payment</t>
  </si>
  <si>
    <t xml:space="preserve">26 Mar 2024 at 6:00 PM to 27 Mar 2024 at 6:00 PM
10 Max Persons allowed 
Rent: ₹3500
Deposit: ₹2000
Deposit Refund after check out.</t>
  </si>
  <si>
    <t xml:space="preserve">76E2C21E-C1C5-4FF7-B033-24214F012718</t>
  </si>
  <si>
    <t xml:space="preserve">Booked by Ayush </t>
  </si>
  <si>
    <t xml:space="preserve">27 Mar 2024 at 6:00 PM to 28 Mar 2024 at 6:00 PM
8 Persons
Rent: ₹4000
Deposit: ₹2000
₹2000 received cash
Deposit Refund after check out.</t>
  </si>
  <si>
    <t xml:space="preserve">965EC3A3-1EF5-4481-B56D-099FEC17266C</t>
  </si>
  <si>
    <t xml:space="preserve">Booked by Raj Trivedi</t>
  </si>
  <si>
    <t xml:space="preserve">28 Mar 2024 at 6:00 PM to 29 Mar 2024 at 6:00 PM
7 Persons
Rent: ₹3500
Deposit: ₹2000
₹2000 received
Deposit Refund after check out.</t>
  </si>
  <si>
    <t xml:space="preserve">B4434D72-7DFA-4D02-939D-067BBAB992A9</t>
  </si>
  <si>
    <t xml:space="preserve">Booked by Bhargav</t>
  </si>
  <si>
    <t xml:space="preserve">29 Mar 2024 at 6:00 PM to 30 Mar 2024 at 6:00 PM
9 Persons
Rent: ₹3800
Deposit: ₹2000
₹1000 received
Deposit Refund after check out.</t>
  </si>
  <si>
    <t xml:space="preserve">36F8F5D2-E7A7-46F3-9299-E272C385E70E</t>
  </si>
  <si>
    <t xml:space="preserve">Booked by Nilkanth rathod</t>
  </si>
  <si>
    <t xml:space="preserve">30-Mar-2024 at 6:00 PM to 31-Mar-2024 at 6:00 PM
10 Persons
Rent: ₹7000
Deposit: ₹2000
₹1800 received ☑️ 
50% payment Saturday Morning, baki nu check in time pr
Deposit Refund after check out.</t>
  </si>
  <si>
    <t xml:space="preserve">F342E4A1-23E2-4A29-9AE4-58FBFD19FE29</t>
  </si>
  <si>
    <t xml:space="preserve">Booked by Neel</t>
  </si>
  <si>
    <t xml:space="preserve">31 Mar 2024 at 6:00 PM to 1 Apr 2024 at 6:00 PM
8 max Persons allowed
Rent: ₹4500
Deposit: ₹2000
₹1000 Received 
Deposit Refund after check out.</t>
  </si>
  <si>
    <t xml:space="preserve">7CB851F0-5126-489C-BB56-C8B12A367945</t>
  </si>
  <si>
    <t xml:space="preserve">Booked by Nilkanth</t>
  </si>
  <si>
    <t xml:space="preserve">2 Apr 2024 at 12:00 PM to 2 Apr 2024 at 5:00 PM
3 Persons
Rent: ₹3000
Deposit: ₹2000
₹1000 received
Deposit Refund after check out.</t>
  </si>
  <si>
    <t xml:space="preserve">8889F0A9-DE77-4D4E-9967-705471B1A34C</t>
  </si>
  <si>
    <t xml:space="preserve">Booked by vidhi - ‪+91 97732 21534‬</t>
  </si>
  <si>
    <t xml:space="preserve">2 Apr 2024 at 6:00 PM to 3 Apr 2024 at 6:00 PM
2 Persons
Rent: ₹4000
Deposit: ₹2000
₹2000 received 
Deposit Refund after check out.</t>
  </si>
  <si>
    <t xml:space="preserve">BB845D8C-0562-4FA6-8230-C7365A931FFC</t>
  </si>
  <si>
    <t xml:space="preserve">Booked by Jignesh</t>
  </si>
  <si>
    <t xml:space="preserve">4 Apr 2024 at 6:00 AM to 4 Apr 2024 at 6:00 PM
10 Persons
Rent: ₹4000
Deposit: ₹2000
Received: ₹2000
Deposit Refund after check out.</t>
  </si>
  <si>
    <t xml:space="preserve">2D3E66CD-9785-41EB-BA9F-EB1F677381BC</t>
  </si>
  <si>
    <t xml:space="preserve">Booked by Mansukh</t>
  </si>
  <si>
    <t xml:space="preserve">4 Apr 2024 at 6:00 PM to 5 Apr 2024 at 6:00 PM
10 Persons
Rent: ₹4500
Deposit: ₹2000
₹2000 received
Deposit Refund after check out.</t>
  </si>
  <si>
    <t xml:space="preserve">B94E8CC6-F1BE-489E-AC88-180F32AAE657</t>
  </si>
  <si>
    <t xml:space="preserve">Booked by Priyanshu</t>
  </si>
  <si>
    <t xml:space="preserve">5 Apr 2024 at 6:00 PM to 6 Apr 2024 at 6:00 PM
6 Persons
Rent: ₹4500
Deposit: ₹2000
₹1000 received
Deposit Refund after check out.</t>
  </si>
  <si>
    <t xml:space="preserve">98A209AC-014D-4FF9-9C55-DE788295FF35</t>
  </si>
  <si>
    <t xml:space="preserve">Booked by Sandip - Partial payment</t>
  </si>
  <si>
    <t xml:space="preserve">6 Apr 2024 at 6:00 PM to 7 Apr 2024 at 6:00 PM
15 Persons
Rent: ₹7000
Deposit: ₹2000
₹1000 received
Deposit Refund after check out.</t>
  </si>
  <si>
    <t xml:space="preserve">59E6C7DD-5A98-421B-9360-1B686F566AE0</t>
  </si>
  <si>
    <t xml:space="preserve">Booked by Ankit</t>
  </si>
  <si>
    <t xml:space="preserve">Castillo Farm - 11
8 Apr 2024 at 7:00 AM to 8 Apr 2024 at 6:00 PM
5 Persons allowed
Rent: ₹3500
Deposit: ₹2000
Received: ₹2000
Deposit Refund after check out.</t>
  </si>
  <si>
    <t xml:space="preserve">C0DC8716-4683-432D-8628-CF5AAFD028C6</t>
  </si>
  <si>
    <t xml:space="preserve">Booked by Harshal</t>
  </si>
  <si>
    <t xml:space="preserve">Booking confirmed ✅ 
9 Apr 2024 at 7:00 PM to 10 Apr 2024 at 6:00 PM
10 Persons
Rent: ₹4500
Deposit: ₹2000
₹2000 Received
Deposit Refund after check out.</t>
  </si>
  <si>
    <t xml:space="preserve">151329B0-B0A7-4F9E-8BA9-9AAC10B2011C</t>
  </si>
  <si>
    <t xml:space="preserve">Booked by Gauranggiri</t>
  </si>
  <si>
    <t xml:space="preserve">10 Apr 2024 at 7:00 PM to 11 Apr 2024 at 6:00 PM
10 Persons
Rent: ₹4500
Deposit: ₹2000
₹2000 received
Deposit Refund after check out.</t>
  </si>
  <si>
    <t xml:space="preserve">B99ED40D-923C-4DCD-82A0-B0D1A1976F31</t>
  </si>
  <si>
    <t xml:space="preserve">Booked by Badal</t>
  </si>
  <si>
    <t xml:space="preserve">12 Apr 2024 at 7:00 AM to 12 Apr 2024 at 6:00 PM
2 Persons
Rent: ₹4500
Deposit: ₹2000
₹2000 Received 
Deposit Refund after check out.</t>
  </si>
  <si>
    <t xml:space="preserve">EEB4A3BE-9608-4A17-811E-417A8A67D0E0</t>
  </si>
  <si>
    <t xml:space="preserve">Booked by Kirtan</t>
  </si>
  <si>
    <t xml:space="preserve">12 Apr 2024 at 7:00 PM to 13 Apr 2024 at 6:00 PM
8 Persons
Rent: ₹4500
Deposit: ₹2000
₹2000 received
Deposit Refund after check out.</t>
  </si>
  <si>
    <t xml:space="preserve">D7DCB4A4-2B48-4D7B-9654-A00916DE4F10</t>
  </si>
  <si>
    <t xml:space="preserve">Booked by Nirav Shah</t>
  </si>
  <si>
    <t xml:space="preserve">13 Apr 2024 at 7:00 PM to 14 Apr 2024 at 6:00 PM
15 Persons
Rent: ₹9500
Deposit: ₹2000
Deposit Refund after check out.
₹3500 received as advance payment</t>
  </si>
  <si>
    <t xml:space="preserve">E2C1216E-535D-4BC0-9A0E-B8D4B3CE9136</t>
  </si>
  <si>
    <t xml:space="preserve">booked by Agent Vinay</t>
  </si>
  <si>
    <t xml:space="preserve">Rent: ₹4000</t>
  </si>
  <si>
    <t xml:space="preserve">8D0CFDB4-8F43-4B6C-8831-78F3B86C98FD</t>
  </si>
  <si>
    <t xml:space="preserve">Booked by Raju Bhikadiya</t>
  </si>
  <si>
    <t xml:space="preserve">Farm number: 11
17 Apr 2024 at 7:00 AM to 17 Apr 2024 at 6:00 PM
12 Persons
Rent: ₹4000
Deposit: ₹2000
₹2000 received
Deposit Refund after check out.</t>
  </si>
  <si>
    <t xml:space="preserve">ACB32620-C97E-4A7E-AC0E-CDB3E89F854A</t>
  </si>
  <si>
    <t xml:space="preserve">Booked by Agent Surat farm house</t>
  </si>
  <si>
    <t xml:space="preserve">19 Apr 2024 at 7:00 AM to 19 Apr 2024 at 10:30 PM
12 Persons
Rent: ₹4000
Deposit: ₹2000
₹2000 received
Deposit Refund after check out.</t>
  </si>
  <si>
    <t xml:space="preserve">A73DED8D-96C6-4AF9-8061-22574A95FDDE</t>
  </si>
  <si>
    <t xml:space="preserve">Booked by Juhil</t>
  </si>
  <si>
    <t xml:space="preserve">Booking Confirmed ✅
20 Apr 2024 at 7:00 AM to 21 Apr 2024 at 6:00 PM
11 Persons allowed
Rent: ₹13500
Deposit: ₹2000
Full payment received, deposit baki
Deposit Refund after check out.</t>
  </si>
  <si>
    <t xml:space="preserve">C1BA0042-8E2F-4680-95F8-5133241C8C81</t>
  </si>
  <si>
    <t xml:space="preserve">Booked by Agent</t>
  </si>
  <si>
    <t xml:space="preserve">22 Apr 2024 at 7:00 PM to 23 Apr 2024 at 6:00 PM
14 Persons
Rent: ₹4500
Deposit: ₹2000
₹2000 received
Deposit Refund after check out.</t>
  </si>
  <si>
    <t xml:space="preserve">DC7DC243-E68C-4F46-843D-BDE88B5A05EE</t>
  </si>
  <si>
    <t xml:space="preserve">Booked by Kinal booked by Dhruv</t>
  </si>
  <si>
    <t xml:space="preserve">23 Apr 2024 at 7:00 PM to 24 Apr 2024 at 7:00 AM
12 Persons
Rent: ₹3500
Deposit: ₹2000
₹1000 received
Deposit Refund after check out.</t>
  </si>
  <si>
    <t xml:space="preserve">8EF08628-BDFE-4C6D-983B-11BBC5B92398</t>
  </si>
  <si>
    <t xml:space="preserve">Booked by Kenil</t>
  </si>
  <si>
    <t xml:space="preserve">Booking confirmed ✅ 
24 Apr 2024 at 9:00 AM to 24 Apr 2024 at 6:00 PM
4 Persons
Rent: ₹3000
Deposit: ₹2000
Deposit Refund after check out.</t>
  </si>
  <si>
    <t xml:space="preserve">95F12BC7-161D-40AD-8723-E48A901434B8</t>
  </si>
  <si>
    <t xml:space="preserve">Booked by Shreyansh</t>
  </si>
  <si>
    <t xml:space="preserve">24 Apr 2024 at 7:00 PM to 25 Apr 2024 at 6:00 AM
2 Persons
Rent: ₹3000
Deposit: ₹2000
₹2000 received
Deposit Refund after check out.</t>
  </si>
  <si>
    <t xml:space="preserve">62A87997-93E0-4B75-8DBF-383B2EE64DC5</t>
  </si>
  <si>
    <t xml:space="preserve">Booked by Dharmik</t>
  </si>
  <si>
    <t xml:space="preserve">Booking confirmed ✅ 
25 Apr 2024 at 7:00 PM to 26 Apr 2024 at 6:00 PM
10 Persons
Rent: ₹5000
Deposit: ₹2000
₹2000 received
Deposit Refund after check out.</t>
  </si>
  <si>
    <t xml:space="preserve">35D3BE19-4E27-4718-A8B8-88475F000205</t>
  </si>
  <si>
    <t xml:space="preserve">Booked by Harsh Kothari</t>
  </si>
  <si>
    <t xml:space="preserve">Booking confirmed ✅ 
26 Apr 2024 at 7:00 PM to 27 Apr 2024 at 6:00 PM
10 Persons
Rent: ₹4800
Deposit: ₹2000
₹2000 received
Deposit Refund after check out.</t>
  </si>
  <si>
    <t xml:space="preserve">9B2D3D5B-1E34-43BF-A566-F57A57431E5C</t>
  </si>
  <si>
    <t xml:space="preserve">Booked by Agent Yogesh</t>
  </si>
  <si>
    <t xml:space="preserve">27 Apr 2024 at 7:00 PM to 28 Apr 2024 at 6:00 PM
15 Persons
Rent: ₹9500
Deposit: ₹2000
₹3500 received
Deposit Refund after check out.</t>
  </si>
  <si>
    <t xml:space="preserve">6397A3E6-488D-49F9-97BF-5E0DA672F8E3</t>
  </si>
  <si>
    <t xml:space="preserve">Booked by Mahesh</t>
  </si>
  <si>
    <t xml:space="preserve">28 Apr 2024 at 7:00 PM to 29 Apr 2024 at 6:00 PM
15 Persons
Rent: ₹4000
Deposit: ₹2000
₹2000 received
Deposit Refund after check out.</t>
  </si>
  <si>
    <t xml:space="preserve">15FEA3A4-2D24-473E-8D87-3B884A455BEB</t>
  </si>
  <si>
    <t xml:space="preserve">Booked by Vadi Deep</t>
  </si>
  <si>
    <t xml:space="preserve">Booking confirmed ✅ 
29 Apr 2024 at 7:00 PM to 30 Apr 2024 at 6:00 PM
10 Persons
Rent: ₹5500
Deposit: ₹2000
₹2000 received
Deposit Refund after check out.</t>
  </si>
  <si>
    <t xml:space="preserve">00AB1AF3-A64E-46F0-AD06-24FC7EE88BC5</t>
  </si>
  <si>
    <t xml:space="preserve">Booked by Akshay</t>
  </si>
  <si>
    <t xml:space="preserve">Booking confirmed ✅ 
Farm number 11
30 Apr 2024 at 7:00 PM to 1 May 2024 at 6:00 PM
10 Persons
Rent: ₹5000
Deposit: ₹2000
₹2000 received
Deposit Refund after check out.</t>
  </si>
  <si>
    <t xml:space="preserve">B0B646D4-F4F9-417B-AE2B-8E7CA263D6E7</t>
  </si>
  <si>
    <t xml:space="preserve">Booked by agent sagar</t>
  </si>
  <si>
    <t xml:space="preserve">3 May 2024 at 7:00 AM to 3 May 2024 at 6:00 PM
10 Persons
Rent: ₹4000
Deposit: ₹2000
₹2000 received 
Deposit Refund after check out.</t>
  </si>
  <si>
    <t xml:space="preserve">B4C0E193-749F-4876-8BAC-C10B814E97EA</t>
  </si>
  <si>
    <t xml:space="preserve">Booked by Jatin</t>
  </si>
  <si>
    <t xml:space="preserve">Booking confirmed ✅ 
Castillo 11
3 May 2024 at 7:00 PM to 4 May 2024 at 6:00 PM
10 Persons
Rent: ₹5500
Deposit: ₹2000
₹2000 received
Deposit Refund after check out.</t>
  </si>
  <si>
    <t xml:space="preserve">75701642-E9F7-4AC4-8E6F-419ABAEB0E7B</t>
  </si>
  <si>
    <t xml:space="preserve">Booked by Kautik</t>
  </si>
  <si>
    <t xml:space="preserve">Booking confirmed ✅ 
Farm number 11
Castillo the Villa
4 May 2024 at 7:00 PM to 5 May 2024 at 6:00 PM
15 Persons
Rent: ₹12000
Deposit: ₹2000
Deposit Refund after check out.
₹4000 received</t>
  </si>
  <si>
    <t xml:space="preserve">E7A6CF6D-CBE1-444F-801A-DE02A698A9B3</t>
  </si>
  <si>
    <t xml:space="preserve">Booked bh Rajesh</t>
  </si>
  <si>
    <t xml:space="preserve">6 May 2024 at 7:00 AM to 6 May 2024 at 6:00 PM
15 Persons
Rent: ₹4000
Deposit: ₹2000
₹2000 received
Deposit Refund after check out.</t>
  </si>
  <si>
    <t xml:space="preserve">9F385715-E9CA-4306-9FF2-18CF73BB1155</t>
  </si>
  <si>
    <t xml:space="preserve">Booked by Jaydeep</t>
  </si>
  <si>
    <t xml:space="preserve">Farm number: 11
Castillo Villa
6 May 2024 at 7:00 PM to 7 May 2024 at 8:00 PM
12 Persons
Rent: ₹12000
Deposit: ₹2000
₹4000 received
Deposit Refund after check out.</t>
  </si>
  <si>
    <t xml:space="preserve">61994501-C13D-4D2E-AABD-4A03BAD1A935</t>
  </si>
  <si>
    <t xml:space="preserve">Booked by Bhumika</t>
  </si>
  <si>
    <t xml:space="preserve">Confirmed booking
Farm number 11
7 May 2024 at 7:00 PM to 8 May 2024 at 6:00 PM
Rent: 3000
6 Persons</t>
  </si>
  <si>
    <t xml:space="preserve">3BBC8A7C-A932-48F2-B542-9FE3A2A38A6D</t>
  </si>
  <si>
    <t xml:space="preserve">Booked by Harshil</t>
  </si>
  <si>
    <t xml:space="preserve">Castillo Villa - 11 number
8 May 2024 at 7:00 PM to 9 May 2024 at 6:00 PM
10 Persons
Rent: ₹5000
Deposit: ₹2000
₹2000 received 
Deposit Refund after check out.</t>
  </si>
  <si>
    <t xml:space="preserve">8366A529-CCC2-4274-8815-8F29EFA74D62</t>
  </si>
  <si>
    <t xml:space="preserve">Booked by Sagar</t>
  </si>
  <si>
    <t xml:space="preserve">Booking Confirmed ✅ 
Castillo Farm number 11
9 May 2024 at 7:00 PM to 10 May 2024 at 6:00 PM
15 Persons
Rent: ₹5500
Deposit: ₹2000
₹500 received 
Deposit Refund after check out.</t>
  </si>
  <si>
    <t xml:space="preserve">EF13FC37-F214-4681-88CF-376DE5BCFAFC</t>
  </si>
  <si>
    <t xml:space="preserve">Confirmed booking
Farm number 11
10 May 2024 at 7:00 PM to 11 May 2024 at 6:00 PM
14 Persons
Rent: ₹5000
Deposit: ₹2000
₹2000 received
Deposit Refund after check out.</t>
  </si>
  <si>
    <t xml:space="preserve">9B5FA94F-E378-4738-BD8F-93C2C8F49886</t>
  </si>
  <si>
    <t xml:space="preserve">Booked by Agent Shyam</t>
  </si>
  <si>
    <t xml:space="preserve">11 May 2024 at 7:00 PM to 12 May 2024 at 6:00 PM
8 Persons
Rent: ₹10000
Deposit: ₹2000
₹4000 received
Deposit Refund after check out.</t>
  </si>
  <si>
    <t xml:space="preserve">EA5A64D6-5616-4D68-850C-8D7972790313</t>
  </si>
  <si>
    <t xml:space="preserve">Booked by Jayanti</t>
  </si>
  <si>
    <t xml:space="preserve">Booking confirmed ✅ 
Castillo Farm number 11
12 May 2024 at 8:00 PM to 13 May 2024 at 6:00 PM
10 Persons
Rent: ₹5000
Deposit: ₹2000
₹2000 received
Deposit Refund after check out.</t>
  </si>
  <si>
    <t xml:space="preserve">4E3406FD-D46F-4D53-8BEB-A867B0F66708</t>
  </si>
  <si>
    <t xml:space="preserve">Booked by Babumama</t>
  </si>
  <si>
    <t xml:space="preserve">13 May 2024 at 7:00 PM to 14 May 2024 at 6:00 PM
15 Persons
Rent: ₹5000
Deposit: ₹2000
Deposit Refund after check out.</t>
  </si>
  <si>
    <t xml:space="preserve">995CA14B-9D60-4218-BEE5-5C4BB2B53132</t>
  </si>
  <si>
    <t xml:space="preserve">Booked by Tejas</t>
  </si>
  <si>
    <t xml:space="preserve">Booking confirmed ✅ 
14 May 2024 at 7:00 PM to 15 May 2024 at 6:00 PM
8 Persons
Rent: ₹5000
Deposit: ₹2000
₹2000 received 
Deposit Refund after check out.</t>
  </si>
  <si>
    <t xml:space="preserve">F4E56FB0-2249-456C-9782-5977C79B6CBF</t>
  </si>
  <si>
    <t xml:space="preserve">Booked by Dilip</t>
  </si>
  <si>
    <t xml:space="preserve">Booking confirmed ✅ 
15 May 2024 at 7:00 PM to 16 May 2024 at 6:00 PM
13 Persons
Rent: ₹5500
Deposit: ₹2000
₹2000 received
Deposit Refund after check out.</t>
  </si>
  <si>
    <t xml:space="preserve">CA55A72F-8167-4C13-A605-05BA9C46C3AD</t>
  </si>
  <si>
    <t xml:space="preserve">Booked by Neha</t>
  </si>
  <si>
    <t xml:space="preserve">17 May 2024 at 8:00 AM to 17 May 2024 at 6:00 PM
12 Persons
Rent: ₹4500
Deposit: ₹2000
₹2000 received
Deposit Refund after check out.</t>
  </si>
  <si>
    <t xml:space="preserve">D3E8B800-8A4F-4243-BC44-45E0DF9E3749</t>
  </si>
  <si>
    <t xml:space="preserve">Booked by Mohit</t>
  </si>
  <si>
    <t xml:space="preserve">17 May 2024 at 7:00 PM to 18 May 2024 at 6:00 PM
16 Persons
Rent: ₹5000
Deposit: ₹2000
₹2000 received
Deposit Refund after check out.</t>
  </si>
  <si>
    <t xml:space="preserve">AB1714CD-245B-4C46-B93A-12A3CDD9D1F1</t>
  </si>
  <si>
    <t xml:space="preserve">Booking Confirmed ✅
Farm number 11
18 May 2024 at 7:00 PM to 19 May 2024 at 6:00 PM
15 Persons
Rent: ₹13000
Deposit: ₹2000
₹5000 received 
Deposit Refund after check out.</t>
  </si>
  <si>
    <t xml:space="preserve">51E1DEC1-6588-451A-BA57-AA5F45EFCAF9</t>
  </si>
  <si>
    <t xml:space="preserve">Booked by Saurav</t>
  </si>
  <si>
    <t xml:space="preserve">Booiking confirmed ✅ 
19 May 2024 at 7:00 PM to 20 May 2024 at 6:00 PM
15 Persons
Rent: ₹6000
Deposit: ₹2000
₹2000 received
Deposit Refund after check out.</t>
  </si>
  <si>
    <t xml:space="preserve">AACFFA8F-9F21-4E1E-8CA0-F857987343AB</t>
  </si>
  <si>
    <t xml:space="preserve">Booked by Hitesh</t>
  </si>
  <si>
    <t xml:space="preserve">20 May 2024 at 7:00 PM to 21 May 2024 at 7:00 AM
10 Persons
Rent: ₹4000
Deposit: ₹2000
₹2000 received 
Deposit Refund after check out.</t>
  </si>
  <si>
    <t xml:space="preserve">4EF081AC-03E6-4C70-B40E-62A87BFD029B</t>
  </si>
  <si>
    <t xml:space="preserve">Booked by Hiten Jani</t>
  </si>
  <si>
    <t xml:space="preserve">21 May 2024 at 8:30 AM to 21 May 2024 at 6:00 PM
10 Persons
Rent: ₹3500
Deposit: ₹2000
Deposit Refund after check out.</t>
  </si>
  <si>
    <t xml:space="preserve">E9AF70EA-68FC-42B7-BA55-7A667DD5D282</t>
  </si>
  <si>
    <t xml:space="preserve">Booked by Viral</t>
  </si>
  <si>
    <t xml:space="preserve">21 May 2024 at 7:00 PM to 22 May 2024 at 6:00 PM
14 Persons
Rent: ₹5000
Deposit: ₹2000
₹2000 received 
Deposit Refund after check out.</t>
  </si>
  <si>
    <t xml:space="preserve">C042CE17-A2F9-4728-8E6A-5FFD75F92E13</t>
  </si>
  <si>
    <t xml:space="preserve">Booked by Arun mama</t>
  </si>
  <si>
    <t xml:space="preserve">Booking confirmed ✅ 
Farm number 11
22 May 2024 at 7:00 PM to 23 May 2024 at 6:00 PM
15 Persons
Rent: ₹3000</t>
  </si>
  <si>
    <t xml:space="preserve">2BCC9AE9-1634-4859-ACBC-EA81549FAFF6</t>
  </si>
  <si>
    <t xml:space="preserve">Booked by Dhaval</t>
  </si>
  <si>
    <t xml:space="preserve">Booking confirmed ✅ 
23 May 2024 at 7:00 PM to 24 May 2024 at 6:00 PM
15 Persons
Rent: ₹6000
Deposit: ₹2000
₹2000 received
Deposit Refund after check out.</t>
  </si>
  <si>
    <t xml:space="preserve">4B62FE51-800C-4C07-91FA-7241125E4DE0</t>
  </si>
  <si>
    <t xml:space="preserve">Booked by Vishal</t>
  </si>
  <si>
    <t xml:space="preserve">24 May 2024 at 7:00 PM to 25 May 2024 at 6:00 PM
12 Persons
Rent: ₹6000
Deposit: ₹2000
₹2000 received 
Deposit Refund after check out.</t>
  </si>
  <si>
    <t xml:space="preserve">3A94133F-4677-4CFC-9512-A1FD932BEAEF</t>
  </si>
  <si>
    <t xml:space="preserve">25 May 2024 at 7:00 PM to 26 May 2024 at 6:00 PM
15 Persons
Rent: ₹13000
Deposit: ₹2000
₹5000 received 
Deposit Refund after check out.</t>
  </si>
  <si>
    <t xml:space="preserve">85476EF7-38C4-495F-9B56-025A29953BFD</t>
  </si>
  <si>
    <t xml:space="preserve">Booked by Brindesh</t>
  </si>
  <si>
    <t xml:space="preserve">26 May 2024 at 8:00 PM to 27 May 2024 at 7:30 AM
8 Persons
Rent: ₹4000
Deposit: ₹2000
₹4000 received 
Deposit Refund after check out.</t>
  </si>
  <si>
    <t xml:space="preserve">CCC70311-D8D6-4DD7-9523-FD09ED09E2F8</t>
  </si>
  <si>
    <t xml:space="preserve">Masi na reference ma apyu</t>
  </si>
  <si>
    <t xml:space="preserve">Rent: ₹3000</t>
  </si>
  <si>
    <t xml:space="preserve">ED890E2C-DC25-4C1B-B19F-4B5AD68E6334</t>
  </si>
  <si>
    <t xml:space="preserve">Booked by Kishan</t>
  </si>
  <si>
    <t xml:space="preserve">27 May 2024 at 7:00 PM to 28 May 2024 at 6:00 PM
15 Persons
Rent: ₹5500
Deposit: ₹2000
₹2000 received 
Deposit Refund after check out.</t>
  </si>
  <si>
    <t xml:space="preserve">536C9028-2FFA-4781-8421-F8B5B5678BCF</t>
  </si>
  <si>
    <t xml:space="preserve">Booked by Piyush</t>
  </si>
  <si>
    <t xml:space="preserve">28 May 2024 at 7:00 PM to 29 May 2024 at 6:00 PM
10 Persons max
Rent: ₹5000
Deposit: ₹2000
₹2000 received 
Deposit Refund after check out.</t>
  </si>
  <si>
    <t xml:space="preserve">42D091C3-47F1-4BAD-A8FE-141E80D77D2A</t>
  </si>
  <si>
    <t xml:space="preserve">Booked by Drupal</t>
  </si>
  <si>
    <t xml:space="preserve">29 May 2024 at 7:00 PM to 30 May 2024 at 6:00 PM
4 Persons
Rent: ₹6000
Deposit: ₹2000
₹2000 received
Deposit Refund after check out.</t>
  </si>
  <si>
    <t xml:space="preserve">59660FE4-FAA5-49ED-9CC3-C6EAD85A2E02</t>
  </si>
  <si>
    <t xml:space="preserve">Booked by Shiv</t>
  </si>
  <si>
    <t xml:space="preserve">30 May 2024 at 7:00 PM to 31 May 2024 at 6:00 PM
18 Persons
Rent: ₹6000
Deposit: ₹2000
₹2000 received
Deposit Refund after check out.</t>
  </si>
  <si>
    <t xml:space="preserve">A704F376-E1AB-412F-B2B3-D2696F2D728E</t>
  </si>
  <si>
    <t xml:space="preserve">Booked by Jagdish</t>
  </si>
  <si>
    <t xml:space="preserve">31 May 2024 at 7:00 PM to 1 Jun 2024 at 6:00 PM
15 Persons
Rent: ₹6000
Deposit: ₹2000
₹2000 received
Deposit Refund after check out.</t>
  </si>
  <si>
    <t xml:space="preserve">06BB05E7-658A-4991-AC0C-D449271F86AA</t>
  </si>
  <si>
    <t xml:space="preserve">1 Jun 2024 at 7:00 PM to 2 Jun 2024 at 6:00 PM
12 Persons
Rent: ₹12000
Deposit: ₹2000
Deposit Refund after check out.</t>
  </si>
  <si>
    <t xml:space="preserve">E72E1911-46EC-4179-A016-5057A5145302</t>
  </si>
  <si>
    <t xml:space="preserve">Booked by Jenil</t>
  </si>
  <si>
    <t xml:space="preserve">Booking confirmed ✅ 
Farm number 11
2 Jun 2024 at 7:00 PM to 3 Jun 2024 at 6:00 PM
12 Persons
Rent: ₹5500
Deposit: ₹2000
₹2000 received 
Deposit Refund after check out.</t>
  </si>
  <si>
    <t xml:space="preserve">52E20280-B07F-4406-AF4F-EDAD8A442244</t>
  </si>
  <si>
    <t xml:space="preserve">Booked by Rakesh</t>
  </si>
  <si>
    <t xml:space="preserve">3 Jun 2024 at 7:00 PM to 4 Jun 2024 at 6:00 PM
12 Persons
Rent: ₹6000
Deposit: ₹2000
₹2000 received
Deposit Refund after check out.</t>
  </si>
  <si>
    <t xml:space="preserve">4D742CE5-420F-4E14-A058-7E1ED1D26A48</t>
  </si>
  <si>
    <t xml:space="preserve">Booked by Raj</t>
  </si>
  <si>
    <t xml:space="preserve">Booking confirmed ✅ 
Farm number 11
4 Jun 2024 at 7:00 PM to 5 Jun 2024 at 6:00 PM
15 Persons
Rent: ₹6000
Deposit: ₹2000
₹2000 received 
Deposit Refund after check out.</t>
  </si>
  <si>
    <t xml:space="preserve">390FCA4A-613C-4B5E-9C9E-15120834A554</t>
  </si>
  <si>
    <t xml:space="preserve">Bragaining Booked by Dhruv</t>
  </si>
  <si>
    <t xml:space="preserve">Booking confirmed ✅ 
Farm number 11
5 Jun 2024 at 7:00 PM to 6 Jun 2024 at 6:00 PM
13 Persons
Rent: ₹6000
Deposit: ₹2000
₹2000 received 
Deposit Refund after check out.</t>
  </si>
  <si>
    <t xml:space="preserve">9DD03D6F-170B-411B-8E2B-AAC477AB4460</t>
  </si>
  <si>
    <t xml:space="preserve">Booked by Mayur</t>
  </si>
  <si>
    <t xml:space="preserve">Booking confirmed ✅ 
Farm number 11
6 Jun 2024 at 7:00 PM to 7 Jun 2024 at 6:00 PM
15 Persons
Rent: ₹5500
Deposit: ₹2000
₹2000 received
Deposit Refund after check out.</t>
  </si>
  <si>
    <t xml:space="preserve">0359B32C-F3C8-44D4-9446-CA812AF76FF6</t>
  </si>
  <si>
    <t xml:space="preserve">Booked by farm 14</t>
  </si>
  <si>
    <t xml:space="preserve">7 Jun 2024 at 7:00 PM to 8 Jun 2024 at 6:00 PM
15 Persons
Rent: ₹5000
Deposit: ₹2000
₹2000 received
Deposit Refund after check out.</t>
  </si>
  <si>
    <t xml:space="preserve">51D8F72F-4F24-4041-B6DD-406B2C19118C</t>
  </si>
  <si>
    <t xml:space="preserve">Booked by Surjit</t>
  </si>
  <si>
    <t xml:space="preserve">Booking confirmed ✅ 
Farm number 11
8 Jun 2024 at 7:00 PM to 9 Jun 2024 at 6:00 PM
10 Persons
Rent: ₹13000
Deposit: ₹2000
₹5000 received
Deposit Refund after check out.</t>
  </si>
  <si>
    <t xml:space="preserve">6F8F15F2-9D68-4D0F-A1D3-6020CEA95FB8</t>
  </si>
  <si>
    <t xml:space="preserve">Booked by Renish</t>
  </si>
  <si>
    <t xml:space="preserve">Booking confirmed ✅ 
Farm number 11
9 Jun 2024 at 7:30 PM to 10 Jun 2024 at 6:00 PM
7 Persons
Rent: ₹5500
Deposit: ₹2000
₹2000 received 
Deposit Refund after check out.</t>
  </si>
  <si>
    <t xml:space="preserve">752CDBF3-2229-4445-B0B6-27815EE039C7</t>
  </si>
  <si>
    <t xml:space="preserve">Booked by Farm number 12</t>
  </si>
  <si>
    <t xml:space="preserve">Rent: 3000 rent</t>
  </si>
  <si>
    <t xml:space="preserve">BC5D5E19-1DA3-4058-97D5-9ED40977492B</t>
  </si>
  <si>
    <t xml:space="preserve">Booked by Yash</t>
  </si>
  <si>
    <t xml:space="preserve">Booking confirmed ✅ 
Farm number 11
11 Jun 2024 at 7:00 PM to 12 Jun 2024 at 6:00 PM
7 Persons
Rent: ₹5500
Deposit: ₹2000
₹2000 received
Deposit Refund after check out.</t>
  </si>
  <si>
    <t xml:space="preserve">65999C2C-DE76-45C4-A585-CFA559860B36</t>
  </si>
  <si>
    <t xml:space="preserve">12 Jun 2024 at 7:00 PM to 13 Jun 2024 at 6:00 PM
7 Persons
Rent: ₹5000
Deposit: ₹2000
₹2000 received 
Deposit Refund after check out.</t>
  </si>
  <si>
    <t xml:space="preserve">4161CE49-DC85-4366-8D91-D045FC0FFDE9</t>
  </si>
  <si>
    <t xml:space="preserve">Booked by Sanjay</t>
  </si>
  <si>
    <t xml:space="preserve">Booking confirmed ✅ 
Farm number 11
13 Jun 2024 at 7:00 PM to 14 Jun 2024 at 6:00 PM
10 Persons
Rent: ₹5500
Deposit: ₹2000
₹2000 received 
Deposit Refund after check out.</t>
  </si>
  <si>
    <t xml:space="preserve">17CB2D40-4A1E-4C4E-81CD-7C82C847BBC3</t>
  </si>
  <si>
    <t xml:space="preserve">Booked by Sunil</t>
  </si>
  <si>
    <t xml:space="preserve">Booking confirmed ✅ 
Farm number 11
14 Jun 2024 at 7:00 PM to 15 Jun 2024 at 6:00 PM
10 Persons
Rent: ₹6000
Deposit: ₹2000
₹2000 received
Deposit Refund after check out.</t>
  </si>
  <si>
    <t xml:space="preserve">4DE7A461-7B44-4CBE-9DC9-59D396941126</t>
  </si>
  <si>
    <t xml:space="preserve">Booked by farm 16</t>
  </si>
  <si>
    <t xml:space="preserve">15 Jun 2024 at 7:00 PM to 16 Jun 2024 at 7:00 AM
10 Persons
Rent: ₹3000
Deposit: ₹2000
Deposit Refund after check out.</t>
  </si>
  <si>
    <t xml:space="preserve">687A57EC-D24C-404D-84C7-BBA0442E63B8</t>
  </si>
  <si>
    <t xml:space="preserve">Booked by Rahul</t>
  </si>
  <si>
    <t xml:space="preserve">Booking confirmed ✅ 
Farm number 11
16 Jun 2024 at 8:30 AM to 16 Jun 2024 at 8:30 PM
20 Persons
Rent: ₹10000
Deposit: ₹2000
₹3000 received
Deposit Refund after check out.</t>
  </si>
  <si>
    <t xml:space="preserve">E290C881-A26B-4A88-A0C6-6E21EA254876</t>
  </si>
  <si>
    <t xml:space="preserve">Booked by Prakash</t>
  </si>
  <si>
    <t xml:space="preserve">Booking confirmed ✅ 
Farm number - 11
16 Jun 2024 at 7:00 PM to 17 Jun 2024 at 6:00 PM
14 Persons
Rent: ₹5500
Deposit: ₹2000
₹2000 received
Deposit Refund after check out.</t>
  </si>
  <si>
    <t xml:space="preserve">471ADB79-74B9-4496-9906-723DC329067A</t>
  </si>
  <si>
    <t xml:space="preserve">Booked by farm number 12 couple</t>
  </si>
  <si>
    <t xml:space="preserve">Rent: ₹2000</t>
  </si>
  <si>
    <t xml:space="preserve">CA4E6C31-AC8D-47D3-85A4-F1006563C074</t>
  </si>
  <si>
    <t xml:space="preserve">Booked by Nishant</t>
  </si>
  <si>
    <t xml:space="preserve">Booking confirmed ✅ 
Farm number 11
21 Jun 2024 at 7:00 AM to 21 Jun 2024 at 6:00 PM
12 Persons
Rent: ₹4000
Deposit: ₹2000
₹2000 received
Payment name: Sushil pandey
Deposit Refund after check out.</t>
  </si>
  <si>
    <t xml:space="preserve">C808DFC6-2AE6-41EE-8342-DEBD6D4B3D98</t>
  </si>
  <si>
    <t xml:space="preserve">Booked by Krupesh</t>
  </si>
  <si>
    <t xml:space="preserve">Booking confirmed ✅ 
Farm number 11
22 Jun 2024 at 7:00 AM to 22 Jun 2024 at 6:00 PM
4 Persons
Rent: ₹3200
Deposit: ₹1000
₹2000 received 
Deposit Refund after check out.</t>
  </si>
  <si>
    <t xml:space="preserve">EDB34C04-EF5F-4964-85EB-4CC670093093</t>
  </si>
  <si>
    <t xml:space="preserve">Booked by Jinash</t>
  </si>
  <si>
    <t xml:space="preserve">Booking confirmed ✅
Farm number 11
22 Jun 2024 at 7:00 PM to 23 Jun 2024 at 6:00 PM
10 Persons
Rent: ₹7000
Deposit: ₹2000
₹3000 received 
Deposit Refund after check out.</t>
  </si>
  <si>
    <t xml:space="preserve">134AB389-55A6-497E-BFE9-F796228094C4</t>
  </si>
  <si>
    <t xml:space="preserve">Booked by Tushar</t>
  </si>
  <si>
    <t xml:space="preserve">Booking confirmed ✅ 
Farm number 11
23 Jun 2024 at 7:30 PM to 24 Jun 2024 at 7:30 PM
9 Persons
Rent: ₹3300
Deposit: ₹2000
₹1000 received
Deposit Refund after check out.</t>
  </si>
  <si>
    <t xml:space="preserve">358D88FA-363A-46D5-89DF-DE19260750A3</t>
  </si>
  <si>
    <t xml:space="preserve">Booked by Pankaj</t>
  </si>
  <si>
    <t xml:space="preserve">Booking confirmed ✅ 
Farm number 11
24 Jun 2024 at 8:00 PM to 25 Jun 2024 at 8:00 AM
10 Persons
Rent: ₹3000
Deposit: ₹2000
₹2000 received
Deposit Refund after check out.</t>
  </si>
  <si>
    <t xml:space="preserve">99E96F5E-BC7E-4402-9159-DB3BBA4E1F28</t>
  </si>
  <si>
    <t xml:space="preserve">booked by Jay</t>
  </si>
  <si>
    <t xml:space="preserve">Rent: ₹700</t>
  </si>
  <si>
    <t xml:space="preserve">D122723C-21FF-47A0-B3A2-10755C8E0E5E</t>
  </si>
  <si>
    <t xml:space="preserve">Booking confirmed ✅ 
Farm number 11
29 Jun 2024 at 9:00 AM to 29 Jun 2024 at 6:00 PM
4 Persons
Rent: ₹3000
Deposit: ₹1000
₹500 received
Deposit Refund after check out.</t>
  </si>
  <si>
    <t xml:space="preserve">AB052474-CF78-460D-9DC2-9A1C795C5499</t>
  </si>
  <si>
    <t xml:space="preserve">booked by farm number 12</t>
  </si>
  <si>
    <t xml:space="preserve">Rent: ₹6000</t>
  </si>
  <si>
    <t xml:space="preserve">B0118BBD-1EED-4D6F-840B-2ACF8AA7F825</t>
  </si>
  <si>
    <t xml:space="preserve">Booked by Mahendra</t>
  </si>
  <si>
    <t xml:space="preserve">Booking confirmed ✅ 
Farm number 11
1 Jul 2024 at 10:00 AM to 1 Jul 2024 at 6:00 PM
2 Persons
Rent: ₹2500
Deposit: ₹1000
₹1000 received 
Deposit Refund after check out.</t>
  </si>
  <si>
    <t xml:space="preserve">7999DABB-5A17-4CE9-8BBE-111DAB0B0426</t>
  </si>
  <si>
    <t xml:space="preserve">Booked by Parth</t>
  </si>
  <si>
    <t xml:space="preserve">Booking confirmed ✅ 
Farm number 11
2 Jul 2024 at 8:00 AM to 2 Jul 2024 at 6:00 PM
6 Persons
Rent: ₹3000
Deposit: ₹2000
₹1000 received
Deposit Refund after check out.</t>
  </si>
  <si>
    <t xml:space="preserve">C2BCFB19-754B-41BF-A11C-F14A872E0404</t>
  </si>
  <si>
    <t xml:space="preserve">Booking confirmed ✅ 
Farm number 11
3 Jul 2024 at 7:00 PM to 4 Jul 2024 at 8:00 AM
10 Persons
Rent: ₹3000
Deposit: ₹1000
Whole payment received 
Deposit Refund after check out.</t>
  </si>
  <si>
    <t xml:space="preserve">31ABDF79-36EA-4FA2-99FA-128D72E0E543</t>
  </si>
  <si>
    <t xml:space="preserve">Booked by Rensi</t>
  </si>
  <si>
    <t xml:space="preserve">Booking confirmed ✅ 
5 Jul 2024 at 8:00 AM to 5 Jul 2024 at 5:00 PM
2 Persons
Rent: ₹2500
Deposit: ₹1000
₹1000 received
Deposit Refund after check out.</t>
  </si>
  <si>
    <t xml:space="preserve">19C77314-ADC9-471A-82DA-D087B7A36B45</t>
  </si>
  <si>
    <t xml:space="preserve">Booked by Rishi</t>
  </si>
  <si>
    <t xml:space="preserve">Booking confirmed
Farm number 11
6 Jul 2024 at 7:00 PM to 7 Jul 2024 at 6:00 PM
10 Persons
Rent: ₹5500
Deposit: ₹2000
₹2500 received
Deposit Refund after check out.</t>
  </si>
  <si>
    <t xml:space="preserve">C0210B6E-D5CE-4B57-9C51-A0D46B07A55C</t>
  </si>
  <si>
    <t xml:space="preserve">Booked by Brijesh</t>
  </si>
  <si>
    <t xml:space="preserve">Booking confirmed ✅ 
Farm number 11
10 Jul 2024 at 7:00 AM to 10 Jul 2024 at 6:00 PM
2 Persons
Rent: ₹2500
Deposit: ₹1000
₹1000 received 
Deposit Refund after check out.</t>
  </si>
  <si>
    <t xml:space="preserve">4D178417-5309-4DA2-A593-55D606C64DC0</t>
  </si>
  <si>
    <t xml:space="preserve">Booked by Krushit</t>
  </si>
  <si>
    <t xml:space="preserve">Booking confirmed ✅ 
Farm number 11
11 Jul 2024 at 7:00 AM to 11 Jul 2024 at 6:00 PM
2 Persons - With swimming pool
Rent: ₹2500
Deposit: ₹1000
₹1000 received
Deposit Refund after check out.</t>
  </si>
  <si>
    <t xml:space="preserve">EC7F628A-C667-4B4C-9135-DC86315B822C</t>
  </si>
  <si>
    <t xml:space="preserve">53F235FF-6635-4AC7-9AF3-8A63B43342E5</t>
  </si>
  <si>
    <t xml:space="preserve">Booked by Neha farm 12</t>
  </si>
  <si>
    <t xml:space="preserve">13 Jul 2024 at 7:00 PM to 14 Jul 2024 at 6:00 PM
10 Persons
Rent: ₹4500</t>
  </si>
  <si>
    <t xml:space="preserve">5B53D1E5-2B0D-4A49-877B-75C168BC41F3</t>
  </si>
  <si>
    <t xml:space="preserve">Booked by Bhautik</t>
  </si>
  <si>
    <t xml:space="preserve">Booking confirmed ✅ 
Farm number 11
17 Jul 2024 at 9:00 AM to 17 Jul 2024 at 6:00 PM
4 Persons
Rent: ₹3000
Deposit: ₹1000
₹1000 received 
Deposit Refund after check out.</t>
  </si>
  <si>
    <t xml:space="preserve">19553061-AA3D-4538-80BB-DD12D2C0FD1D</t>
  </si>
  <si>
    <t xml:space="preserve">Booked by Nirmal</t>
  </si>
  <si>
    <t xml:space="preserve">Booking confirmed ✅ 
Farm number 11
18 Jul 2024 at 9:00 AM to 18 Jul 2024 at 6:00 PM
2 Persons
Rent: ₹2000
Deposit: ₹1000
Received ₹1000
Deposit Refund after check out.</t>
  </si>
  <si>
    <t xml:space="preserve">8C1EC2CE-D05F-4708-97DC-1D1D0ED7E6EE</t>
  </si>
  <si>
    <t xml:space="preserve">Booked by Rushabh</t>
  </si>
  <si>
    <t xml:space="preserve">Booking confirmed ✅ 
Farm number 11
19 Jul 2024 at 8:00 AM to 19 Jul 2024 at 6:00 PM
7 Persons
Rent: ₹3000
Deposit: ₹1000
Received: ₹1000
Deposit Refund after check out.</t>
  </si>
  <si>
    <t xml:space="preserve">80EA1640-379B-4B2A-A062-71680AB19B75</t>
  </si>
  <si>
    <t xml:space="preserve">Booked by bhautik</t>
  </si>
  <si>
    <t xml:space="preserve">Booking confirmed ✅ 
Farm number 11
24 Jul 2024 at 9:00 AM to 24 Jul 2024 at 6:00 PM
2 Persons
Rent: ₹2000
Deposit: ₹1000
₹1000 received 
Deposit Refund after check out.</t>
  </si>
  <si>
    <t xml:space="preserve">A05DEF65-481F-4F49-94BB-3F82F1602B5C</t>
  </si>
  <si>
    <t xml:space="preserve">Booked by Sneha</t>
  </si>
  <si>
    <t xml:space="preserve">Booking confirmed ✅ 
Farm number 11
26 Jul 2024 at 10:00 AM to 26 Jul 2024 at 10:00 PM
22 Persons
Rent: ₹3500
Deposit: ₹1000
₹1000 received
Deposit Refund after check out.</t>
  </si>
  <si>
    <t xml:space="preserve">93B3BCB2-A5D6-4B54-AE2B-C6AAC5DCDAD9</t>
  </si>
  <si>
    <t xml:space="preserve">Booking by Meet</t>
  </si>
  <si>
    <t xml:space="preserve">Booking confirmed ✅ 
Farm number 11
27 Jul 2024 at 9:00 AM to 27 Jul 2024 at 6:00 PM
4 Persons
Rent: ₹2500
Deposit: ₹1000
Without Pool
₹1000 received 
Deposit Refund after check out.</t>
  </si>
  <si>
    <t xml:space="preserve">0622DC48-BCFF-444B-9D92-929205CF3BBD</t>
  </si>
  <si>
    <t xml:space="preserve">Booking confirmed ✅ 
Farm number 11
27 Jul 2024 at 7:00 PM to 28 Jul 2024 at 6:00 PM
4 Persons
Rent: ₹5000
Deposit: ₹2000
₹2000 received
Deposit Refund after check out.</t>
  </si>
  <si>
    <t xml:space="preserve">6AD56289-D5FD-41E4-88B5-FCB9457D0185</t>
  </si>
  <si>
    <t xml:space="preserve">Rent: 1000 rent</t>
  </si>
  <si>
    <t xml:space="preserve">31CD2AF8-462C-46CD-A095-83297177AFA8</t>
  </si>
  <si>
    <t xml:space="preserve">Booked by Vivek</t>
  </si>
  <si>
    <t xml:space="preserve">30 Jul 2024 at 8:00 AM to 30 Jul 2024 at 6:00 PM
2 Persons
Rent: ₹1500
Deposit: ₹1000
Deposit Refund after check out.</t>
  </si>
  <si>
    <t xml:space="preserve">F63ECC50-9E0E-4731-8F0B-26AF28B14B73</t>
  </si>
  <si>
    <t xml:space="preserve">Booking confirmed ✅ 
Farm number 11
31 Jul 2024 at 7:00 PM to 1 Aug 2024 at 6:00 AM
3 Persons - Without pool
Rent: ₹2000
Deposit: ₹1000
₹500 received 
Deposit Refund after check out.</t>
  </si>
  <si>
    <t xml:space="preserve">F0E7564E-6963-4F92-8282-68F734E6ADE6</t>
  </si>
  <si>
    <t xml:space="preserve">Farm number 11
Booking confirmed ✅ 
1 Aug 2024 at 8:00 AM to 1 Aug 2024 at 6:00 PM
2 Persons
Rent: ₹2500
Deposit: ₹1000
₹1000 received
Deposit Refund after check out.</t>
  </si>
  <si>
    <t xml:space="preserve">758481E8-62C5-4BB5-AE6F-2EC550B54C75</t>
  </si>
  <si>
    <t xml:space="preserve">Rent: 1500 rent</t>
  </si>
  <si>
    <t xml:space="preserve">67A96056-29D3-4EA1-9C67-FB5F6C9B283E</t>
  </si>
  <si>
    <t xml:space="preserve">Booking confirmed ✅ 
Farm number 11
6 Aug 2024 at 8:00 AM to 6 Aug 2024 at 6:00 PM
6 Persons
Rent: ₹3000
Deposit: ₹2000
₹1000 received
Deposit Refund after check out.</t>
  </si>
  <si>
    <t xml:space="preserve">0E063FBE-76CA-4FA8-8D4F-FE4A9215D3E9</t>
  </si>
  <si>
    <t xml:space="preserve">Booked by Aniket</t>
  </si>
  <si>
    <t xml:space="preserve">Booking Confirmed ✅
Farm number 11
3 Aug 2024 at 7:00 PM to 4 Aug 2024 at 6:00 PM
7 Persons
Rent: ₹3000
Deposit: ₹2000
₹2000 received
Deposit Refund after check out.</t>
  </si>
  <si>
    <t xml:space="preserve">0AEB83F2-8486-490E-8048-3D7BBBDBB74B</t>
  </si>
  <si>
    <t xml:space="preserve">Booked by agent vinay</t>
  </si>
  <si>
    <t xml:space="preserve">90AB28F2-154E-46AF-8BE9-68B97B838ABC</t>
  </si>
  <si>
    <t xml:space="preserve">Booked by Ram</t>
  </si>
  <si>
    <t xml:space="preserve">Booking confirmed ✅ 
Farm number 11
7 Aug 2024 at 12:00 PM to 8 Aug 2024 at 11:00 AM
10 Persons
Rent: ₹3500
Deposit: ₹1000
₹500 received
Deposit Refund after check out.</t>
  </si>
  <si>
    <t xml:space="preserve">92BD52DB-0E9D-4CDB-BA04-79DEFC423E50</t>
  </si>
  <si>
    <t xml:space="preserve">Booked by Sunita</t>
  </si>
  <si>
    <t xml:space="preserve">Booking confirmed ✅ 
Farm number 11
11 Aug 2024 at 8:00 PM to 12 Aug 2024 at 10:00 AM
12 Persons
Rent: ₹3000
Deposit: ₹2000
Deposit Refund after check out.
₹2000 received</t>
  </si>
  <si>
    <t xml:space="preserve">54BBA496-0103-452B-AED7-7ED8D291B718</t>
  </si>
  <si>
    <t xml:space="preserve">Booked by farm number 12</t>
  </si>
  <si>
    <t xml:space="preserve">Rent: ₹1000</t>
  </si>
  <si>
    <t xml:space="preserve">1EF1BD59-E453-4131-8237-53F651DEA44A</t>
  </si>
  <si>
    <t xml:space="preserve">Booking confirmed ✅ 
Farm number 11
14 Aug 2024 at 8:00 AM to 14 Aug 2024 at 6:45 PM
15 Persons
Rent: ₹3000
Deposit: ₹1000
Deposit Refund after check out.
₹1000 received</t>
  </si>
  <si>
    <t xml:space="preserve">94491407-E761-496E-83D5-6228DD14E8A9</t>
  </si>
  <si>
    <t xml:space="preserve">Booked by Ranjan</t>
  </si>
  <si>
    <t xml:space="preserve">Booking Confirmed ✅ 
Farm number 11
14 Aug 2024 at 7:00 PM to 15 Aug 2024 at 7:00 AM
12 Persons
Rent: ₹500
booking cancelled
₹500 received
Deposit Refund after check out.</t>
  </si>
  <si>
    <t xml:space="preserve">8114D78A-8A72-4884-909C-04B585F600DD</t>
  </si>
  <si>
    <t xml:space="preserve">Booked by Agent Vinay</t>
  </si>
  <si>
    <t xml:space="preserve">E24E4F5D-2EAC-4C97-8F25-8C615F99966E</t>
  </si>
  <si>
    <t xml:space="preserve">17 Aug 2024 at 12:00 PM to 17 Aug 2024 at 6:00 PM
2 Persons
Rent: ₹1200
Deposit: ₹1000
₹1000 received
Deposit Refund after check out.</t>
  </si>
  <si>
    <t xml:space="preserve">BF0548EC-9F3F-414C-802E-A209F116AF49</t>
  </si>
  <si>
    <t xml:space="preserve">Booked by Jaysukh</t>
  </si>
  <si>
    <t xml:space="preserve">Booking confirmed ✅ 
Farm numbr 11
18 Aug 2024 at 7:00 PM to 19 Aug 2024 at 6:00 PM
15 Persons
Rent: ₹4500
Deposit: ₹1000
₹1000 received
Deposit Refund after check out.</t>
  </si>
  <si>
    <t xml:space="preserve">281E372F-20AB-4A78-80C0-593B7398B6F5</t>
  </si>
  <si>
    <t xml:space="preserve">19FF649D-DDBE-4964-9548-DD644B0623B1</t>
  </si>
  <si>
    <t xml:space="preserve">Booked by Aman singh</t>
  </si>
  <si>
    <t xml:space="preserve">Booking confirmed ✅ 
Farm number 11
20 Aug 2024 at 7:00 PM to 22 Aug 2024 at 6:00 PM
4 Persons
Rent: ₹6500
Deposit: ₹2000
₹1000 received 
Deposit Refund after check out.</t>
  </si>
  <si>
    <t xml:space="preserve">AD78522B-F867-41C8-A2F5-40041033B91D</t>
  </si>
  <si>
    <t xml:space="preserve">Booked by Hemant</t>
  </si>
  <si>
    <t xml:space="preserve">Booking confirmed ✅ 
Farm number 11
23 Aug 2024 at 9:00 PM to 24 Aug 2024 at 9:00 AM
7 Persons
Rent: ₹2500
Deposit: ₹1000
₹1000 received
Deposit Refund after check out.</t>
  </si>
  <si>
    <t xml:space="preserve">4CD60A4D-5770-40EE-A386-5DE89B403A1E</t>
  </si>
  <si>
    <t xml:space="preserve">Rent: ₹500</t>
  </si>
  <si>
    <t xml:space="preserve">B1C6C40B-F5D5-4AC4-8460-F9CC12E419D9</t>
  </si>
  <si>
    <t xml:space="preserve">Booked by Uttam</t>
  </si>
  <si>
    <t xml:space="preserve">24 Aug 2024 at 7:00 PM to 25 Aug 2024 at 7:00 PM
15 Persons
Rent: ₹4000
Deposit: ₹1000
Deposit Refund after check out.</t>
  </si>
  <si>
    <t xml:space="preserve">DCAAA1B4-1972-4105-B1F4-B3B05A020A4A</t>
  </si>
  <si>
    <t xml:space="preserve">Booking confirmed ✅ 
27 Aug 2024 at 8:00 AM to 27 Aug 2024 at 6:00 PM
4 Persons without pool
Rent: ₹2500
Deposit: ₹1000
₹500 received
Deposit Refund after check out.</t>
  </si>
  <si>
    <t xml:space="preserve">2F30FC8C-5050-466F-BF77-D6C44F58A5AD</t>
  </si>
  <si>
    <t xml:space="preserve">1379520C-F63C-4E65-8BA9-2E0904894C9D</t>
  </si>
  <si>
    <t xml:space="preserve">Booked by Mahek</t>
  </si>
  <si>
    <t xml:space="preserve">Booking confirmed ✅ 
Farm number 11
30 Aug 2024 at 9:00 AM to 30 Aug 2024 at 6:00 PM
4 Persons
Rent: ₹2500 with swimming pool
Deposit: ₹1000
₹3500 received
Deposit Refund after check out.</t>
  </si>
  <si>
    <t xml:space="preserve">6CCDEBEF-9921-4B3D-A08A-603B44DA32BC</t>
  </si>
  <si>
    <t xml:space="preserve">Booking confirmed ✅ 
Farm number 11
31 Aug 2024 at 9:00 AM to 31 Aug 2024 at 6:00 PM
4 Persons
Rent: ₹3000
Deposit: ₹1000
₹1000 received
Deposit Refund after check out.</t>
  </si>
  <si>
    <t xml:space="preserve">8AE601E8-7033-447F-855B-858D6DAA8CEF</t>
  </si>
  <si>
    <t xml:space="preserve">Booked by Agent Neha</t>
  </si>
  <si>
    <t xml:space="preserve">Rent: ₹2700</t>
  </si>
  <si>
    <t xml:space="preserve">22121985-DBB2-4889-A094-BDCDA62BBEDA</t>
  </si>
  <si>
    <t xml:space="preserve">Booked by Atul</t>
  </si>
  <si>
    <t xml:space="preserve">Booking confirmed ✅ 
Farm number 11
3 Sep 2024 at 10:00 AM to 3 Sep 2024 at 5:00 PM
15 Persons
Rent: ₹2500
Deposit: ₹2000
Deposit Refund after check out.
₹2000 received</t>
  </si>
  <si>
    <t xml:space="preserve">6A892314-9427-4766-AF55-E33C6EAFAE65</t>
  </si>
  <si>
    <t xml:space="preserve">Booking confirmed ✅ 
5 Sep 2024 at 8:00 AM to 5 Sep 2024 at 6:00 PM
2 Persons
Rent: ₹1000</t>
  </si>
  <si>
    <t xml:space="preserve">01082ECC-249E-4276-AD59-DE5306C30B9E</t>
  </si>
  <si>
    <t xml:space="preserve">Booked by santosh</t>
  </si>
  <si>
    <t xml:space="preserve">Booking confirmed ✅ 
Farm number 11
6 Sep 2024 at 9:00 AM to 6 Sep 2024 at 6:00 PM
2 Persons
Rent: ₹2000
Deposit: ₹1000
₹1000 received
Deposit Refund after check out.</t>
  </si>
  <si>
    <t xml:space="preserve">6FF3483D-36A7-45D3-887B-1835B160B061</t>
  </si>
  <si>
    <t xml:space="preserve">7 Sep 2024 at 12:00 PM to 7 Sep 2024 at 6:00 PM
2 Persons
Rent: ₹1500
Deposit: ₹1000
Deposit Refund after check out.</t>
  </si>
  <si>
    <t xml:space="preserve">E75450C0-66E4-4CC1-B35D-71CFB635118E</t>
  </si>
  <si>
    <t xml:space="preserve">Booked by Hitesh and Shakti sinh</t>
  </si>
  <si>
    <t xml:space="preserve">Booking confirmed ✅ 
Farm number 11
7 Sep 2024 at 8:00 PM to 8 Sep 2024 at 8:00 AM
8 Persons
Rent: ₹2500
Deposit: ₹1000 cash gate
₹1000 received
Deposit Refund after check out.</t>
  </si>
  <si>
    <t xml:space="preserve">79A715B4-9E33-4F0F-A3F0-5543E021594F</t>
  </si>
  <si>
    <t xml:space="preserve">Booked by Arjun</t>
  </si>
  <si>
    <t xml:space="preserve">Booking confirmed ✅ 
Farm number 11
9 Sep 2024 at 9:00 AM to 9 Sep 2024 at 6:00 PM
2 Persons
Rent: ₹2000
Deposit: ₹1000
₹2000 received, ₹1000 pending
Deposit Refund after check out.</t>
  </si>
  <si>
    <t xml:space="preserve">5136B033-9C10-41D4-B3AC-EAD11064BA7C</t>
  </si>
  <si>
    <t xml:space="preserve">10 Sep 2024 at 10:00 AM to 10 Sep 2024 at 4:00 PM
2 Persons
Rent: ₹1000</t>
  </si>
  <si>
    <t xml:space="preserve">D4EE3A60-950C-4105-AC85-19E67AE10348</t>
  </si>
  <si>
    <t xml:space="preserve">Booked by Keyur</t>
  </si>
  <si>
    <t xml:space="preserve">Booking confirmed ✅ 
Farm number 11
12 Sep 2024 at 6:00 AM to 12 Sep 2024 at 3:00 PM
3 Persons
Rent: ₹1500
Deposit: ₹1000
- No Swimming pool
- ⁠No Wall Decorations
- ⁠Self Cleaning for Decoration
Deposit Refund after check out.
Whole payment+deposit pending</t>
  </si>
  <si>
    <t xml:space="preserve">BB44BCA7-1EF9-4785-988D-D0E1D34DC503</t>
  </si>
  <si>
    <t xml:space="preserve">Booked by Sonu</t>
  </si>
  <si>
    <t xml:space="preserve">Booking confirmed ✅
Farm number 11
13 Sep 2024 at 11:00 AM to 13 Sep 2024 at 5:00 PM
2 Persons
Rent: ₹1500
Deposit: ₹1000
₹500 received 
Deposit Refund after check out.</t>
  </si>
  <si>
    <t xml:space="preserve">A5021C1C-B4F2-4940-AE67-6A5AF8016E64</t>
  </si>
  <si>
    <t xml:space="preserve">Booking confirmed ✅
Farm number 11
13 Sep 2024 at 8:00 PM to 14 Sep 2024 at 8:00 AM
5 Persons
Rent: ₹2500
Deposit: ₹1000
₹1000 received
Deposit Refund after check out.</t>
  </si>
  <si>
    <t xml:space="preserve">EB065C0B-3F40-4F0E-BC71-58AD1254DEF0</t>
  </si>
  <si>
    <t xml:space="preserve">Booked by Ravi</t>
  </si>
  <si>
    <t xml:space="preserve">Booking confirmed ✅ 
Farm number 11
14 Sep 2024 at 8:00 PM to 15 Sep 2024 at 8:00 AM
8 Persons
Rent: ₹2800
Deposit: ₹1000
Deposit Refund after check out.
₹2800 received</t>
  </si>
  <si>
    <t xml:space="preserve">A23AB745-42A3-4806-BDF6-D212963917A2</t>
  </si>
  <si>
    <t xml:space="preserve">Booked by Bhavik</t>
  </si>
  <si>
    <t xml:space="preserve">Booking confirmed ✅ 
Farm number 11
17 Sep 2024 at 9:00 AM to 17 Sep 2024 at 6:00 PM
4 Persons
Rent: ₹2200
Deposit: ₹1000
₹1000 received
Deposit Refund after check out.</t>
  </si>
  <si>
    <t xml:space="preserve">B2C35D6D-7FE5-4710-BECA-833E55F58726</t>
  </si>
  <si>
    <t xml:space="preserve">Booked by Pruthvi</t>
  </si>
  <si>
    <t xml:space="preserve">Booking confirmed ✅ 
Farm number 11
19 Sep 2024 at 9:00 AM to 19 Sep 2024 at 6:00 PM
5 Persons
Rent: ₹2500
Deposit: ₹1000
₹1000 received
Deposit Refund after check out.</t>
  </si>
  <si>
    <t xml:space="preserve">5B651069-4106-4798-A884-CB64CB163B94</t>
  </si>
  <si>
    <t xml:space="preserve">Booked by Anshuma</t>
  </si>
  <si>
    <t xml:space="preserve">Booking confirmed ✅ 
Farm number 11
20 Sep 2024 at 9:00 AM to 20 Sep 2024 at 6:00 PM
2 Persons without pool
Rent: ₹1500
Deposit: ₹1000
₹1000 received
Deposit Refund after check out.</t>
  </si>
  <si>
    <t xml:space="preserve">E20704C7-1395-4160-B1AA-8CA12E140FB0</t>
  </si>
  <si>
    <t xml:space="preserve">Booked by Nikunj</t>
  </si>
  <si>
    <t xml:space="preserve">Booking confirmed ✅
Farm number 11
21 Sep 2024 at 9:00 AM to 21 Sep 2024 at 6:00 PM
2 Persons
Rent: ₹1500 without pool
Deposit: ₹1000
₹500 received
Deposit Refund after check out.</t>
  </si>
  <si>
    <t xml:space="preserve">D02FD98B-B712-4CE6-BA7B-B6694AD89CB4</t>
  </si>
  <si>
    <t xml:space="preserve">Booked by Dinkey</t>
  </si>
  <si>
    <t xml:space="preserve">Booking confirmed ✅ 
Farm number 11
22 Sep 2024 at 10:00 AM to 22 Sep 2024 at 9:00 PM
8 Persons
Rent: ₹3500
Deposit: ₹1000
₹1000 received
Deposit Refund after check out.</t>
  </si>
  <si>
    <t xml:space="preserve">78C988D6-534F-4AAC-A0E3-B09E44C9A260</t>
  </si>
  <si>
    <t xml:space="preserve">Booked by Jemin</t>
  </si>
  <si>
    <t xml:space="preserve">Booking confirmed ✅ 
Farm number 11
24 Sep 2024 at 9:00 AM to 24 Sep 2024 at 6:00 PM
4 Persons
Rent: ₹2000
Deposit: ₹1000
₹1000 received
Deposit Refund after check out.</t>
  </si>
  <si>
    <t xml:space="preserve">C15CAEA5-8FDC-4C4A-8705-EB5E435F20EB</t>
  </si>
  <si>
    <t xml:space="preserve">Booking confirmed ✅ 
Farm number 11
25 Sep 2024 at 8:00 PM to 26 Sep 2024 at 8:00 AM
9 Persons
Rent: ₹2500
Deposit: ₹1000
₹500 received
Deposit Refund after check out.</t>
  </si>
  <si>
    <t xml:space="preserve">C7893090-395F-4D8C-A5F9-5EF5572121B5</t>
  </si>
  <si>
    <t xml:space="preserve">Booked by Rohit</t>
  </si>
  <si>
    <t xml:space="preserve">Booking confirmed ✅ 
Farm number 11
28 Sep 2024 at 7:00 PM to 29 Sep 2024 at 7:00 PM
15 Persons
Rent: ₹4500
Deposit: ₹2000
₹1000 received
Deposit Refund after check out.</t>
  </si>
  <si>
    <t xml:space="preserve">153D4EB2-9B9E-46D6-9881-A57069D5FCFA</t>
  </si>
  <si>
    <t xml:space="preserve">Booked by Paras</t>
  </si>
  <si>
    <t xml:space="preserve">Booking confirmed ✅ 
Farm number 11
30 Sep 2024 at 11:00 PM to 30 Sep 2024 at 4:00 PM
2 Persons without pool
Rent: ₹1200
Deposit: ₹1000
₹500 received
Deposit Refund after check out.</t>
  </si>
  <si>
    <t xml:space="preserve">426E4B30-3E65-49AA-9E3D-962266AB04B9</t>
  </si>
  <si>
    <t xml:space="preserve">Booked by Deep</t>
  </si>
  <si>
    <t xml:space="preserve">3 Oct 2024 at 4:30 PM to 4 Oct 2024 at 8:00 AM
2 Persons without swimming pool
Rent: ₹2200
Deposit: ₹1000
₹1000 deposit received
Deposit Refund after check out.</t>
  </si>
  <si>
    <t xml:space="preserve">001CB7E9-AC2F-4E6D-98F4-3CF5B87D33A9</t>
  </si>
  <si>
    <t xml:space="preserve">Booking confirmed ✅ 
5 Oct 2024 at 9:00 AM to 5 October 2024 at 6:00 PM
2 Persons without pool
Rent: ₹2000
Deposit: ₹1000
₹300 received
Deposit Refund after check out.</t>
  </si>
  <si>
    <t xml:space="preserve">0824765C-2868-4365-A76B-934C61A1943C</t>
  </si>
  <si>
    <t xml:space="preserve">Booked by Drupad</t>
  </si>
  <si>
    <t xml:space="preserve">Booking confirmed ✅ 
Farm number 11
5 Oct 2024 at 7:00 PM to 6 Oct 2024 at 7:00 PM
10 Persons
Rent: ₹4500
Deposit: ₹2000
₹2000 received 
Deposit Refund after check out.</t>
  </si>
  <si>
    <t xml:space="preserve">BED71311-0FD8-4E75-92DF-D590E1C15812</t>
  </si>
  <si>
    <t xml:space="preserve">Booked by Ketan/Sailesh</t>
  </si>
  <si>
    <t xml:space="preserve">Booking confirmed ✅ 
Farm number 11
10 Oct 2024 at 10:00 PM to 11 Oct 2024 at 5:00 AM
2 Persons
Rent: ₹2000
Deposit: ₹1000
₹1000 received
Deposit Refund after check out.</t>
  </si>
  <si>
    <t xml:space="preserve">86A77819-CF52-445B-B843-9E707FAF1404</t>
  </si>
  <si>
    <t xml:space="preserve">Booking confirmed ✅ 
Farm number 11
11 Oct 2024 at 9:00 AM to 11 Oct 2024 at 6:00 PM
2 Persons
Rent: ₹2000
Deposit: ₹1000
₹1000 received 
Deposit Refund after check out.</t>
  </si>
  <si>
    <t xml:space="preserve">741BB32F-D96F-41C6-9EFE-44CB50B82EB2</t>
  </si>
  <si>
    <t xml:space="preserve">Booking confirmed ✅ 
Farm number 11
12 Oct 2024 at 1:00 PM to 13 Oct 2024 at 12:00 PM
5 Persons
Rent: ₹4300
Deposit: ₹1000
₹1000 received
Deposit Refund after check out.</t>
  </si>
  <si>
    <t xml:space="preserve">E801ED04-374B-46D3-91F1-1245980A9CAA</t>
  </si>
  <si>
    <t xml:space="preserve">Booked by Jay</t>
  </si>
  <si>
    <t xml:space="preserve">Booking confirmed ✅ 
Farm number 11
₹1000 received
17 Oct 2024 at 9:00 AM to 17 Oct 2024 at 5:00 PM
4 Persons
Rent: ₹1500
Deposit: ₹1000
Deposit Refund after check out.</t>
  </si>
  <si>
    <t xml:space="preserve">4D1BE1A4-A403-4BD6-8BB8-7CED991B3333</t>
  </si>
  <si>
    <t xml:space="preserve">Booking confirmed ✅ 
Farm number 11
17 Oct 2024 at 8:00 PM to 18 Oct 2024 at 8:00 AM
9 Persons
Rent: ₹2500
Deposit: ₹1000
₹1000 received 
Deposit Refund after check out.</t>
  </si>
  <si>
    <t xml:space="preserve">24548CA1-9421-45F0-ABC1-5266912AC45B</t>
  </si>
  <si>
    <t xml:space="preserve">Booked by Vaibhavi</t>
  </si>
  <si>
    <t xml:space="preserve">Booking confirmed ✅ 
Farm number 11
18 Oct 2024 at 9:00 AM to 18 Oct 2024 at 3:00 PM
4 Persons
Rent: ₹2000
Deposit: ₹1000
₹1000 received
Deposit Refund after check out.</t>
  </si>
  <si>
    <t xml:space="preserve">ABEC3BB4-3518-4EE3-944D-5C69F0465DED</t>
  </si>
  <si>
    <t xml:space="preserve">Booking confirmed ✅ 
Farm number 11
19 Oct 2024 at 9:00 AM to 19 Oct 2024 at 5:00 PM
2 Persons
Rent: ₹1500 without pool
Deposit: ₹1000
₹1000 received
Deposit Refund after check out.</t>
  </si>
  <si>
    <t xml:space="preserve">EF313790-5DDE-498C-AC3A-AE509DABDB5E</t>
  </si>
  <si>
    <t xml:space="preserve">Booked by Chintan</t>
  </si>
  <si>
    <t xml:space="preserve">Booking confirmed ✅ 
Farm number 11
₹1000 received
19 Oct 2024 at 7:00 PM to 20 Oct 2024 at 6:00 PM
10 Persons
Rent: ₹4500
Deposit: ₹1000
Deposit Refund after check out.</t>
  </si>
  <si>
    <t xml:space="preserve">4F63A381-949B-48A0-9845-C294997C5014</t>
  </si>
  <si>
    <t xml:space="preserve">Booking confirmed ✅ 
Farm number 11
₹1000 advance received
21 Oct 2024 at 5:00 PM to 22 Oct 2024 at 5:00 PM
12 Persons
Rent: ₹3500
Deposit: ₹1000
Deposit Refund after check out.</t>
  </si>
  <si>
    <t xml:space="preserve">612AEC17-B430-4F27-998F-B2CB52D61009</t>
  </si>
  <si>
    <t xml:space="preserve">Booked by Pritesh</t>
  </si>
  <si>
    <t xml:space="preserve">Booking confirmed ✅ 
Farm number 11
₹800 advance received
23 Oct 2024 at 8:00 AM to 23 Oct 2024 at 6:00 PM
10 Persons
Rent: ₹3000
Deposit: ₹1000
Deposit Refund after check out.</t>
  </si>
  <si>
    <t xml:space="preserve">D113FC34-8E88-437C-A71A-7DB2EA42233D</t>
  </si>
  <si>
    <t xml:space="preserve">Booked by Henil Patel</t>
  </si>
  <si>
    <t xml:space="preserve">Booking confirmed ✅ 
Farm number 11
₹500 advance received
₹4000 to get paid while check-in
23 Oct 2024 at 7:00 PM to 24 Oct 2024 at 6:00 PM
8 Persons
Rent: ₹3500
Deposit: ₹1000
Deposit Refund after check out.</t>
  </si>
  <si>
    <t xml:space="preserve">36ED49D1-AE47-41B0-8575-2451B8503DA8</t>
  </si>
  <si>
    <t xml:space="preserve">Booked by Nilesh</t>
  </si>
  <si>
    <t xml:space="preserve">Booking confirmed ✅ 
Farm number 11
₹1000 advance received
24 Oct 2024 at 7:00 PM to 25 Oct 2024 at 6:00 PM
12 Persons
Rent: ₹4000
Deposit: ₹2000
Deposit Refund after check out.</t>
  </si>
  <si>
    <t xml:space="preserve">D821797C-B716-42BC-99DD-7C3903EAAC97</t>
  </si>
  <si>
    <t xml:space="preserve">Booked by Jayesh</t>
  </si>
  <si>
    <t xml:space="preserve">Booking confirmed ✅ 
Farm number - 11
₹1000 advance received
25 Oct 2024 at 7:00 PM to 26 Oct 2024 at 6:00 PM
10 Persons
Rent: ₹4500
Deposit: ₹2000
Deposit Refund after check out.</t>
  </si>
  <si>
    <t xml:space="preserve">699F16F8-CF67-47FC-A72A-983DC58C98C3</t>
  </si>
  <si>
    <t xml:space="preserve">Booked by Sujal</t>
  </si>
  <si>
    <t xml:space="preserve">Booking confirmed ✅ 
Farm number 11
₹1000 advance received
26 Oct 2024 at 8:00 AM to 27 Oct 2024 at 9:00 AM
4 Persons
Rent: ₹5500
Deposit: ₹1000
Deposit Refund after check out.</t>
  </si>
  <si>
    <t xml:space="preserve">CE04F188-B232-446E-B1E0-1992B59C34A4</t>
  </si>
  <si>
    <t xml:space="preserve">Booked by Lalit</t>
  </si>
  <si>
    <t xml:space="preserve">Booking confirmed ✅ 
Farm number 11
₹1000 advance received
27 Oct 2024 at 12:00 PM to 27 Oct 2024 at 11:00 PM
10 Persons
Rent: ₹4000
Deposit: ₹2000
Deposit Refund after check out.</t>
  </si>
  <si>
    <t xml:space="preserve">0CF6F9F2-1044-433B-912E-5C58D79A9E5A</t>
  </si>
  <si>
    <t xml:space="preserve">Booked by Kalpesh</t>
  </si>
  <si>
    <t xml:space="preserve">Booking confirmed ✅ 
Farm number 11
27 Oct 2024 at 11:00 PM to 28 Oct 2024 at 9:00 AM
4 Persons
Rent: ₹2000
Deposit: ₹1000
Deposit Refund after check out.</t>
  </si>
  <si>
    <t xml:space="preserve">26038358-616A-402C-8F37-3BDD70845B41</t>
  </si>
  <si>
    <t xml:space="preserve">Booked by Krish</t>
  </si>
  <si>
    <t xml:space="preserve">[Updated] Booking confirmed ✅ 
Farm number 11
₹1000 advance received
28 Oct 2024 at 7:00 PM to 29 Oct 2024 at 6:00 PM
14 Persons
Rent: ₹4000
Deposit: ₹2000
Deposit Refund after check out.</t>
  </si>
  <si>
    <t xml:space="preserve">3144A92B-030B-491D-A466-3DDC20DC2D50</t>
  </si>
  <si>
    <t xml:space="preserve">Booking confirmed ✅ 
Farm number 11
₹1000 advance received
29 Oct 2024 at 7:00 PM to 30 Oct 2024 at 7:00 PM
10 Persons
Rent: ₹4000
Deposit: ₹2000
Deposit Refund after check out.</t>
  </si>
  <si>
    <t xml:space="preserve">C3E49C27-7661-4B16-8EF8-7B0BB43D7051</t>
  </si>
  <si>
    <t xml:space="preserve">Booking confirmed ✅ 
Farm number 11
₹500 advance token received
1 Nov 2024 at 12:00 PM to 2 Nov 2024 at 12:00 PM
12 Persons
Rent: ₹4500
Deposit: ₹2000
Deposit Refund after check out.</t>
  </si>
  <si>
    <t xml:space="preserve">A55D4CB1-03FB-46FD-924E-FC929F04058C</t>
  </si>
  <si>
    <t xml:space="preserve">Booked by Ritik</t>
  </si>
  <si>
    <t xml:space="preserve">Booking confirmed ✅ 
Farm number 11
₹1500 advance received
2 Nov 2024 at 7:00 PM to 3 Nov 2024 at 6:00 PM
8 Persons
Rent: ₹6500
Deposit: ₹2000
Deposit Refund after check out.</t>
  </si>
  <si>
    <t xml:space="preserve">A3D25E3C-5245-4F94-BDF7-E547B2DC74B4</t>
  </si>
  <si>
    <t xml:space="preserve">Booked by Prince</t>
  </si>
  <si>
    <t xml:space="preserve">Booking confirmed ✅ 
Farm number 11
₹1000 advance received
3 Nov 2024 at 7:00 PM to 4 Nov 2024 at 6:00 PM
15 Persons
Rent: ₹4000
Deposit: ₹2000
Deposit Refund after check out.</t>
  </si>
  <si>
    <t xml:space="preserve">9716D3D8-1B2C-4BD2-A1DF-C04354E07EEE</t>
  </si>
  <si>
    <t xml:space="preserve">Booked by Sweta</t>
  </si>
  <si>
    <t xml:space="preserve">Booking confirmed ✅ 
Farm number 11
₹6500 received
4 Nov 2024 at 7:00 PM to 5 Nov 2024 at 6:00 PM
17 Persons
Rent: ₹4500
Deposit: ₹2000
Deposit Refund after check out.</t>
  </si>
  <si>
    <t xml:space="preserve">F2A9E7CC-0198-4BCE-9351-133BE745E515</t>
  </si>
  <si>
    <t xml:space="preserve">5 Nov 2024 at 7:00 PM to 6 Nov 2024 at 6:00 PM
10 Persons
Rent: ₹4200
Deposit: ₹2000
Deposit Refund after check out.</t>
  </si>
  <si>
    <t xml:space="preserve">D58FB42D-64D7-4E5E-9308-AB27B82FEF7C</t>
  </si>
  <si>
    <t xml:space="preserve">Booked by Ashish</t>
  </si>
  <si>
    <t xml:space="preserve">Booking confirmed ✅ 
Farm number 11
₹1000 advance received
6 Nov 2024 at 7:00 PM to 7 Nov 2024 at 6:00 PM
12 Persons
Rent: ₹4500
Deposit: ₹2000
Deposit Refund after check out.</t>
  </si>
  <si>
    <t xml:space="preserve">299405B3-A80B-4417-A4F9-7FD72105C42C</t>
  </si>
  <si>
    <t xml:space="preserve">Booked by Chirag</t>
  </si>
  <si>
    <t xml:space="preserve">Booking confirmed ✅ 
Farm number 11
₹2000 advance received
8 Nov 2024 at 8:00 AM to 8 Nov 2024 at 6:00 PM
15 Persons
Rent: ₹4000
Deposit: ₹2000
Deposit Refund after check out.</t>
  </si>
  <si>
    <t xml:space="preserve">0D17329A-9203-4080-85A1-1F681CDB635B</t>
  </si>
  <si>
    <t xml:space="preserve">Booking confirmed ✅ 
Farm number 11
₹1000 advance received
8 Nov 2024 at 7:30 PM to 9 Nov 2024 at 6:00 PM
8 Persons
Rent: ₹4000
Deposit: ₹2000
Deposit Refund after check out.</t>
  </si>
  <si>
    <t xml:space="preserve">94B17ECB-5D8C-4B19-A5AF-27A9719D25B0</t>
  </si>
  <si>
    <t xml:space="preserve">Booked by Chirag Chatrani</t>
  </si>
  <si>
    <t xml:space="preserve">Booking confirmed ✅ 
Farm number 11
₹1000 received
9 Nov 2024 at 7:00 PM to 10 Nov 2024 at 6:00 PM
15 Persons
Rent: ₹5000
Deposit: ₹2000
Deposit Refund after check out.</t>
  </si>
  <si>
    <t xml:space="preserve">B2CD0603-E262-4814-8CD9-22A1045232F4</t>
  </si>
  <si>
    <t xml:space="preserve">Booked by Harsh</t>
  </si>
  <si>
    <t xml:space="preserve">Booking confirmed ✅ 
Farm number 11
₹1000 advance received
10 Nov 2024 at 7:00 PM to 11 Nov 2024 at 6:00 PM
10 Persons
Rent: ₹4500
Deposit: ₹2000
Deposit Refund after check out.</t>
  </si>
  <si>
    <t xml:space="preserve">9A9B3334-974C-4AA2-9448-1AC86D133ADA</t>
  </si>
  <si>
    <t xml:space="preserve">Booking confirmed ✅ 
Farm number 11
₹1000 advance received
11 Nov 2024 at 8:00 PM to 12 Nov 2024 at 8:00 AM
3 Persons, Without pool
Rent: ₹2000
Deposit: ₹1000
Deposit Refund after check out.</t>
  </si>
  <si>
    <t xml:space="preserve">7AD6AD03-D021-4511-9C78-DDD1EBADC3DF</t>
  </si>
  <si>
    <t xml:space="preserve">Booked by Hiren</t>
  </si>
  <si>
    <t xml:space="preserve">Booking confirmed ✅ 
Farm number 11
₹1000 advance received
13 Nov 2024 at 8:00 AM to 13 Nov 2024 at 6:00 PM
2 Persons
Rent: ₹2000
Deposit: ₹1000
Deposit Refund after check out.</t>
  </si>
  <si>
    <t xml:space="preserve">E99AC269-DB82-4FC4-B6A9-7FE71A227064</t>
  </si>
  <si>
    <t xml:space="preserve">Booking confirmed ✅ 
Farm number 11
₹500 advance received
13 Nov 2024 at 7:00 PM to 13 Nov 2024 at 12:00 AM
7 Persons
Rent: ₹1000
Deposit: ₹1000
Deposit Refund after check out.</t>
  </si>
  <si>
    <t xml:space="preserve">215FDEA5-A036-4076-80BB-9D091BB0E17F</t>
  </si>
  <si>
    <t xml:space="preserve">Booked by Kaushik</t>
  </si>
  <si>
    <t xml:space="preserve">Booking confirmed ✅ 
₹1000 advance received online
14 Nov 2024 at 9:00 AM to 14 Nov 2024 at 6:00 PM
2 Persons without pool
Rent: ₹1500
Deposit: ₹1000
Deposit Refund after check out.</t>
  </si>
  <si>
    <t xml:space="preserve">BBC83B56-CDA2-4358-A2B3-F5D7613ABB3D</t>
  </si>
  <si>
    <t xml:space="preserve">Booked by Janki</t>
  </si>
  <si>
    <t xml:space="preserve">Booking confirmed ✅ 
Farm number 11
₹500 advance received
13 Nov 2024 at 7:00 PM to 14 Nov 2024 at 6:00 PM
12 Persons
Rent: ₹4500
Deposit: ₹2000
Deposit Refund after check out.</t>
  </si>
  <si>
    <t xml:space="preserve">2752F4E6-CABC-4C97-97BE-25E9D27DF439</t>
  </si>
  <si>
    <t xml:space="preserve">Booking confirmed ✅
Farm number 11
₹4500 received
16 Nov 2024 at 8:00 AM to 17 Nov 2024 at 8:00 AM
8 Persons
Rent: ₹4500
Deposit: ₹2000
Deposit Refund after check out.</t>
  </si>
  <si>
    <t xml:space="preserve">F3C35F20-08CB-482D-8BC3-D190CD4402E8</t>
  </si>
  <si>
    <t xml:space="preserve">Booking confirmed ✅ 
Farm number 11
₹1000 advance received 
17 Nov 2024 at 9:00 AM to 17 Nov 2024 at 7:00 PM
10 Persons
Rent: ₹3500
Deposit: ₹1000
Deposit Refund after check out.</t>
  </si>
  <si>
    <t xml:space="preserve">FEC123A4-AE1B-45B5-98F4-4F7E12E355BF</t>
  </si>
  <si>
    <t xml:space="preserve">18 Nov 2024 at 11:00 AM to 18 Nov 2024 at 5:00 PM
2 Persons
Rent: ₹1000
Deposit: ₹1000
Deposit Refund after check out.</t>
  </si>
  <si>
    <t xml:space="preserve">3EA69774-9117-4F63-A81E-5F1F7DBDD5CC</t>
  </si>
  <si>
    <t xml:space="preserve">Booked by Anil</t>
  </si>
  <si>
    <t xml:space="preserve">Booking confirmed ✅ 
Farm number 11
₹1000 advance received
19 Nov 2024 at 8:00 AM to 19 Nov 2024 at 6:00 PM
7 Persons
Rent: ₹3000
Deposit: ₹1000
Deposit Refund after check out.</t>
  </si>
  <si>
    <t xml:space="preserve">D58856A1-DBF3-4DA8-B176-BA3672904E41</t>
  </si>
  <si>
    <t xml:space="preserve">Rent: ₹2000
2 person + 4 kid
Agent Shyam</t>
  </si>
  <si>
    <t xml:space="preserve">E67E624C-0582-4862-A484-90766B6FF5B7</t>
  </si>
  <si>
    <t xml:space="preserve">Booking confirmed ✅ 
Farm number 11
₹2000 advance received
22 Nov 2024 at 8:00 PM to 23 Nov 2024 at 8:00 AM
15 Persons
Rent: ₹2300
Deposit: ₹2000
Deposit Refund after check out.</t>
  </si>
  <si>
    <t xml:space="preserve">5F494FA3-0BD1-4942-B9E3-01323A7A8BFB</t>
  </si>
  <si>
    <t xml:space="preserve">Booked by Manish</t>
  </si>
  <si>
    <t xml:space="preserve">Booking confirmed ✅ 
Farm number 11
₹300 advance received
23 Nov 2024 at 9:00 AM to 23 Nov 2024 at 5:00 PM
2 Persons
Rent: ₹1500
Deposit: ₹1000
Deposit Refund after check out.</t>
  </si>
  <si>
    <t xml:space="preserve">4378B17E-B5A1-4550-B299-B8951C829E86</t>
  </si>
  <si>
    <t xml:space="preserve">Booked by Yashna</t>
  </si>
  <si>
    <t xml:space="preserve">Booking confirmed ✅ 
Farm number 11
₹1000 advance received
23 Nov 2024 at 7:00 PM to 24 Nov 2024 at 6:00 PM
6 Persons
Rent: ₹5000
Deposit: ₹1000
Deposit Refund after check out.</t>
  </si>
  <si>
    <t xml:space="preserve">7768DF6B-3FF4-4D77-9475-7944F72B4645</t>
  </si>
  <si>
    <t xml:space="preserve">Booking confirmed ✅ 
Farm number 11
₹500 advance received
24 Nov 2024 at 7:00 PM to 25 Nov 2024 at 8:00 AM
5 Persons
Rent: ₹2000
Deposit: ₹1000
Deposit Refund after check out.</t>
  </si>
  <si>
    <t xml:space="preserve">1353D007-4346-41EC-AD4E-95ED44748F25</t>
  </si>
  <si>
    <t xml:space="preserve">Booking confirmed ✅ 
Farm number 11
₹1000 advance received
25 Nov 2024 at 9:00 AM to 25 Nov 2024 at 6:00 PM
5 Persons
Rent: ₹2500
Deposit: ₹1000
Deposit Refund after check out.</t>
  </si>
  <si>
    <t xml:space="preserve">044A7912-39DC-41DA-AA09-935590DF8EEB</t>
  </si>
  <si>
    <t xml:space="preserve">Booked by Jenish</t>
  </si>
  <si>
    <t xml:space="preserve">Booking confirmed ✅
Farm number 11
₹1000 advance received
27 Nov 2024 at 9:00 AM to 27 Nov 2024 at 6:00 PM
2 Persons with pool
Rent: ₹1900
Deposit: ₹1000
Deposit Refund after check out.</t>
  </si>
  <si>
    <t xml:space="preserve">B506BDFE-7CA9-4D01-9D6E-421BC27CBC32</t>
  </si>
  <si>
    <t xml:space="preserve">Booked by Mit</t>
  </si>
  <si>
    <t xml:space="preserve">Booking confirmed ✅
Farm number 11
₹1000 advance received
28 Nov 2024 at 9:00 AM to 28 Nov 2024 at 6:00 PM
4 Persons
Rent: ₹3000
Deposit: ₹1000
Deposit Refund after check out.</t>
  </si>
  <si>
    <t xml:space="preserve">6F3DB25B-94FA-4921-A446-E23DF4E8E23F</t>
  </si>
  <si>
    <t xml:space="preserve">Booking confirmed ✅ 
Farm number 11
₹500 advance received
29 November 2024 at 9:00 AM to 29 November 2024 at 6:00 PM
2 Persons without pool
Rent: ₹2000
Deposit: ₹1000
Deposit Refund after check out.</t>
  </si>
  <si>
    <t xml:space="preserve">69C34165-8F22-4ABE-B03F-BF7D35DA92AC</t>
  </si>
  <si>
    <t xml:space="preserve">Booked by Akash</t>
  </si>
  <si>
    <t xml:space="preserve">Booking confirmed ✅ 
Farm number 11
₹2000 advance received
29 Nov 2024 at 8:00 PM to 30 Nov 2024 at 8:00 AM
5 Persons
Rent: ₹2500
Deposit: ₹1000
Deposit Refund after check out.</t>
  </si>
  <si>
    <t xml:space="preserve">B1D2BF99-3CB8-4B98-8C20-34CCB7BC193C</t>
  </si>
  <si>
    <t xml:space="preserve">Booking confirmed ✅ 
Farm number 11
₹1000 advance received
cancelled due to accident - no refund
1 Dec 2024 at 7:00 AM to 1 Dec 2024 at 8:00 PM
8 Persons
Rent: ₹3500
Deposit: ₹1000
Deposit Refund after check out.</t>
  </si>
  <si>
    <t xml:space="preserve">0BADAA7B-55AF-4973-BE21-A9B278541355</t>
  </si>
  <si>
    <t xml:space="preserve">Booked by Pooja</t>
  </si>
  <si>
    <t xml:space="preserve">Booking confirmed ✅ 
Farm number 11
₹1000 advance received
3 Dec 2024 at 12:00 PM to 3 Dec 2024 at 5:00 PM
2 Persons
Rent: ₹1500
Deposit: ₹1000
Deposit Refund after check out.</t>
  </si>
  <si>
    <t xml:space="preserve">29D389BC-E4AA-45A9-9222-2A1977AD7BAA</t>
  </si>
  <si>
    <t xml:space="preserve">Booking confirmed ✅ 
Farm number 11
₹1500 advance received
4 Dec 2024 at 9:00 AM to 4 Dec 2024 at 6:00 PM
2 Persons without pool
Rent: ₹1500
Deposit: ₹1000
Deposit Refund after check out.</t>
  </si>
  <si>
    <t xml:space="preserve">34C2806A-4AE7-4078-BFA7-02951D1D56CA</t>
  </si>
  <si>
    <t xml:space="preserve">Booking confirmed ✅ 
Farm number 11
₹1000 advance received
5 Dec 2024 at 7:00 PM to 6 Dec 2024 at 6:00 PM
8 Persons
Rent: ₹4000
Deposit: ₹1000
Deposit Refund after check out.</t>
  </si>
  <si>
    <t xml:space="preserve">820176E5-DF47-4498-8DA4-1400690B116E</t>
  </si>
  <si>
    <t xml:space="preserve">Booking confirmed ✅ 
Farm number 11
₹1000 advance received
6 Dec 2024 at 7:00 PM to 7 Dec 2024 at 6:00 PM
5 Persons
Rent: ₹3800
Deposit: ₹2000
Deposit Refund after check out.</t>
  </si>
  <si>
    <t xml:space="preserve">AB8A35E3-6978-4F70-B57F-FCF11F3FC925</t>
  </si>
  <si>
    <t xml:space="preserve">booked by Akash</t>
  </si>
  <si>
    <t xml:space="preserve">Rent: 2000 - only night with some muslim girl</t>
  </si>
  <si>
    <t xml:space="preserve">09C74B5D-5D41-4296-8D1F-03864A3CA764</t>
  </si>
  <si>
    <t xml:space="preserve">Booking confirmed ✅ 
Farm number 11
₹1000 advance received
9 Dec 2024 at 8:00 AM to 9 Dec 2024 at 6:00 PM
7 Persons
Rent: ₹2700
Deposit: ₹1000
Deposit Refund after check out.</t>
  </si>
  <si>
    <t xml:space="preserve">3F4DC2D7-BB56-4E52-BD32-393D59E34B45</t>
  </si>
  <si>
    <t xml:space="preserve">Booking confirmed ✅ 
Farm number 11
₹1000 advance received
Dec 11, 2024 at 9:00 AM to Dec 11, 2024 at 6:00 PM
2 Persons
Rent: ₹1500
Deposit: ₹1000
Deposit Refund after check out.</t>
  </si>
  <si>
    <t xml:space="preserve">805226C7-85C1-43B1-A6CB-9D358B9F0AE8</t>
  </si>
  <si>
    <t xml:space="preserve">Booked by Bhoomi</t>
  </si>
  <si>
    <t xml:space="preserve">Bookings confirmed ✅ 
Farm number 11
₹1000 advance received
11 Dec 2024 at 7:00 PM to 12 Dec 2024 at 8:00 AM
2 Persons
Rent: ₹2000
Deposit: ₹1000
Deposit Refund after check out.</t>
  </si>
  <si>
    <t xml:space="preserve">F2156CA1-B538-40DF-9F23-3EB39376041B</t>
  </si>
  <si>
    <t xml:space="preserve">13 Dec 2024 at 3:00 PM to 14 Dec 2024 at 2:00 PM
10 Persons
Rent: ₹3000
Deposit: ₹2000
Deposit Refund after check out.</t>
  </si>
  <si>
    <t xml:space="preserve">0B18489E-408C-4DC5-B658-01A73F916DBA</t>
  </si>
  <si>
    <t xml:space="preserve">Booked by Prashant</t>
  </si>
  <si>
    <t xml:space="preserve">Booking confirmed ✅ 
Farm number 11
₹1000 advance received
14 Dec 2024 at 5:00 PM to 15 Dec 2024 at 7:00 AM
8 Persons
Rent: ₹2500
Deposit: ₹1000
Deposit Refund after check out.</t>
  </si>
  <si>
    <t xml:space="preserve">27749C1D-4723-4D99-BF1A-3E3055E30CA8</t>
  </si>
  <si>
    <t xml:space="preserve">Booked by agent vithani darshan</t>
  </si>
  <si>
    <t xml:space="preserve">F74F56EF-1045-4E16-AF90-9AD8FB5DCFC6</t>
  </si>
  <si>
    <t xml:space="preserve">Booking confirmed ✅ 
Farm number 11
₹1000 advance received
18 Dec 2024 at 9:00 AM to 18 December 2024 at 5:00 PM
2 Persons
Rent: ₹1500 without pool
Deposit: ₹1000
Deposit Refund after check out.</t>
  </si>
  <si>
    <t xml:space="preserve">BF8B4A3E-0BC0-4F8C-9CEE-0905665B136E</t>
  </si>
  <si>
    <t xml:space="preserve">Booking confirmed ✅ 
Farm number 11
₹2000 advance received
19 Dec 2024 at 8:00 AM to 19 Dec 2024 at 6:00 PM
15 Persons
Rent: ₹2500
Deposit: ₹2000
Deposit Refund after check out.</t>
  </si>
  <si>
    <t xml:space="preserve">4D2EB158-023B-4C8C-9106-5BCD9E2A151D</t>
  </si>
  <si>
    <t xml:space="preserve">Booked by Sagar
Rent: 0
Free</t>
  </si>
  <si>
    <t xml:space="preserve">79385FC9-D956-430F-A7E9-F4A1F0392849</t>
  </si>
  <si>
    <t xml:space="preserve">Booked by Pariketh</t>
  </si>
  <si>
    <t xml:space="preserve">Booking confirmed ✅ 
Farm number 11
₹1000 advance received 
21 Dec 2024 at 7:00 PM to 22 Dec 2024 at 7:00 PM
8 Persons
Rent: ₹5000
Deposit: ₹2000
Deposit Refund after check out.</t>
  </si>
  <si>
    <t xml:space="preserve">D1A739DF-AC01-4B26-9A08-04E4AAE672DD</t>
  </si>
  <si>
    <t xml:space="preserve">Booked by Saurabh</t>
  </si>
  <si>
    <t xml:space="preserve">Booking confirmed ✅ 
Farm number 11
₹2000 advance received
25 Dec 2024 at 1:00 PM to 25 Dec 2024 at 6:00 PM
2 Persons
Rent: ₹1500
Deposit: ₹500
Deposit Refund after check out.</t>
  </si>
  <si>
    <t xml:space="preserve">BDED199E-6ECA-483A-9DA9-CE066C1402CA</t>
  </si>
  <si>
    <t xml:space="preserve">Booking confirmed ✅ 
Farm number 11
₹1500 advance received
27 Dec 2024 at 10:00 AM to 28 Dec 2024 at 6:00 PM
2 Persons
Rent: ₹4500
Deposit: ₹2000
Deposit Refund after check out.</t>
  </si>
  <si>
    <t xml:space="preserve">1381E2BE-FB41-4C59-B589-AA8E28CC2DCB</t>
  </si>
  <si>
    <t xml:space="preserve">Booked by Mitul patel</t>
  </si>
  <si>
    <t xml:space="preserve">Booking confirmed ✅ 
Farm number 11
₹5000 advance received
28 Dec 2024 at 7:00 PM to 29 Dec 2024 at 7:00 PM
4 Persons
Rent: ₹5000
Deposit: ₹2000
Deposit Refund after check out.</t>
  </si>
  <si>
    <t xml:space="preserve">AB63272C-6A57-4FB4-9A04-9C3EC6D2348B</t>
  </si>
  <si>
    <t xml:space="preserve">Booked by Hardik</t>
  </si>
  <si>
    <t xml:space="preserve">Booking confirmed ✅ 
Farm number 11
₹3700 advance received
31 Dec 2024 at 12:00 PM to 31 Dec 2024 at 6:00 PM
3 Persons
Rent: ₹2700
Deposit: ₹1000
Deposit Refund after check out.</t>
  </si>
  <si>
    <t xml:space="preserve">74D18632-A082-4FCA-A0D6-D7379C579321</t>
  </si>
  <si>
    <t xml:space="preserve">Booked by Sibu</t>
  </si>
  <si>
    <t xml:space="preserve">Booking confirmed ✅ 
Farm number 11
₹2000 advance received
31 Dec 2024 at 7:00 PM to 1 Jan 2025 at 8:00 AM
8 Persons
Rent: ₹4000
Deposit: ₹2000
Deposit Refund after check out.</t>
  </si>
  <si>
    <t xml:space="preserve">FB5F220E-C503-4807-8A55-F9D8BF8255B9</t>
  </si>
  <si>
    <t xml:space="preserve">Booked by Viram</t>
  </si>
  <si>
    <t xml:space="preserve">Booking confirmed ✅ 
Farm number 11
₹1000 advance received
2 Jan 2025 at 9:00 AM to 2 Jan 2025 at 5:00 PM
2 Persons
Rent: ₹2000
Deposit: ₹1000
Deposit Refund after check out.</t>
  </si>
  <si>
    <t xml:space="preserve">F19C7367-E76D-4272-B650-05549371DCA1</t>
  </si>
  <si>
    <t xml:space="preserve">Booked by Anshul</t>
  </si>
  <si>
    <t xml:space="preserve">Booking confirmed ✅ 
₹1000 advance received 
4 Jan 2025 at 8:00 AM to 4 Jan 2025 at 5:00 PM
5 Persons
Rent: ₹3000
Deposit: ₹1000
Deposit Refund after check out.</t>
  </si>
  <si>
    <t xml:space="preserve">ABF20E16-3CF4-4378-9D55-DB7199B68965</t>
  </si>
  <si>
    <t xml:space="preserve">Booked by Vivek | Rutish’s frd</t>
  </si>
  <si>
    <t xml:space="preserve">Booking confirmed ✅ 
Farm number 11
4 Jan 2025 at 7:00 PM to 5 Jan 2025 at 6:00 PM
15 Persons
Rent: ₹5000</t>
  </si>
  <si>
    <t xml:space="preserve">F11CF5F0-B0F4-40AC-A17F-F792A71274BF</t>
  </si>
  <si>
    <t xml:space="preserve">Booked by Anshu</t>
  </si>
  <si>
    <t xml:space="preserve">Booking confirmed ✅ 
Farm number 11
₹1000 advance received
6 Jan 2025 at 9:00 AM to 6 Jan 2025 at 6:00 PM
5 Persons
Rent: ₹2500
Deposit: ₹1000
Deposit Refund after check out.</t>
  </si>
  <si>
    <t xml:space="preserve">18208A4E-5164-4D0A-A92E-9C99934DA14C</t>
  </si>
  <si>
    <t xml:space="preserve">Booking confirmed ✅ 
Farm number 11
₹1000 advance received
8 Jan 2025 at 9:00 AM to 8 Jan 2025 at 6:00 PM
4 Persons
Rent: ₹2500
Deposit: ₹1000
Deposit Refund after check out.</t>
  </si>
  <si>
    <t xml:space="preserve">19ADC0D2-2D45-4B28-88AC-F0288545596A</t>
  </si>
  <si>
    <t xml:space="preserve">Booked by Monesh</t>
  </si>
  <si>
    <t xml:space="preserve">Booking confirmed ✅ 
Farm number 11
₹1000 advance received
8 Jan 2025 at 7:00 PM to 9 Jan 2025 at 6:00 PM
10 Persons
Rent: ₹4200
Deposit: ₹2000
Deposit Refund after check out.</t>
  </si>
  <si>
    <t xml:space="preserve">7CE5A838-7825-40FF-8CEE-02BD824EAE0C</t>
  </si>
  <si>
    <t xml:space="preserve">Booking confirmed ✅ 
Farm number 11
₹1000 advance received
10 Jan 2025 at 9:00 AM to 10 Jan 2025 at 6:00 PM
2 Persons
Rent: ₹2000
Deposit: ₹1000
Deposit Refund after check out.</t>
  </si>
  <si>
    <t xml:space="preserve">4245BD1F-3BAD-432F-9ECB-2C0080B41DDD</t>
  </si>
  <si>
    <t xml:space="preserve">Booking confirmed ✅ 
Farm number 11
₹500 advance received
11 Jan 2025 at 9:00 AM to 11 Jan 2025 at 6:00 PM
2 Persons without pool
Rent: ₹2000
Deposit: ₹1000
Deposit Refund after check out.</t>
  </si>
  <si>
    <t xml:space="preserve">CAB23EB9-D35F-41C2-90D4-3DED4D02809B</t>
  </si>
  <si>
    <t xml:space="preserve">Booking confirmed ✅ 
Farm number 11
₹1000 advance received
11 Jan 2025 at 7:00 PM to 12 Jan 2025 at 6:00 PM
2 Persons
Rent: ₹5000 - 250 for booking transfer
Deposit: ₹2000
Deposit Refund after check out.</t>
  </si>
  <si>
    <t xml:space="preserve">CE59909B-0D0C-4692-ACEF-7AB9F26E7249</t>
  </si>
  <si>
    <t xml:space="preserve">Booking confirmed ✅ 
Farm number 11
₹500 advance received
12 Jan 2025 at 7:00 PM to 13 Jan 2025 at 6:00 PM
10 Persons
Rent: ₹4000
Deposit: ₹1000
Deposit Refund after check out.</t>
  </si>
  <si>
    <t xml:space="preserve">566870F4-C1E5-4E26-9406-0B759E4B99F7</t>
  </si>
  <si>
    <t xml:space="preserve">Booking confirmed ✅ 
Farm number 11
₹2000 advance received
13 Jan 2025 at 7:00 PM to 14 Jan 2025 at 6:00 PM
10 Persons
Rent: ₹8000
Deposit: ₹2000
Deposit Refund after check out.</t>
  </si>
  <si>
    <t xml:space="preserve">AB5EEB84-2098-4BB3-B80E-36B5F659A706</t>
  </si>
  <si>
    <t xml:space="preserve">Booked by Agent Akash</t>
  </si>
  <si>
    <t xml:space="preserve">Booking confirmed ✅ 
Farm number 11
₹2000 advance received
15 Jan 2025 at 8:00 PM to 16 Jan 2025 at 6:00 PM
8 Persons
Rent: ₹4000
Deposit: ₹1000
Deposit Refund after check out.</t>
  </si>
  <si>
    <t xml:space="preserve">E18B1D85-EBF5-40ED-8703-86C9B755D1CB</t>
  </si>
  <si>
    <t xml:space="preserve">Rent: ₹1500 - 2 couple</t>
  </si>
  <si>
    <t xml:space="preserve">1912B118-3BEC-42F4-945F-48230EEEC333</t>
  </si>
  <si>
    <t xml:space="preserve">Booked by Bharat</t>
  </si>
  <si>
    <t xml:space="preserve">Booking confirmed ✅ 
Farm number 11
₹500 advance received
18 Jan 2025 at 7:00 PM to 19 Jan 2025 at 6:00 PM
10 Persons
Rent: ₹5000
Deposit: ₹2000
Deposit Refund after check out.</t>
  </si>
  <si>
    <t xml:space="preserve">BA18474B-4BC9-4E08-8751-23CC30C978BA</t>
  </si>
  <si>
    <t xml:space="preserve">Booked by Abhishek</t>
  </si>
  <si>
    <t xml:space="preserve">24 Jan 2025 at 3:00 PM to 24 Jan 2025 at 8:00 PM
4 Persons without pool
Rent: ₹1500
Deposit: ₹1000
Deposit Refund after check out.</t>
  </si>
  <si>
    <t xml:space="preserve">4EB759CE-A2F7-4AA0-9B11-C72740619F93</t>
  </si>
  <si>
    <t xml:space="preserve">Booking confirmed ✅ 
Farm number 11
₹1000 advance received 
24 Jan 2025 at 10:00 PM to 25 Jan 2025 at 10:00 AM
7 Persons
Rent: ₹2500
Deposit: ₹1000
Deposit Refund after check out.</t>
  </si>
  <si>
    <t xml:space="preserve">7D7D5727-34CB-444E-BDBD-735A5CA56664</t>
  </si>
  <si>
    <t xml:space="preserve">Booking confirmed ✅ 
Farm number 11
₹1000 advance received
25 Jan 2025 at 10:30 AM to 25 Jan 2025 at 6:00 PM
2 Persons with Pool
Rent: ₹2000
Deposit: ₹1000
Deposit Refund after check out.</t>
  </si>
  <si>
    <t xml:space="preserve">633989DE-E847-40BF-BB75-1F1E21346457</t>
  </si>
  <si>
    <t xml:space="preserve">Booked by Riyal</t>
  </si>
  <si>
    <t xml:space="preserve">Booking confirmed ✅ 
Farm number 11
₹1000 advance received
25 Jan 2025 at 7:00 PM to 26 Jan 2025 at 6:00 PM
6 Persons
Rent: ₹4000
Deposit: ₹2000
Deposit Refund after check out.</t>
  </si>
  <si>
    <t xml:space="preserve">CD7EE714-7523-4CE5-B13A-71B524B061E3</t>
  </si>
  <si>
    <t xml:space="preserve">Booked by Gaurav</t>
  </si>
  <si>
    <t xml:space="preserve">27 Jan 2025 at 7:00 PM to 28 Jan 2025 at 8:30 AM
12 Persons
Rent: ₹2000
Deposit: ₹1000
Deposit Refund after check out.</t>
  </si>
  <si>
    <t xml:space="preserve">8AFDF56B-4157-4E11-A9E9-7B32FB5C425B</t>
  </si>
  <si>
    <t xml:space="preserve">Booked by Dhruv</t>
  </si>
  <si>
    <t xml:space="preserve">Booking confirmed ✅ 
Farm number 11
₹1000 advance received
28 Jan 2025 at 9:00 AM to 28 Jan 2025 at 6:00 PM
2 Persons without pool
Rent: ₹2000
Deposit: ₹1000
Deposit Refund after check out.</t>
  </si>
  <si>
    <t xml:space="preserve">C37FF267-17F0-4AA4-929C-61740C5D4AED</t>
  </si>
  <si>
    <t xml:space="preserve">Booking confirmed ✅ 
Farm number 11
₹1000 advance received
28 Jan 2025 at 7:00 PM to 29 Jan 2025 at 6:00 PM
7 Persons
Rent: ₹3000
Deposit: ₹1000
Deposit Refund after check out.</t>
  </si>
  <si>
    <t xml:space="preserve">C22383F8-E05B-4580-B33D-596BEEF4E2E9</t>
  </si>
  <si>
    <t xml:space="preserve">Booked by Nimesh</t>
  </si>
  <si>
    <t xml:space="preserve">Booking confirmed ✅ 
Farm number 11
₹1000 advance received
31 Jan 2025 at 9:00 AM to 31 Jan 2025 at 6:00 PM
5 Persons
Rent: ₹2000
Deposit: ₹1000
Deposit Refund after check out.</t>
  </si>
  <si>
    <t xml:space="preserve">B0CD510B-86FB-41C7-BCD9-B10F42A9FF0A</t>
  </si>
  <si>
    <t xml:space="preserve">Booked by Devendra</t>
  </si>
  <si>
    <t xml:space="preserve">Booking confirmed ✅ 
Farm number 11
₹1000 advance received
31 Jan 2025 at 7:00 PM to 1 Feb 2025 at 6:00 PM
10 Persons
Rent: ₹3800
Deposit: ₹1000
Deposit Refund after check out.</t>
  </si>
  <si>
    <t xml:space="preserve">00B929CB-65B0-4C43-93A6-C0A8D667FBC5</t>
  </si>
  <si>
    <t xml:space="preserve">Booked by Sumit</t>
  </si>
  <si>
    <t xml:space="preserve">Booking confirmed ✅ 
Farm number 11
₹1000 advance received
1 Feb 2025 at 7:00 PM to 2 Feb 2025 at 6:00 PM
7 Persons
Rent: ₹5500
Deposit: ₹2000
Deposit Refund after check out.</t>
  </si>
  <si>
    <t xml:space="preserve">2B5E9E11-6248-4909-BB70-D12971FC599E</t>
  </si>
  <si>
    <t xml:space="preserve">Booked by Amiras</t>
  </si>
  <si>
    <t xml:space="preserve">Booking confirmed ✅ 
Farm number 11
₹500 advance received.
3 Feb 2025 at 9:00 PM to 4 Feb 2025 at 8:00 AM
4 Persons without pool
Rent: ₹1500
Deposit: ₹1000
Deposit Refund after check out.</t>
  </si>
  <si>
    <t xml:space="preserve">82ED5B5B-6650-4370-9A83-9994C4A14C90</t>
  </si>
  <si>
    <t xml:space="preserve">Booking confirmed ✅ 
Farm number 11
₹1000 advance received
7 Feb 2025 at 9:00 AM to 7 Feb 2025 at 6:00 PM
4 Persons
Rent: ₹2500
Deposit: ₹1000
Deposit Refund after check out.</t>
  </si>
  <si>
    <t xml:space="preserve">D6F0025D-BE28-4DA8-B01F-EB666B6FD61A</t>
  </si>
  <si>
    <t xml:space="preserve">Booked by Satyam</t>
  </si>
  <si>
    <t xml:space="preserve">Booking confirmed ✅ 
Farm number 11
₹1000 advance received
8 Feb 2025 at 8:00 AM to 8 Feb 2025 at 6:00 PM
8 Persons
Rent: ₹2500
Deposit: ₹1000
Deposit Refund after check out.</t>
  </si>
  <si>
    <t xml:space="preserve">4D395D94-4079-4C72-818D-EA1A023F9309</t>
  </si>
  <si>
    <t xml:space="preserve">Booking confirmed ✅ 
Farm number 11
₹2000 advance received
9 Feb 2025 at 7:00 PM to 10 Feb 2025 at 6:00 PM
10 Persons
Rent: ₹3500
Deposit: ₹1000
Deposit Refund after check out.</t>
  </si>
  <si>
    <t xml:space="preserve">4E205020-6D2B-4483-8BF5-951ECBF44DB8</t>
  </si>
  <si>
    <t xml:space="preserve">Booked by Henil</t>
  </si>
  <si>
    <t xml:space="preserve">Booking confirmed ✅ 
Farm number 11
₹1000 advance received
10 Feb 2025 at 7:00 PM to 11 Feb 2025 at 6:00 PM
10 Persons
Rent: ₹3500
Deposit: ₹1000
Deposit Refund after check out.</t>
  </si>
  <si>
    <t xml:space="preserve">44B26069-6AC7-4C11-9532-CDEB6BBF5270</t>
  </si>
  <si>
    <t xml:space="preserve">Booked by Arvind</t>
  </si>
  <si>
    <t xml:space="preserve">Booking confirmed ✅ 
Farm number 11
₹1000 advance received
12 Feb 2025 at 9:00 AM to 12 Feb 2025 at 6:00 PM
10 Persons
Rent: ₹2500
Deposit: ₹1000
Deposit Refund after check out.</t>
  </si>
  <si>
    <t xml:space="preserve">43E70D1E-7466-4DD1-BB3C-1E5EDE1B65EB</t>
  </si>
  <si>
    <t xml:space="preserve">Booked by Ajay</t>
  </si>
  <si>
    <t xml:space="preserve">Booking confirmed ✅ 
Farm number 11
₹1000 advance received
14 Feb 2025 at 9:00 AM to 14 Feb 2025 at 6:00 PM
4 Persons
Rent: ₹3000
Deposit: ₹1000
Deposit Refund after check out.</t>
  </si>
  <si>
    <t xml:space="preserve">CF76B1CF-5608-458E-A197-EA12DCA50CBB</t>
  </si>
  <si>
    <t xml:space="preserve">Booking confirmed ✅ 
Farm number 11
₹1000 advance received
14 Feb 2025 at 7:00 PM to 15 Feb 2025 at 6:00 PM
5 Persons
Rent: ₹3500
Deposit: ₹1000
Deposit Refund after check out.</t>
  </si>
  <si>
    <t xml:space="preserve">F1B92F70-9441-4733-B2CE-BDECDAC8E2B3</t>
  </si>
  <si>
    <t xml:space="preserve">Booking confirmed ✅ 
Farm number 11
₹1500 advance received
17 Feb 2025 at 8:00 AM to 17 Feb 2025 at 2:00 PM
2 Persons
Rent: ₹1500
Deposit: ₹1000
Deposit Refund after check out.</t>
  </si>
  <si>
    <t xml:space="preserve">D1E9FC63-E04E-4927-AF1D-633011042338</t>
  </si>
  <si>
    <t xml:space="preserve">Booking confirmed ✅ 
Farm number 11
18 Feb 2025 at 9:00 AM to 18 Feb 2025 at 5:00 PM
2 Persons without pool
Rent: ₹2000
Deposit: ₹1000
Deposit Refund after check out.</t>
  </si>
  <si>
    <t xml:space="preserve">D0EA1404-0249-4662-85ED-1AE32E144351</t>
  </si>
  <si>
    <t xml:space="preserve">Booked by Pradip</t>
  </si>
  <si>
    <t xml:space="preserve">Booking confirmed ✅ 
Farm number 11
₹1000 advance received
19 Feb 2025 at 9:00 AM to 19 Feb 2025 at 6:00 PM
2 Persons
Rent: ₹2500
Deposit: ₹1000
Deposit Refund after check out.</t>
  </si>
  <si>
    <t xml:space="preserve">44258D5D-0F74-4EA2-B396-514D2F6F1EA3</t>
  </si>
  <si>
    <t xml:space="preserve">Booking confirmed ✅ 
Farm number 11
₹1000 advance received
20 Feb 2025 at 9:00 AM to 20 Feb 2025 at 5:00 PM
2 Persons without pool
Rent: ₹2000
Deposit: ₹1000
Deposit Refund after check out.</t>
  </si>
  <si>
    <t xml:space="preserve">3E3E2A2D-18E2-4745-9B82-C9B51B29BB47</t>
  </si>
  <si>
    <t xml:space="preserve">Booked by Nirmal
Rent: 0</t>
  </si>
  <si>
    <t xml:space="preserve">E861B4D1-6CC9-498C-B1F1-DAFF132F7B03</t>
  </si>
  <si>
    <t xml:space="preserve">Booked by Agent shyam</t>
  </si>
  <si>
    <t xml:space="preserve">Rent: ₹1500</t>
  </si>
  <si>
    <t xml:space="preserve">958E98EA-169C-4D27-A66E-74C609032546</t>
  </si>
  <si>
    <t xml:space="preserve">Booked by Krunal</t>
  </si>
  <si>
    <t xml:space="preserve">23 Feb 2025 at 12:00 PM to 23 Feb 2025 at 11:00 PM
8 Persons
Rent: ₹3500
Deposit: ₹1000
Deposit Refund after check out.</t>
  </si>
  <si>
    <t xml:space="preserve">C1774275-BE83-408C-BA3C-031F5EA58C06</t>
  </si>
  <si>
    <t xml:space="preserve">Booked by Nirav</t>
  </si>
  <si>
    <t xml:space="preserve">Booking confirmed ✅ 
₹3000 advance received
3 Mar 2025 at 7:00 PM to 4 Mar 2025 at 6:00 PM
10 Persons
Rent: ₹4000
Deposit: ₹2000
Deposit Refund after check out.</t>
  </si>
  <si>
    <t xml:space="preserve">410CE243-5563-4549-9F80-C4222C17DB2C</t>
  </si>
  <si>
    <t xml:space="preserve">Booking confirmed ✅ 
Farm number 11
₹1000 advance received
4 Mar 2025 at 7:00 PM to 5 Mar 2025 at 7:30 AM
7 Persons
Rent: ₹2500
Deposit: ₹1000
Deposit Refund after check out.</t>
  </si>
  <si>
    <t xml:space="preserve">7602DB9E-8A0E-43B4-B603-3EF524117EA0</t>
  </si>
  <si>
    <t xml:space="preserve">Booking confirmed ✅ 
Farm number 11
₹2000 advance received 
8 Mar 2025 at 7:00 PM to 9 Mar 2025 at 6:00 PM
11 Persons
Rent: ₹7000
Deposit: ₹2000
Deposit Refund after check out.</t>
  </si>
  <si>
    <t xml:space="preserve">CB505441-4B45-4934-A008-322285A7E797</t>
  </si>
  <si>
    <t xml:space="preserve">Booked by Snehit</t>
  </si>
  <si>
    <t xml:space="preserve">Booking confirmed ✅ 
Farm number 11
₹500 advance received
9 Mar 2025 at 7:00 PM to 10 Mar 2025 at 6:00 PM
7 Persons
Rent: ₹4000
Deposit: ₹1000
Deposit Refund after check out.</t>
  </si>
  <si>
    <t xml:space="preserve">DF968E80-1435-4D3E-BB71-F75EB4F010CB</t>
  </si>
  <si>
    <t xml:space="preserve">Booking confirmed ✅ 
Farm number 11
₹2000 advance received
10 Mar 2025 at 7:00 PM to 11 Mar 2025 at 6:00 PM
10 Persons
Rent: ₹5000
Deposit: ₹2000
Deposit Refund after check out.</t>
  </si>
  <si>
    <t xml:space="preserve">3A611605-33E7-4A18-BAD9-8D4504352DB7</t>
  </si>
  <si>
    <t xml:space="preserve">Booked by Lakshya</t>
  </si>
  <si>
    <t xml:space="preserve">Booking confirmed ✅ 
Farm number 11
₹2000 advance received
11 Mar 2025 at 7:00 PM to 12 Mar 2025 at 6:00 PM
10 Persons
Rent: ₹5000
Deposit: ₹2000
Deposit Refund after check out.</t>
  </si>
  <si>
    <t xml:space="preserve">43A287A0-B7D0-465E-9320-510E3263FA99</t>
  </si>
  <si>
    <t xml:space="preserve">Booked by Jaydeep Italiya</t>
  </si>
  <si>
    <t xml:space="preserve">Booking confirmed ✅ 
Farm number 11
₹2000 advance received
12 Mar 2025 at 7:00 PM to 13 Mar 2025 at 6:00 PM
8 Persons Max
Rent: ₹6000
Deposit: ₹2000
Deposit Refund after check out.</t>
  </si>
  <si>
    <t xml:space="preserve">D9A16C73-A00D-459D-9661-2098BDADF277</t>
  </si>
  <si>
    <t xml:space="preserve">Booked by Agent Meet Limbani</t>
  </si>
  <si>
    <t xml:space="preserve">Booking Confirmed
Farm number - 11
₹5000 advance received
13 Mar 2025 at 7:00 PM to 14 Mar 2025 at 6:00 PM
20 Persons
Rent: ₹20000
Deposit: ₹2000
Deposit Refund after check out.</t>
  </si>
  <si>
    <t xml:space="preserve">177787C0-E003-406E-9F0C-9B7BC1BBAFDD</t>
  </si>
  <si>
    <t xml:space="preserve">Booking confirmed ✅ 
Farm number 11
₹3000 advance received
14 Mar 2025 at 7:00 PM to 15 Mar 2025 at 6:00 PM
12 Persons
Rent: ₹7000
Deposit: ₹2000
Deposit Refund after check out.</t>
  </si>
  <si>
    <t xml:space="preserve">38C350E3-CEDF-46D6-A4B7-9CC1F7D4C824</t>
  </si>
  <si>
    <t xml:space="preserve">Booked by Rupesh</t>
  </si>
  <si>
    <t xml:space="preserve">Booking confirmed ✅ 
Farm number 11
₹2000 advance received
15 Mar 2025 at 7:00 PM to 16 Mar 2025 at 6:00 PM
8 Persons
Rent: ₹7500
Deposit: ₹2000
Deposit Refund after check out.</t>
  </si>
  <si>
    <t xml:space="preserve">C90FC30B-E2AE-4CEE-9AD7-AA780008266A</t>
  </si>
  <si>
    <t xml:space="preserve">Booked by Utkarsh</t>
  </si>
  <si>
    <t xml:space="preserve">Booking confirmed ✅ 
Farm number 11
₹1000 advance received
16 Mar 2025 at 7:00 PM to 17 Mar 2025 at 8:00 AM
8 Persons
Rent: ₹3000
Deposit: ₹2000
Deposit Refund after check out.</t>
  </si>
  <si>
    <t xml:space="preserve">F8A4629B-05D6-42AF-A763-EB08DF154314</t>
  </si>
  <si>
    <t xml:space="preserve">Booked by Agent Meet</t>
  </si>
  <si>
    <t xml:space="preserve">Booking confirmed ✅ 
Farm number 11
18 Mar 2025 at 8:00 PM to 19 Mar 2025 at 7:00 PM
15 Persons
Rent: ₹4000
Deposit: ₹2000
Deposit Refund after check out.</t>
  </si>
  <si>
    <t xml:space="preserve">30060D94-6E10-449C-BE96-779421E74CFD</t>
  </si>
  <si>
    <t xml:space="preserve">Booked by Mantra</t>
  </si>
  <si>
    <t xml:space="preserve">Booking confirmed
Farm number 11
₹500 advance received
19 Mar 2025 at 7:00 PM to 20 Mar 2025 at 6:00 PM
6 Persons
Rent: ₹4000
Deposit: ₹1000
Deposit Refund after check out.</t>
  </si>
  <si>
    <t xml:space="preserve">B478EEEE-80EE-42E7-BC84-6A22B5CE78E1</t>
  </si>
  <si>
    <t xml:space="preserve">Booked by Umang</t>
  </si>
  <si>
    <t xml:space="preserve">Booking confirmed ✅ 
Farm number 11
₹1000 advance received
20 Mar 2025 at 7:00 PM to 21 Mar 2025 at 8:00 AM
5 Persons
Rent: ₹2500
Deposit: ₹1000
Deposit Refund after check out.</t>
  </si>
  <si>
    <t xml:space="preserve">117F23A2-5D79-4E13-A964-3D8CFC7B7542</t>
  </si>
  <si>
    <t xml:space="preserve">Booked by Prem</t>
  </si>
  <si>
    <t xml:space="preserve">Booking confirmed ✅ 
Farm number 11
₹500 advance received
21 Mar 2025 at 12:30 PM to 21 Mar 2025 at 6:00 PM
2 Persons
Rent: ₹2000
Deposit: ₹1000
Deposit Refund after check out.</t>
  </si>
  <si>
    <t xml:space="preserve">866A7514-C5AF-4BF5-B16E-B094ED5EF321</t>
  </si>
  <si>
    <t xml:space="preserve">Booking confirmed ✅ 
Farm number 11
₹2000 advance received
21 Mar 2025 at 7:00 PM to 22 Mar 2025 at 6:00 PM
10 Persons
Rent: ₹4500
Deposit: ₹2000
Deposit Refund after check out.</t>
  </si>
  <si>
    <t xml:space="preserve">9F9475BE-FC7B-4B21-B899-FDA3A7876100</t>
  </si>
  <si>
    <t xml:space="preserve">Booking confirmed ✅ 
Farm number 11
₹2000 advance received
22 Mar 2025 at 7:00 PM to 23 Mar 2025 at 6:00 PM
10 Persons
Rent: ₹9500
Deposit: ₹2000
Deposit Refund after check out.</t>
  </si>
  <si>
    <t xml:space="preserve">CCBE6512-C249-4A80-87DA-3B5687357339</t>
  </si>
  <si>
    <t xml:space="preserve">Booked by Hasu</t>
  </si>
  <si>
    <t xml:space="preserve">Booking confirmed ✅ 
Farm number 11
No advance - Family member - Hasu
23 Mar 2025 at 7:00 PM to 24 Mar 2025 at 6:00 PM
12 Persons
Rent: ₹3500
Deposit: ₹2000
Deposit Refund after check out.</t>
  </si>
  <si>
    <t xml:space="preserve">3B8CE3F7-E117-466E-93EC-D45642F3B984</t>
  </si>
  <si>
    <t xml:space="preserve">booked by Jay Kunvariya</t>
  </si>
  <si>
    <t xml:space="preserve">Couple
Rent: ₹1000</t>
  </si>
  <si>
    <t xml:space="preserve">64556217-7194-40D0-8F8D-B638C21D6466</t>
  </si>
  <si>
    <t xml:space="preserve">Booked by Akash Yadav</t>
  </si>
  <si>
    <t xml:space="preserve">Booking confirmed ✅ 
Farm number 11
₹1000 advance received
27 Mar 2025 at 9:00 AM to 27 Mar 2025 at 6:00 PM
5 Persons Max
Rent: ₹3000
Deposit: ₹1000
Deposit Refund after check out.</t>
  </si>
  <si>
    <t xml:space="preserve">F9C92DFB-5DE8-4A66-A0ED-A1705422711D</t>
  </si>
  <si>
    <t xml:space="preserve">Booking confirmed ✅ 
Farm number 11
28 Mar 2025 at 8:00 AM to 28 Mar 2025 at 6:00 PM
10 Persons Max
Rent: ₹2500
Deposit: ₹1000
Deposit Refund after check out.</t>
  </si>
  <si>
    <t xml:space="preserve">6FFB2CF8-CF0A-4553-A4C2-8A122C4700D6</t>
  </si>
  <si>
    <t xml:space="preserve">Booked by Jignesh Tejani</t>
  </si>
  <si>
    <t xml:space="preserve">Booking confirmed ✅ 
Rent: ₹4000
Jignesh Tejani</t>
  </si>
  <si>
    <t xml:space="preserve">1F7AFB3B-9CEA-425E-B7E1-7F4214318164</t>
  </si>
  <si>
    <t xml:space="preserve">Booked by Pankaj Jikadra</t>
  </si>
  <si>
    <t xml:space="preserve">Booking confirmed ✅ 
Farm number 11
₹3000 advance received
29 Mar 2025 at 7:00 PM to 30 Mar 2025 at 6:00 PM
15 Persons Max
Rent: ₹9500
Deposit: ₹2000
Deposit Refund after check out.</t>
  </si>
  <si>
    <t xml:space="preserve">64CE8710-E6BE-4C2A-B456-0A364D48B580</t>
  </si>
  <si>
    <t xml:space="preserve">Booked by Vipul Chovatiya</t>
  </si>
  <si>
    <t xml:space="preserve">Booking confirmed ✅ 
Farm number 11
₹1000 advance received
30 Mar 2025 at 7:00 PM to 31 Mar 2025 at 6:00 PM
15 Persons Max
Rent: ₹4500
Deposit: ₹2000
Deposit Refund after check out.</t>
  </si>
  <si>
    <t xml:space="preserve">8EAF06BA-5F8C-4B6B-AE3C-9C2F118A1405</t>
  </si>
  <si>
    <t xml:space="preserve">Booked by Ankit Pandey</t>
  </si>
  <si>
    <t xml:space="preserve">Booking confirmed ✅ 
Farm number 11
₹1000 advance received
31 Mar 2025 at 7:00 PM to 1 Apr 2025 at 7:00 AM
12 Persons Max
Rent: ₹3000
Deposit: ₹1000
Deposit Refund after check out.</t>
  </si>
  <si>
    <t xml:space="preserve">E269B41C-E9DF-486C-9164-95DC4CB32AE3</t>
  </si>
  <si>
    <t xml:space="preserve">Booked by Daksh</t>
  </si>
  <si>
    <t xml:space="preserve">Booking confirmed ✅ 
Farm number 11
₹2000 advance received
+91 88491 67128‬
1 Apr 2025 at 7:00 PM to 2 Apr 2025 at 6:00 PM
10 Persons Max
Rent: ₹4500
Deposit: ₹2000
Deposit Refund after check out.</t>
  </si>
  <si>
    <t xml:space="preserve">10CA4B1D-8C37-4177-978E-4914D5414BD9</t>
  </si>
  <si>
    <t xml:space="preserve">Booked by Deep Vadi</t>
  </si>
  <si>
    <t xml:space="preserve">Booking confirmed ✅ 
Farm number 11
₹2000 advance received
+91 93280 38725
2 Apr 2025 at 7:00 PM to 3 Apr 2025 at 6:00 PM
4 Persons Max
Rent: ₹5500
Deposit: ₹2000
Deposit Refund after check out.</t>
  </si>
  <si>
    <t xml:space="preserve">2BBB34E4-E34A-467A-AFA6-B130F6097798</t>
  </si>
  <si>
    <t xml:space="preserve">Booked by Sharad Chauhan</t>
  </si>
  <si>
    <t xml:space="preserve">Booking confirmed ✅ 
Farm number 11
₹2000 advance received
4 Apr 2025 at 7:00 PM to 5 Apr 2025 at 6:00 PM
10 Persons Max
Rent: ₹5400
Deposit: ₹2000
Deposit Refund after check out.</t>
  </si>
  <si>
    <t xml:space="preserve">F693AF30-3173-4687-889A-2DE89336EAAC</t>
  </si>
  <si>
    <t xml:space="preserve">Booked by Meet</t>
  </si>
  <si>
    <t xml:space="preserve">Booking confirmed ✅ 
Farm number 11
₹2000 advance received
5 Apr 2025 at 7:00 PM to 6 Apr 2025 at 6:00 PM
7 Persons Max
Rent: ₹7000
Deposit: ₹2000
Deposit Refund after check out.</t>
  </si>
  <si>
    <t xml:space="preserve">09381C6B-4762-4A50-8AEF-B2A9B2184094</t>
  </si>
  <si>
    <t xml:space="preserve">Booked by Roopen </t>
  </si>
  <si>
    <t xml:space="preserve">B62298B6-5987-4F16-A64B-C51290569FC1</t>
  </si>
  <si>
    <t xml:space="preserve">4C54C419-AEA1-4E59-8263-95B55FD4E005</t>
  </si>
  <si>
    <t xml:space="preserve">Booking confirmed ✅ 
Farm number 11
₹2000 advance received
+91 93163 53661
10 Apr 2025 at 7:00 PM to 11 Apr 2025 at 6:00 PM
10 Persons Max
Rent: ₹5000
Deposit: ₹2000
Deposit Refund after check out.</t>
  </si>
  <si>
    <t xml:space="preserve">43D04F34-E5A7-4B1F-B2A1-085D2BD7B4BC</t>
  </si>
  <si>
    <t xml:space="preserve">Booking confirmed ✅ 
Farm number 11
₹2000 advance received
11 Apr 2025 at 7:00 PM to 12 Apr 2025 at 6:00 PM
10 Persons Max
Rent: ₹6000
Deposit: ₹2000
Deposit Refund after check out.</t>
  </si>
  <si>
    <t xml:space="preserve">B0010709-7436-4EC1-948E-2236A7F5575B</t>
  </si>
  <si>
    <t xml:space="preserve">Booked by Dev Danej</t>
  </si>
  <si>
    <t xml:space="preserve">+91 98240 43044
12 Apr 2025 at 7:00 PM to 13 Apr 2025 at 6:00 PM
12 Persons Max
Rent: ₹12000
Deposit: ₹2000
Deposit Refund after check out.</t>
  </si>
  <si>
    <t xml:space="preserve">33229B9D-7EF5-4D1F-91F6-2899F7382FAB</t>
  </si>
  <si>
    <t xml:space="preserve">Booked by Neel Patel</t>
  </si>
  <si>
    <t xml:space="preserve">Booking confirmed ✅ 
Farm number 11
₹1000 advance received
13 Apr 2025 at 7:00 PM to 14 Apr 2025 at 6:00 PM
15 Persons Max
Rent: ₹5000
Deposit: ₹2000
Deposit Refund after check out.</t>
  </si>
  <si>
    <t xml:space="preserve">E3E0BD7C-8DC8-4030-9854-EE41E74501C3</t>
  </si>
  <si>
    <t xml:space="preserve">Booked by Smit</t>
  </si>
  <si>
    <t xml:space="preserve">Booking Confirmed
Farm number 11
₹2000 advance received
14 Apr 2025 at 7:00 PM to 15 Apr 2025 at 6:00 PM
10 Persons Max
Rent: ₹5500
Deposit: ₹2000
Deposit Refund after check out.</t>
  </si>
  <si>
    <t xml:space="preserve">44D88CCF-8A94-4E60-AE53-13590887EB18</t>
  </si>
  <si>
    <t xml:space="preserve">Booking confirmed ✅ 
Farm number 11
₹1000 advance received
16 Apr 2025 at 2:00 PM to 16 Apr 2025 at 6:00 PM
6 Persons Max
Rent: ₹2500
Deposit: ₹1000
Deposit Refund after check out.</t>
  </si>
  <si>
    <t xml:space="preserve">6CC33F74-4D2C-47DE-BB1E-266A4482B25F</t>
  </si>
  <si>
    <t xml:space="preserve">Booked by Shubham</t>
  </si>
  <si>
    <t xml:space="preserve">Booking confirmed ✅ 
Farm number 11
₹2000 advance received
16 Apr 2025 at 7:00 PM to 17 Apr 2025 at 6:00 PM
10 Persons Max
Rent: ₹5500
Deposit: ₹2000
Deposit Refund after check out.</t>
  </si>
  <si>
    <t xml:space="preserve">47DB9C95-374E-4476-BCBA-E042E9CA18EE</t>
  </si>
  <si>
    <t xml:space="preserve">Booked by Vansh</t>
  </si>
  <si>
    <t xml:space="preserve">Booking confirmed ✅ 
Farm number 11
₹2000 advance received
17 Apr 2025 at 7:00 PM to 18 Apr 2025 at 6:00 PM
15 Adult Persons Max
Rent: ₹6000
Deposit: ₹2000
Deposit Refund after check out.</t>
  </si>
  <si>
    <t xml:space="preserve">FC98AFAA-A60B-46E9-9582-6E1AA8299890</t>
  </si>
  <si>
    <t xml:space="preserve">Booked by Karan</t>
  </si>
  <si>
    <t xml:space="preserve">Booking confirmed ✅ 
Farm number 11
₹2000 advance received
18 Apr 2025 at 7:00 PM to 19 Apr 2025 at 6:00 PM
6 Persons Max
Rent: ₹5500
Deposit: ₹2000
Deposit Refund after check out.</t>
  </si>
  <si>
    <t xml:space="preserve">2B93BA7E-1847-4BCB-B38C-A4590625F36F</t>
  </si>
  <si>
    <t xml:space="preserve">Booking confirmed ✅ 
Farm number 11
₹4000 advance received
+91 99248 29037
19 Apr 2025 at 7:00 PM to 20 Apr 2025 at 6:00 PM
10 Persons Max
Rent: ₹12000
Deposit: ₹2000
Deposit Refund after check out.</t>
  </si>
  <si>
    <t xml:space="preserve">3FBD3337-B062-4FDD-B818-D395B05F8BAB</t>
  </si>
  <si>
    <t xml:space="preserve">Booked by Lavkush</t>
  </si>
  <si>
    <t xml:space="preserve">Booking confirmed ✅ 
Farm number 11
₹1000 advance received
20 Apr 2025 at 7:00 PM to 21 Apr 2025 at 6:00 PM
10 Persons Max
Rent: ₹5500
Deposit: ₹2000
Deposit Refund after check out.</t>
  </si>
  <si>
    <t xml:space="preserve">6E4E2248-5EB4-405D-B6E2-B33FAD370E0C</t>
  </si>
  <si>
    <t xml:space="preserve">Booked by Dev</t>
  </si>
  <si>
    <t xml:space="preserve">Booking confirmed ✅ 
Farm number 11
₹2000 advance received 
21 Apr 2025 at 7:00 PM to 22 Apr 2025 at 6:00 PM
12 Persons Max
Rent: ₹5500
Deposit: ₹2000
Deposit Refund after check out.</t>
  </si>
  <si>
    <t xml:space="preserve">7E1037BA-74FE-46DE-945C-A81D433BB571</t>
  </si>
  <si>
    <t xml:space="preserve">Booked by Meet Rakhasiya</t>
  </si>
  <si>
    <t xml:space="preserve">Booking confirmed ✅ 
Farm number 11
₹2000 advance received 
22 Apr 2025 at 7:00 PM to 23 Apr 2025 at 6:00 PM
5 Persons Max
Rent: ₹4500
Deposit: ₹2000
Deposit Refund after check out.</t>
  </si>
  <si>
    <t xml:space="preserve">1A0D775B-BB40-4471-A96B-039F71D27D1F</t>
  </si>
  <si>
    <t xml:space="preserve">Booked by Vinay</t>
  </si>
  <si>
    <t xml:space="preserve">Booking confirmed ✅ 
Farm number 11
₹2000 advance received
23 Apr 2025 at 7:00 PM to 24 Apr 2025 at 7:00 AM
5 Persons Max
Rent: ₹3500
Deposit: ₹2000
Deposit Refund after check out.</t>
  </si>
  <si>
    <t xml:space="preserve">C1421EB2-BE04-4FAE-8AED-CC9718E14EB1</t>
  </si>
  <si>
    <t xml:space="preserve">Booked by Chirag Desai</t>
  </si>
  <si>
    <t xml:space="preserve">Booking confirmed ✅ 
Farm number 11
₹1000 advance received
25 Apr 2025 at 12:00 PM to 25 Apr 2025 at 6:00 PM
3 Persons Max
Rent: ₹3000
Deposit: ₹1000
Deposit Refund after check out.</t>
  </si>
  <si>
    <t xml:space="preserve">9E4E391E-8F0C-4032-A85F-D86049FCB990</t>
  </si>
  <si>
    <t xml:space="preserve">Booking confirmed ✅ 
Farm number 11
₹2000 advance received
+91 88667 89213
25 Apr 2025 at 7:00 PM to 26 Apr 2025 at 6:00 PM
8 Persons Max
Rent: ₹5500
Deposit: ₹2000
Deposit Refund after check out.</t>
  </si>
  <si>
    <t xml:space="preserve">DE325852-5F4E-4DAE-82B2-7815F1629AAC</t>
  </si>
  <si>
    <t xml:space="preserve">Booked by Nitin mama</t>
  </si>
  <si>
    <t xml:space="preserve">Booking confirmed ✅ 
Farm number 11
Reference: Nitin Mama Patoliya
26 Apr 2025 at 7:00 PM to 27 Apr 2025 at 6:00 PM
15 Persons Max
Rent: ₹13000
Deposit: ₹2000
Deposit Refund after check out.</t>
  </si>
  <si>
    <t xml:space="preserve">0C9EDBF0-CBA3-4C8F-A164-B784398668B2</t>
  </si>
  <si>
    <t xml:space="preserve">Booked by Santosh</t>
  </si>
  <si>
    <t xml:space="preserve">Booking confirmed ✅ 
Farm number 11
₹1000 advance received
28 Apr 2025 at 9:00 AM to 28 Apr 2025 at 6:00 PM
2 Persons Max
Rent: ₹3000
Deposit: ₹1000
Deposit Refund after check out.</t>
  </si>
  <si>
    <t xml:space="preserve">7419D8F1-9485-417B-A747-22E88EEB993F</t>
  </si>
  <si>
    <t xml:space="preserve">Booked by Darsh</t>
  </si>
  <si>
    <t xml:space="preserve">Booking confirmed ✅ 
Farm number 11
₹2000 advance received
28 Apr 2025 at 7:00 PM to 29 Apr 2025 at 6:00 PM
6 Persons Max
Rent: ₹5500
Deposit: ₹2000
Deposit Refund after check out.</t>
  </si>
  <si>
    <t xml:space="preserve">BB47F911-5B76-4E69-A6E8-79E45105BC8D</t>
  </si>
  <si>
    <t xml:space="preserve">Booked by Girish</t>
  </si>
  <si>
    <t xml:space="preserve">Booking confirmed ✅ 
Farm number 11
₹2000 advanced received
30 Apr 2025 at 8:00 AM to 30 Apr 2025 at 6:00 PM
6 Persons Max
Rent: ₹4000
Deposit: ₹2000
Deposit Refund after check out.</t>
  </si>
  <si>
    <t xml:space="preserve">E7533C6D-D6A9-4FED-A2AA-4AF39814236A</t>
  </si>
  <si>
    <t xml:space="preserve">Booking confirmed ✅ 
Farm number 11
₹1000 advance received
+91 8733-839699
30 Apr 2025 at 7:00 PM to 1 May 2025 at 6:00 PM
12 Persons Max
Rent: ₹5500
Deposit: ₹2000
Deposit Refund after check out.</t>
  </si>
  <si>
    <t xml:space="preserve">E722661E-E0D5-44D2-BC1E-6CC98CAE21C7</t>
  </si>
  <si>
    <t xml:space="preserve">Booked by Masi’s chokro</t>
  </si>
  <si>
    <t xml:space="preserve">Rent: ₹5000</t>
  </si>
  <si>
    <t xml:space="preserve">9FA3D07A-6F4A-4AA3-872C-FD4A817C1D7F</t>
  </si>
  <si>
    <t xml:space="preserve">booked by Atul</t>
  </si>
  <si>
    <t xml:space="preserve">Rent: 0</t>
  </si>
  <si>
    <t xml:space="preserve">54F3B7D9-A39D-489E-909A-87BC58C0462B</t>
  </si>
  <si>
    <t xml:space="preserve">Booked by Manish Jadav</t>
  </si>
  <si>
    <t xml:space="preserve">Booking confirmed ✅ 
Farm number 11
₹5000 advanced received
3 May 2025 at 7:00 PM to 4 May 2025 at 6:00 PM
12 Persons Max
Rent: ₹12000
Deposit: ₹2000
Deposit Refund after check out.</t>
  </si>
  <si>
    <t xml:space="preserve">15D89EF9-2F6E-4AAA-87DE-DC2BA77B2738</t>
  </si>
  <si>
    <t xml:space="preserve">Booked by Nayan</t>
  </si>
  <si>
    <t xml:space="preserve">Booking confirmed ✅ 
Farm number 11
₹2000 advance received
5 May 2025 at 8:00 AM to 5 May 2025 at 7:00 PM
15 Persons Max
Rent: ₹4500
Deposit: ₹2000
Deposit Refund after check out.</t>
  </si>
  <si>
    <t xml:space="preserve">877AB0D0-A095-4935-9427-09942B5B800D</t>
  </si>
  <si>
    <t xml:space="preserve">Booked by Manoj Kachhadia</t>
  </si>
  <si>
    <t xml:space="preserve">Booking confirmed ✅ 
Farm number 11
₹1000 advance received 
6 May 2025 at 1:00 PM to 6 May 2025 at 6:00 PM
2 Persons Max
Rent: ₹2000
Deposit: ₹1000
Deposit Refund after check out.</t>
  </si>
  <si>
    <t xml:space="preserve">CB3A5FEF-3267-4CFF-A475-7386702F0D7D</t>
  </si>
  <si>
    <t xml:space="preserve">Booked by Kavya</t>
  </si>
  <si>
    <t xml:space="preserve">Booking confirmed ✅ 
Farm number 11
₹2000 advance received 
6 May 2025 at 7:00 PM to 7 May 2025 at 6:00 PM
10 Persons Max
Rent: ₹5500
Deposit: ₹2000
Deposit Refund after check out.</t>
  </si>
  <si>
    <t xml:space="preserve">4D7E9033-5A1A-46C5-8BBD-D6732C27E004</t>
  </si>
  <si>
    <t xml:space="preserve">Booked by Savaliya M L</t>
  </si>
  <si>
    <t xml:space="preserve">Booking confirmed ✅ 
8 May 2025 at 10:00 PM to 9 May 2025 at 9:00 AM
12 Persons Max
Rent: ₹2500
Deposit: ₹1000
Deposit Refund after check out.</t>
  </si>
  <si>
    <t xml:space="preserve">CCD90028-EA9F-4714-B24B-16E41DE906F6</t>
  </si>
  <si>
    <t xml:space="preserve">Booked by Rahul chauhan</t>
  </si>
  <si>
    <t xml:space="preserve">Booking confirmed ✅ 
9 May 2025 at 7:00 PM to 10 May 2025 at 10:00 AM
10 Persons Max
Rent: ₹3000
Deposit: ₹1000
Deposit Refund after check out.</t>
  </si>
  <si>
    <t xml:space="preserve">DFE9B877-AAF8-4AC6-A2F8-A4ABF57952BF</t>
  </si>
  <si>
    <t xml:space="preserve">Naitik pandya</t>
  </si>
  <si>
    <t xml:space="preserve">
10 May 2025 at 10:00 AM to 10 May 2025 at 6:00 PM
7 Persons Max
Rent: ₹2000
Deposit: ₹1000
Deposit Refund after check out.</t>
  </si>
  <si>
    <t xml:space="preserve">C12F1E38-FBF6-46A6-BEC5-BB1B794A747F</t>
  </si>
  <si>
    <t xml:space="preserve">Booked by Renish gajera</t>
  </si>
  <si>
    <t xml:space="preserve">
10 May 2025 at 7:00 PM to 11 May 2025 at 6:00 PM
12 Persons Max
Rent: ₹10000
Deposit: ₹2000
Deposit Refund after check out.</t>
  </si>
  <si>
    <t xml:space="preserve">EC5208E9-EC4A-40D7-B83F-15A33DB9B704</t>
  </si>
  <si>
    <t xml:space="preserve">Booked by Jay kunvariya</t>
  </si>
  <si>
    <t xml:space="preserve">Booking confirmed ✅ 
12 May 2025 at 11:00 AM to 12 May 2025 at 5:00 PM
2 Persons Max
Rent: ₹2000
Deposit: ₹1000
Deposit Refund after check out.</t>
  </si>
  <si>
    <t xml:space="preserve">AD3096C0-6B15-40B7-A672-5E27339F652F</t>
  </si>
  <si>
    <t xml:space="preserve">Booking confirmed ✅ 
Farm number 11
₹2000 advance received
12 May 2025 at 7:00 PM to 13 May 2025 at 6:00 PM
20 Persons Max
Rent: ₹6000
Deposit: ₹2000
Deposit Refund after check out.</t>
  </si>
  <si>
    <t xml:space="preserve">62C88C71-3D79-406A-9871-D4C43407E18C</t>
  </si>
  <si>
    <t xml:space="preserve">Booked by Jenish Rana</t>
  </si>
  <si>
    <t xml:space="preserve">Booking confirmed ✅ 
Farm number 11
₹2000 advance received
+91 90163 85374
13 May 2025 at 7:00 PM to 14 May 2025 at 6:00 PM
14 Persons Max
Rent: ₹5500
Deposit: ₹2000
Deposit Refund after check out.</t>
  </si>
  <si>
    <t xml:space="preserve">F2520D92-DDF5-49CA-9491-A85B144CD386</t>
  </si>
  <si>
    <t xml:space="preserve">Booked by Dhruv Ghodani</t>
  </si>
  <si>
    <t xml:space="preserve">Booking confirmed ✅ 
₹1000 Advance received 
14 May 2025 at 7:00 PM to 15 May 2025 at 7:00 AM
15 Persons Max
Rent: ₹2000
Deposit: ₹1000
Deposit Refund after check out.</t>
  </si>
  <si>
    <t xml:space="preserve">ED2C30C0-D2F5-4178-9335-B2331C0C9646</t>
  </si>
  <si>
    <t xml:space="preserve">₹2000 advance received 
8 Persons Max
Rent: ₹4000
Deposit: ₹2000
Deposit Refund after check out.</t>
  </si>
  <si>
    <t xml:space="preserve">FA32ABC2-3156-4F9E-977A-1E8F9EE473C3</t>
  </si>
  <si>
    <t xml:space="preserve">Booked by Lalkrushan</t>
  </si>
  <si>
    <t xml:space="preserve">Booking confirmed ✅ 
₹2000 Advance received 
15 May 2025 at 7:00 PM to 17 May 2025 at 6:00 PM
15 Persons Max
Rent: ₹10000
Deposit: ₹2000
Deposit Refund after check out.</t>
  </si>
  <si>
    <t xml:space="preserve">5D181F7D-89D9-4B37-8500-8CC6E2E24A12</t>
  </si>
  <si>
    <t xml:space="preserve">Booked by Bhavesh rana</t>
  </si>
  <si>
    <t xml:space="preserve">Booking confirmed 
₹5000 advance received 
15 Persons Max
Rent: ₹11500
Deposit: ₹2000
Deposit Refund after check out.</t>
  </si>
  <si>
    <t xml:space="preserve">52F727AD-70C2-483F-8DF2-B49B3732B633</t>
  </si>
  <si>
    <t xml:space="preserve">Booked by Sagar Sabhaya</t>
  </si>
  <si>
    <t xml:space="preserve">
₹2000 advance received 
22 Persons Max
Rent: ₹5000
Deposit: ₹2000
</t>
  </si>
  <si>
    <t xml:space="preserve">DF42363D-A40F-49BF-85EC-1B96FAEA4E25</t>
  </si>
  <si>
    <t xml:space="preserve">Booked by Jayakantbhai </t>
  </si>
  <si>
    <t xml:space="preserve">
₹2000 advance received 
18 Persons Max
Rent: ₹5500
Deposit: ₹2000
</t>
  </si>
  <si>
    <t xml:space="preserve">4C43B962-C271-4BEF-8F58-A67E45B68819</t>
  </si>
  <si>
    <t xml:space="preserve">Booked by Mayank shukla</t>
  </si>
  <si>
    <t xml:space="preserve">Booking confirmed ✅ 
Farm number 11
₹2000 advance received 
15 Persons Max
Rent: ₹5000
Deposit: ₹2000
Deposit Refund after check out.</t>
  </si>
  <si>
    <t xml:space="preserve">C2C3ECE4-2C8A-497D-9E85-311302B8750E</t>
  </si>
  <si>
    <t xml:space="preserve">Booked by Dinesh joshi</t>
  </si>
  <si>
    <t xml:space="preserve">₹2000 advance received 
8 Persons Max
Rent: ₹5000
Deposit: ₹2000</t>
  </si>
  <si>
    <t xml:space="preserve">FEFF71B7-C086-45EF-951B-03ECD289B813</t>
  </si>
  <si>
    <t xml:space="preserve">Booked by Fenil Gopani</t>
  </si>
  <si>
    <t xml:space="preserve">
₹2000 advance received 
20 Persons Max
Rent: ₹5500
Deposit: ₹2000
</t>
  </si>
  <si>
    <t xml:space="preserve">1D998A77-D4E8-4352-8CB9-E0CC7F2DB405</t>
  </si>
  <si>
    <t xml:space="preserve">Booked by Saurav Rajput</t>
  </si>
  <si>
    <t xml:space="preserve">Booking confirmed ✅ 
₹500 advance received 
8 Persons Max
Rent: ₹2500
Deposit: ₹1000
</t>
  </si>
  <si>
    <t xml:space="preserve">F09BB774-C859-4C0F-AD8D-1F6C95A929D5</t>
  </si>
  <si>
    <t xml:space="preserve">Booked by Miten savani</t>
  </si>
  <si>
    <t xml:space="preserve">Booking confirmed ✅ 
₹2000 advance received 
4 Persons Max
Rent: ₹3500
Deposit: ₹1000
</t>
  </si>
  <si>
    <t xml:space="preserve">B08AA84F-4EBB-4423-B8F0-08D1992F17F5</t>
  </si>
  <si>
    <t xml:space="preserve">Booked by Vraj Beladiya</t>
  </si>
  <si>
    <t xml:space="preserve">
₹5000 advance received 
20 Persons Max
Rent: ₹11000
Deposit: ₹2000
</t>
  </si>
  <si>
    <t xml:space="preserve">11ED6313-6FBE-403F-8D7A-FF7FB8C6A845</t>
  </si>
  <si>
    <t xml:space="preserve">Booked by Sujit</t>
  </si>
  <si>
    <t xml:space="preserve">
₹1000 advance received 
10 Persons Max
Rent: ₹2500
Deposit: ₹1000
</t>
  </si>
  <si>
    <t xml:space="preserve">5C0AE1BB-CFE6-47B4-8A63-8E29D5C4DA10</t>
  </si>
  <si>
    <t xml:space="preserve">
Farm number 11
₹500 advance received 
18 Persons Max
Rent: ₹2550
Deposit: ₹500
₹3000 -150(vasan)-300
Deposit Refund after check out.</t>
  </si>
  <si>
    <t xml:space="preserve">32ED5834-591C-4874-9409-9A7148A26797</t>
  </si>
  <si>
    <t xml:space="preserve">
₹500 advance received 
5 Persons Max
Rent: ₹2500
Deposit: ₹1000
</t>
  </si>
  <si>
    <t xml:space="preserve">B90AABD9-E436-4C13-B1A9-41F7730E1673</t>
  </si>
  <si>
    <t xml:space="preserve">Booked by Shravan Ankur</t>
  </si>
  <si>
    <t xml:space="preserve">
Farm number 11
₹1000 advance received
9 Persons Max
Rent: ₹3500
Deposit: ₹2000
Deposit Refund after check out.</t>
  </si>
  <si>
    <t xml:space="preserve">55C8CB53-7BD6-4AFB-8015-B33968C2D12C</t>
  </si>
  <si>
    <t xml:space="preserve">Booked by Anil Kalsariya</t>
  </si>
  <si>
    <t xml:space="preserve">Rent: ₹2000
Deposit: ₹1000</t>
  </si>
  <si>
    <t xml:space="preserve">5823CAF1-60F1-4ACD-ABA3-6D0210780060</t>
  </si>
  <si>
    <t xml:space="preserve">Booked by kalpeshbhai</t>
  </si>
  <si>
    <t xml:space="preserve">
₹2000 advance received 
10 Persons Max
Rent: ₹3000
Deposit: ₹1000
</t>
  </si>
  <si>
    <t xml:space="preserve">44CD19B8-478B-4DC8-AC37-DD3A1A48ED4E</t>
  </si>
  <si>
    <t xml:space="preserve">28 May 2025 at 9:00 PM to 29 May 2025 at 6:00 PM
15 Persons Max
Rent: ₹4000
Deposit: ₹1000
Deposit Refund after check out.</t>
  </si>
  <si>
    <t xml:space="preserve">383F2392-D40C-4493-8E5F-7564AF0EB528</t>
  </si>
  <si>
    <t xml:space="preserve">Booked by Mayur Padvani</t>
  </si>
  <si>
    <t xml:space="preserve">
10 Persons Max
Rent: ₹5000
Deposit: ₹2000
₹2000 advance received 
</t>
  </si>
  <si>
    <t xml:space="preserve">C353F674-8DB2-4C09-9CBA-F9BE9CF94884</t>
  </si>
  <si>
    <t xml:space="preserve">Booked by Nikunj Jariwala</t>
  </si>
  <si>
    <t xml:space="preserve">₹2000 advance received
30 May 2025 at 7:00 PM to 31 May 2025 at 6:00 PM
10 Persons Max
Rent: ₹5000
Deposit: ₹2000
Deposit Refund after check out.</t>
  </si>
  <si>
    <t xml:space="preserve">D36A0C7D-FC70-434D-AB02-50D28A35A1D2</t>
  </si>
  <si>
    <t xml:space="preserve">Booked by Harsh ghalani</t>
  </si>
  <si>
    <t xml:space="preserve">Booking confirmed
₹5000 advance received
31 May 2025 at 7:00 PM to 1 Jun 2025 at 6:00 PM
10 Persons Max
Rent: ₹12000
Deposit: ₹2000
Deposit Refund after check out.</t>
  </si>
  <si>
    <t xml:space="preserve">928B191D-53F8-4FAD-AA3A-6FD3D09EC351</t>
  </si>
  <si>
    <t xml:space="preserve">Booked by Ghanshyambhai nasit</t>
  </si>
  <si>
    <t xml:space="preserve">
₹2000 advance received 
20 Persons Max
Rent: ₹5000
Deposit: ₹2000
</t>
  </si>
  <si>
    <t xml:space="preserve">15F23694-642B-45D8-9FDA-F03635B06AE5</t>
  </si>
  <si>
    <t xml:space="preserve">Call with Chet</t>
  </si>
  <si>
    <t xml:space="preserve">20D24993-14B8-4E99-90BF-6A770DF30267</t>
  </si>
  <si>
    <t xml:space="preserve">Booked by Mukesh aditya</t>
  </si>
  <si>
    <t xml:space="preserve">Booking confirmed ✅ 
₹2000 advance received 
Farm number 11
15 Persons Max
Rent: ₹5500
Deposit: ₹2000
Deposit Refund after check out.</t>
  </si>
  <si>
    <t xml:space="preserve">D083813E-4D89-4B97-922E-C5410912D824</t>
  </si>
  <si>
    <t xml:space="preserve">Booked by Deep vadi</t>
  </si>
  <si>
    <t xml:space="preserve">₹1000 advance received 
2 Persons Max
Rent: ₹3000
Deposit: ₹500
</t>
  </si>
  <si>
    <t xml:space="preserve">313B9443-33F7-42CD-9A26-A52CC5AB542F</t>
  </si>
  <si>
    <t xml:space="preserve">Booked by Agent </t>
  </si>
  <si>
    <t xml:space="preserve">
Rent: ₹2500
</t>
  </si>
  <si>
    <t xml:space="preserve">A04F4279-C38B-43DE-B228-6ABADC9DB8B4</t>
  </si>
  <si>
    <t xml:space="preserve">Booked by Nisarg</t>
  </si>
  <si>
    <t xml:space="preserve">
₹2000 advance received 
15 Persons Max
Rent: ₹5500
Deposit: ₹2000
</t>
  </si>
  <si>
    <t xml:space="preserve">DBE1DAD0-B39D-40D1-B29A-B4BEB5219F9E</t>
  </si>
  <si>
    <t xml:space="preserve">Booking confirmed ✅ 
₹2000 advance received
5 Jun 2025 at 7:00 PM to 6 Jun 2025 at 6:00 PM
12 Persons Max
Rent: ₹5500
Deposit: ₹2000
Deposit Refund after check out.</t>
  </si>
  <si>
    <t xml:space="preserve">212B370F-9AC7-4FAA-80B3-032299E4801E</t>
  </si>
  <si>
    <t xml:space="preserve">Booked by chirag ramani</t>
  </si>
  <si>
    <t xml:space="preserve">
₹1500 received 
2 Persons Max
Rent: ₹1500
Deposit: ₹500
</t>
  </si>
  <si>
    <t xml:space="preserve">5D9F43DD-98B5-4EB3-B39F-6EF7861131A9</t>
  </si>
  <si>
    <t xml:space="preserve">Booked by Mohit Nimavat</t>
  </si>
  <si>
    <t xml:space="preserve">7 Jun 2025 at 11:00 AM to 7 Jun 2025 at 6:00 PM
8 Persons Max
Rent: ₹2000
Deposit: ₹1000
Deposit Refund after check out.</t>
  </si>
  <si>
    <t xml:space="preserve">03FA6002-D682-4B28-892B-9D16A21F9CE8</t>
  </si>
  <si>
    <t xml:space="preserve">Booking confirmed ✅ 
Farm number 11
₹2000 advance received
7 Jun 2025 at 7:00 PM to 8 Jun 2025 at 8:00 AM
18 Persons Max
Rent: ₹5000
Deposit: ₹2000
Deposit Refund after check out.</t>
  </si>
  <si>
    <t xml:space="preserve">D6FADCAD-BB24-4452-AF5A-AA486288A8E1</t>
  </si>
  <si>
    <t xml:space="preserve">
₹3000 advance received 
4 Persons
Rent: ₹6000
Deposit: ₹2000
</t>
  </si>
  <si>
    <t xml:space="preserve">C2AE578A-43C6-46E1-990D-93CEC5D305B3</t>
  </si>
  <si>
    <t xml:space="preserve">Booked by Chirag Ramani</t>
  </si>
  <si>
    <t xml:space="preserve">
₹2000 received 
2 Persons Max
Rent: ₹1500
Deposit: ₹500
</t>
  </si>
  <si>
    <t xml:space="preserve">AA26A18F-4312-400E-998B-5E279886A709</t>
  </si>
  <si>
    <t xml:space="preserve">Booking confirmed ✅ 
Farm number 11
₹4000 received 
9 Jun 2025 at 9:00 AM to 9 Jun 2025 at 6:00 PM
10 Persons Max
Rent: ₹3000
Deposit: ₹2000
Deposit Refund after check out.</t>
  </si>
  <si>
    <t xml:space="preserve">9D609DE4-C682-454D-8271-B15A052AE7A5</t>
  </si>
  <si>
    <t xml:space="preserve">Booked by Pravanbhai Parmar</t>
  </si>
  <si>
    <t xml:space="preserve">
₹2000 advance received 
8 Persons Max
Rent: ₹3000
Deposit: ₹2000
</t>
  </si>
  <si>
    <t xml:space="preserve">09CBCF9F-19B1-41D4-BDB5-9BA46E9A45B5</t>
  </si>
  <si>
    <t xml:space="preserve">
Rent: ₹1500
</t>
  </si>
  <si>
    <t xml:space="preserve">9FA56E70-90E6-4BF9-8AFC-4557D2FA3D3F</t>
  </si>
  <si>
    <t xml:space="preserve">Booked by Prince pandey</t>
  </si>
  <si>
    <t xml:space="preserve">
₹1000 advance received 
10 Persons Max
Rent: ₹2500
Deposit: ₹1000
</t>
  </si>
  <si>
    <t xml:space="preserve">5C79A6CA-06B7-4A09-AEA7-FC6B9CF7293F</t>
  </si>
  <si>
    <t xml:space="preserve">
₹1000 advance received 
2 Persons Max
Rent: ₹2500
Deposit: ₹1000
</t>
  </si>
  <si>
    <t xml:space="preserve">C8A3BAA1-31EF-4FB1-B109-AD181E06C8B9</t>
  </si>
  <si>
    <t xml:space="preserve">Booked by Aakash singh</t>
  </si>
  <si>
    <t xml:space="preserve">
₹1000 received 
15 Persons Max
Rent: ₹2500
Deposit: ₹1000
</t>
  </si>
  <si>
    <t xml:space="preserve">35C867D2-2B36-416B-9F23-AADCFE45D0F1</t>
  </si>
  <si>
    <t xml:space="preserve">Booked by Vaibhavi Patel</t>
  </si>
  <si>
    <t xml:space="preserve">
₹1000 advance received 
4 Persons Max
Rent: ₹2500
Deposit: ₹2000
</t>
  </si>
  <si>
    <t xml:space="preserve">EE15B834-214A-4829-96F9-1CE5326147E8</t>
  </si>
  <si>
    <t xml:space="preserve">Booked by Dhyey Vadhadiya</t>
  </si>
  <si>
    <t xml:space="preserve">
₹4000 advance received 
15 Persons Max
Rent: ₹10000
Deposit: ₹2000
</t>
  </si>
  <si>
    <t xml:space="preserve">BDF96139-5657-4A8A-B175-510D6FA81E85</t>
  </si>
  <si>
    <t xml:space="preserve">Booked by Harsh Kanoje</t>
  </si>
  <si>
    <t xml:space="preserve">
₹1000 advance received 
10 Persons Max
Rent: ₹4500
Security Deposit: ₹1000 
</t>
  </si>
  <si>
    <t xml:space="preserve">93422631-A99C-437A-BD1F-9056711B0A45</t>
  </si>
  <si>
    <t xml:space="preserve">Booked by Viraj Parakhiya</t>
  </si>
  <si>
    <t xml:space="preserve">
₹1000 advance received 
2 Persons Max
Rent: ₹2400
Deposit: ₹500
</t>
  </si>
  <si>
    <t xml:space="preserve">78EEA64E-A892-4294-A686-258EDEE8F66E</t>
  </si>
  <si>
    <t xml:space="preserve">Booked by Rabindra swain</t>
  </si>
  <si>
    <t xml:space="preserve">
₹500 received 
10 Persons Max
Rent: ₹2500
Deposit: ₹500
</t>
  </si>
  <si>
    <t xml:space="preserve">38364DAC-9611-4A0C-80E5-471A33472B49</t>
  </si>
  <si>
    <t xml:space="preserve">Booked by mukesh vadadoriya</t>
  </si>
  <si>
    <t xml:space="preserve">Booking confirmed ✅ 
Farm number 11
₹1000 advance received 
2 Persons Max
Rent: ₹2000
Deposit: ₹500
</t>
  </si>
  <si>
    <t xml:space="preserve">4627C4A2-5119-4600-81F4-9FBE2F538058</t>
  </si>
  <si>
    <t xml:space="preserve">Booked by Nitesh</t>
  </si>
  <si>
    <t xml:space="preserve">₹1000 advance received 
20 Jun 2025 at 7:00 PM to 21 Jun 2025 at 6:00 PM
8 Persons Max
Rent: ₹4500
Deposit: ₹2000
Deposit Refund after check out.</t>
  </si>
  <si>
    <t xml:space="preserve">B6E0C9DC-47BC-4267-85E7-87CBA74B58EC</t>
  </si>
  <si>
    <t xml:space="preserve">Booked by Ketan sir</t>
  </si>
  <si>
    <t xml:space="preserve">Booking confirmed
Farm number 11
₹2000 advance received 
Ref: Ketan Sir
21 Jun 2025 at 7:00 PM to 22 Jun 2025 at 6:00 PM
15 Persons Max
Rent: ₹0
Deposit: ₹2000
Deposit Refund after check out.</t>
  </si>
  <si>
    <t xml:space="preserve">947664C9-E226-4D0D-919E-C4CAF0C88C29</t>
  </si>
  <si>
    <t xml:space="preserve">Booked by Chirag Sonpal</t>
  </si>
  <si>
    <t xml:space="preserve">Booking confirmed ✅ 
Farm number 11
₹500 received 
22 Jun 2025 at 8:00 PM to 23 Jun 2025 at 6:00 PM
2 Persons Max
Rent: ₹3500
Deposit: ₹500
Deposit Refund after check out.</t>
  </si>
  <si>
    <t xml:space="preserve">B88B3082-F4D5-48E2-A87A-25DF4A8E981B</t>
  </si>
  <si>
    <t xml:space="preserve">Booked by Smit Solanki</t>
  </si>
  <si>
    <t xml:space="preserve">
₹1000 advance received 
15 Persons Max
Rent: ₹4000
Deposit: ₹1000
</t>
  </si>
  <si>
    <t xml:space="preserve">68E18F56-1B3A-44FC-9A27-A628A7AC8F51</t>
  </si>
  <si>
    <t xml:space="preserve">Booked by Kenil Patel</t>
  </si>
  <si>
    <t xml:space="preserve">
₹1000 advance received
2 Persons Max
Rent: ₹2300
Deposit: ₹1000
</t>
  </si>
  <si>
    <t xml:space="preserve">7437BC80-B099-4466-BA16-15D05677A9B5</t>
  </si>
  <si>
    <t xml:space="preserve">Booked by Hitesh Fofliya</t>
  </si>
  <si>
    <t xml:space="preserve">
₹1000 received 
15 Persons Max
Rent: ₹3000
Deposit: ₹1000
</t>
  </si>
  <si>
    <t xml:space="preserve">B252D21E-611E-4445-8A3F-A6A128BDD606</t>
  </si>
  <si>
    <t xml:space="preserve">Booked by Solanki Mihir</t>
  </si>
  <si>
    <t xml:space="preserve">₹1000 received 
4 Persons Max
Rent: ₹3500
Deposit: ₹1000
</t>
  </si>
  <si>
    <t xml:space="preserve">A9DD2C11-52E1-4F16-AADF-95A15EA67BED</t>
  </si>
  <si>
    <t xml:space="preserve">Booked by Manish Sada</t>
  </si>
  <si>
    <t xml:space="preserve">Booking confirmed ✅ 
₹1000 advance received
29 Jun 2025 at 7:00 PM to 30 Jun 2025 at 6:00 PM
10 Persons Max
Rent: ₹3500
Deposit: ₹1000
Deposit Refund after check out.</t>
  </si>
  <si>
    <t xml:space="preserve">0E1129EF-4633-461F-B7BE-C5CE9B6335F1</t>
  </si>
  <si>
    <t xml:space="preserve">Patel Mihir</t>
  </si>
  <si>
    <t xml:space="preserve">Farm number 12
Rent: ₹500
</t>
  </si>
  <si>
    <t xml:space="preserve">3EB0788C-0D17-43E2-87C2-D49065B702A1</t>
  </si>
  <si>
    <t xml:space="preserve">Booked by Indrapratap Singh</t>
  </si>
  <si>
    <t xml:space="preserve">
₹500 received 
2 Persons Max
Rent: ₹2000
Deposit: ₹500
</t>
  </si>
  <si>
    <t xml:space="preserve">3CD5B16D-C5FE-4725-8306-01A72365A6D5</t>
  </si>
  <si>
    <t xml:space="preserve">Booked by Bhagya shah</t>
  </si>
  <si>
    <t xml:space="preserve">
₹2000 received 
15 Persons Max
Rent: ₹5000
Deposit: ₹2000
</t>
  </si>
  <si>
    <t xml:space="preserve">9235840D-D7A3-4CB6-9C8D-464C5F5707C5</t>
  </si>
  <si>
    <t xml:space="preserve">Booked by Mehul Jethva</t>
  </si>
  <si>
    <t xml:space="preserve">
₹500 advance received 
8 Persons Max
Rent: ₹2000
Deposit: ₹500
</t>
  </si>
  <si>
    <t xml:space="preserve">9F0EEEAD-FDE9-4EF6-98E2-0299E1A7CDB2</t>
  </si>
  <si>
    <t xml:space="preserve">Booked by Rutvik Mandanka</t>
  </si>
  <si>
    <t xml:space="preserve">₹500 advance received 
Vinit Pipaliya
2 Persons Max
Rent: ₹2000
Deposit: ₹500
</t>
  </si>
  <si>
    <t xml:space="preserve">84169055-23AC-4EDE-8316-D0E3503B0C02</t>
  </si>
  <si>
    <t xml:space="preserve">Booked by Heet</t>
  </si>
  <si>
    <t xml:space="preserve">
Farm number 11
₹500 received 
2 Persons Max
Rent: ₹2000
Deposit: ₹500
</t>
  </si>
  <si>
    <t xml:space="preserve">876D9786-CC8D-4304-9D3E-93F6761BC271</t>
  </si>
  <si>
    <t xml:space="preserve">Booked by Mit kukadiya</t>
  </si>
  <si>
    <t xml:space="preserve">
Farm number 11
₹500 advance received 
2 Persons Max
Rent: ₹2000
Deposit: ₹500
</t>
  </si>
  <si>
    <t xml:space="preserve">95D2DB26-40A7-4D1A-B6F3-EBE63E3DFA35</t>
  </si>
  <si>
    <t xml:space="preserve">Booked by Tanmay Agarval</t>
  </si>
  <si>
    <t xml:space="preserve">
₹1000 received 
12 Persons Max
Rent: ₹3000
Deposit: ₹1000
</t>
  </si>
  <si>
    <t xml:space="preserve">6CFB0587-7C16-4DA1-9B85-E86B7B7D449E</t>
  </si>
  <si>
    <t xml:space="preserve">Booked by Ganesh Vasava</t>
  </si>
  <si>
    <t xml:space="preserve">
₹1000 received 
15 Persons Max
Rent: ₹4500
Deposit: ₹2000
</t>
  </si>
  <si>
    <t xml:space="preserve">D109531A-E81A-4E62-8FC8-2F974E6714FF</t>
  </si>
  <si>
    <t xml:space="preserve">Booked by Gaurang Patel</t>
  </si>
  <si>
    <t xml:space="preserve">
₹1000 received 
Farm number 11
5 Persons Max
Rent: ₹2500
Deposit: ₹1000
</t>
  </si>
  <si>
    <t xml:space="preserve">062DFB1E-A2D6-4EF6-AAAF-9A1410849DB9</t>
  </si>
  <si>
    <t xml:space="preserve">Booked by patel mihir</t>
  </si>
  <si>
    <t xml:space="preserve">
Booking confirmed ✅ 
Farm number 11
₹2000 received 
2 Persons Max
Rent: ₹2000
Deposit: ₹500
</t>
  </si>
  <si>
    <t xml:space="preserve">3F9FE874-3873-4306-BF60-A69173A832B4</t>
  </si>
  <si>
    <t xml:space="preserve">Booked by Parmar Darshan</t>
  </si>
  <si>
    <t xml:space="preserve">Booking confirmed ✅ 
Farm number 11
₹500 received 
6 Persons Max
Rent: ₹2000
Deposit: ₹500
</t>
  </si>
  <si>
    <t xml:space="preserve">21C9A1FF-FBFC-4EEC-852C-E865A3A920F5</t>
  </si>
  <si>
    <t xml:space="preserve">Booked by Roshani modi</t>
  </si>
  <si>
    <t xml:space="preserve">
Farm number 11
₹1000 received 
12 Persons Max
Rent: ₹4000
Deposit: ₹1000
</t>
  </si>
  <si>
    <t xml:space="preserve">21BAE0A5-D13D-4684-9605-73A6642193D9</t>
  </si>
  <si>
    <t xml:space="preserve">Booked by Himanshu Chandak</t>
  </si>
  <si>
    <t xml:space="preserve">Booked in Agent shyam
Rate ₹2000 
2 Persons Max
Rent: ₹1000
Deposit: ₹1000
Deposit Refund after check out.</t>
  </si>
  <si>
    <t xml:space="preserve">517E8044-9BE3-467E-A231-060F5D504ED1</t>
  </si>
  <si>
    <t xml:space="preserve">Booked by jitu padhara</t>
  </si>
  <si>
    <t xml:space="preserve">Booking confirmed ✅ 
Farm number 11
₹1000 advance received
19 Jul 2025 at 7:00 PM to 20 Jul 2025 at 6:00 PM
13 Persons Max
Rent: ₹4500
Deposit: ₹1000
Deposit Refund after check out.</t>
  </si>
  <si>
    <t xml:space="preserve">37CD62A5-CEB9-430F-8A49-A6DE2479BC8F</t>
  </si>
  <si>
    <t xml:space="preserve">Booked by Kurhe Hrishabh</t>
  </si>
  <si>
    <t xml:space="preserve">
Farm number 11
₹1000 received 
2 Persons Max
Rent: ₹5500
Deposit: ₹1000
</t>
  </si>
  <si>
    <t xml:space="preserve">1CD385F3-C899-41C4-80C1-BC7D6577E16D</t>
  </si>
  <si>
    <t xml:space="preserve">Booked by Yogesh bhanderi</t>
  </si>
  <si>
    <t xml:space="preserve">
₹500 received 
Farm number 11
10 Persons Max
Rent: ₹3000
Deposit: ₹500
</t>
  </si>
  <si>
    <t xml:space="preserve">47148578-59DB-457E-9F90-54227DA0263C</t>
  </si>
  <si>
    <t xml:space="preserve">Booked by Bhavin chandekar</t>
  </si>
  <si>
    <t xml:space="preserve">Booking confirmed ✅ 
₹1000 received 
Rate ₹2300 
₹1300 pending to Agent shyam
12 Persons Max
Rent: ₹700
Deposit: ₹1000
</t>
  </si>
  <si>
    <t xml:space="preserve">8E85680D-D86E-4972-B531-90FACEBDB827</t>
  </si>
  <si>
    <t xml:space="preserve">Booked by Rohit sharma</t>
  </si>
  <si>
    <t xml:space="preserve">Booking confirmed ✅ 
Farm number 11
₹1000 received 
2 Persons Max
Rent: ₹2500
Deposit: ₹500
</t>
  </si>
  <si>
    <t xml:space="preserve">A3F9F887-5FD2-4E37-85C0-577BBF0FEA0A</t>
  </si>
  <si>
    <t xml:space="preserve">Booked by Vanraj</t>
  </si>
  <si>
    <t xml:space="preserve">Booking confirmed ✅ 
Farm number 11
₹500 received 
25 Jul 2025 at 10:00 AM to 25 Jul 2025 at 7:00 PM
8 Persons Max
Rent: ₹2500
Deposit: ₹1000
Deposit Refund after check out.</t>
  </si>
  <si>
    <t xml:space="preserve">50DF70BD-EE1E-41F8-A677-1AA16D54121F</t>
  </si>
  <si>
    <t xml:space="preserve">Booked by Abhay Singh</t>
  </si>
  <si>
    <t xml:space="preserve">
₹500 received 
8 Persons Max
Rent: ₹3000
Deposit: ₹1000
</t>
  </si>
  <si>
    <t xml:space="preserve">47AC73FB-3007-47C9-8B17-F0479BE3C330</t>
  </si>
  <si>
    <t xml:space="preserve">Booking confirmed
₹500 advance received
28 Jul 2025 at 9:00 AM to 28 Jul 2025 at 6:00 PM
2 Persons Max
Rent: ₹2000
Deposit: ₹500
Deposit Refund after check out.</t>
  </si>
  <si>
    <t xml:space="preserve">8ED3C2BF-577B-4634-9D9C-AF2835D52B96</t>
  </si>
  <si>
    <t xml:space="preserve">Booked by Kalsariya hardik</t>
  </si>
  <si>
    <t xml:space="preserve">
₹500 received 
2 Persons Max
Rent: ₹1800
Deposit: ₹500
</t>
  </si>
  <si>
    <t xml:space="preserve">C2A077F3-A836-4F40-972B-6CD864E34E24</t>
  </si>
  <si>
    <t xml:space="preserve">Booked by Rahul Gelani</t>
  </si>
  <si>
    <t xml:space="preserve">
Farm number 11
₹500 received
2 Persons Max without pool
Rent: ₹1500
Deposit: ₹500
</t>
  </si>
  <si>
    <t xml:space="preserve">8AA9BA38-5066-4DD0-83F6-2DE72D3E66C2</t>
  </si>
  <si>
    <t xml:space="preserve">Booked by Krish Dusane</t>
  </si>
  <si>
    <t xml:space="preserve">
₹1000 advance received
7 Persons Max
Rent: ₹2200
Deposit: ₹1000
Deposit Refund after check out.</t>
  </si>
  <si>
    <t xml:space="preserve">9C590266-D3BE-452F-94BF-B07CFAEDC37D</t>
  </si>
  <si>
    <t xml:space="preserve">Booked by Ankit Beladiya</t>
  </si>
  <si>
    <t xml:space="preserve">Booking confirmed ✅ 
₹1000 advance received
2 Aug 2025 at 7:00 PM to 3 Aug 2025 at 6:00 PM
12 Persons Max
Rent: ₹4500
Deposit: ₹1000
Deposit Refund after check out.</t>
  </si>
  <si>
    <t xml:space="preserve">1EBAF240-3BCF-48C4-A088-037BACF9204D</t>
  </si>
  <si>
    <t xml:space="preserve">Booked by Dharmik Jadav</t>
  </si>
  <si>
    <t xml:space="preserve">
₹1000 received 
5 Persons Max
Rent: ₹3000
Deposit: ₹1000
</t>
  </si>
  <si>
    <t xml:space="preserve">C66EB5C1-250E-4517-B9CF-E4C14CA84A9C</t>
  </si>
  <si>
    <t xml:space="preserve">Booked by Maurya Atul </t>
  </si>
  <si>
    <t xml:space="preserve">
₹1000 received 
4 Persons Max
Rent: ₹2500
Deposit: ₹500
</t>
  </si>
  <si>
    <t xml:space="preserve">664703E6-189B-45A2-B04D-F964A8599282</t>
  </si>
  <si>
    <t xml:space="preserve">Booking confirmed ✅ 
Farm number 11
₹1000 advance received
8 Aug 2025 at 9:00 AM to 8 Aug 2025 at 6:00 PM
5 Persons Max
Rent: ₹2700
Deposit: ₹1000
Deposit Refund after check out.</t>
  </si>
  <si>
    <t xml:space="preserve">97BD64C6-5B30-4D94-8E29-6C56F11C809B</t>
  </si>
  <si>
    <t xml:space="preserve">Booked by Falguni Sarvaiya</t>
  </si>
  <si>
    <t xml:space="preserve">
Farm number 11
₹1000 received 
10 Persons Max
Rent: ₹4500
Deposit: ₹1000
</t>
  </si>
  <si>
    <t xml:space="preserve">7978A021-D378-4364-B411-89A3F2CB5E35</t>
  </si>
  <si>
    <t xml:space="preserve">Booked by Yash Virani</t>
  </si>
  <si>
    <t xml:space="preserve">
₹1000 received 
7 Persons Max
Rent: ₹4500
Deposit: ₹1000
</t>
  </si>
  <si>
    <t xml:space="preserve">576A28D9-CA73-4006-BA07-8DA098FF8570</t>
  </si>
  <si>
    <t xml:space="preserve">Booking confirmed ✅ 
Farm number 11
₹1000 advance received
11 Aug 2025 at 7:00 PM to 12 Aug 2025 at 6:00 PM
10 Persons Max
Rent: ₹3500
Deposit: ₹1000
Deposit Refund after check out.</t>
  </si>
  <si>
    <t xml:space="preserve">3D19C6C9-00E2-4816-81C2-A7F2C5779E17</t>
  </si>
  <si>
    <t xml:space="preserve">Aarchi khatri</t>
  </si>
  <si>
    <t xml:space="preserve">
₹1000 received 
4 Persons Max
Rent: ₹3000
Deposit: ₹1000
Deposit Refund after check out.</t>
  </si>
  <si>
    <t xml:space="preserve">577AC122-C9A7-424B-AB02-0AFAB5451B0C</t>
  </si>
  <si>
    <t xml:space="preserve">Booked by Dheeraj Malani</t>
  </si>
  <si>
    <t xml:space="preserve">
₹2000 received 
8 Persons Max
Rent: ₹4500
Deposit: ₹2000
</t>
  </si>
  <si>
    <t xml:space="preserve">F176B6C1-6134-4F8F-9979-898A08A74914</t>
  </si>
  <si>
    <t xml:space="preserve">Booked by Rakesh valiya</t>
  </si>
  <si>
    <t xml:space="preserve">
₹1000 received 
10 Persons Max
Rent: ₹6500
Deposit: ₹2000
</t>
  </si>
  <si>
    <t xml:space="preserve">7B943D82-B406-4E88-BABC-5A1A4D0E17E0</t>
  </si>
  <si>
    <t xml:space="preserve">Booked by Dev Patel</t>
  </si>
  <si>
    <t xml:space="preserve">
₹1000 received 
10 Persons Max
Rent: ₹1000
Deposit: ₹1000
Deposit Refund after check out.</t>
  </si>
  <si>
    <t xml:space="preserve">F772322F-FA34-4943-8E3E-86E227067CCA</t>
  </si>
  <si>
    <t xml:space="preserve">Booked by Suba Ajay</t>
  </si>
  <si>
    <t xml:space="preserve">Booking confirmed 
Farm number 11
₹1000 received 
10 Persons Max
Rent: ₹5000
Deposit: ₹1000
Deposit Refund after check out.</t>
  </si>
  <si>
    <t xml:space="preserve">E70C944A-3D6B-4513-ACED-2201EC27BD18</t>
  </si>
  <si>
    <t xml:space="preserve">Booked by Shyamal</t>
  </si>
  <si>
    <t xml:space="preserve">Booking confirmed ✅ 
Farm number 11
₹1000 advance received
3 Persons Max
Rent: ₹4000
Deposit: ₹1000
Deposit Refund after check out.</t>
  </si>
  <si>
    <t xml:space="preserve">8E3C2DAC-C54C-4C07-A5D6-D1350C2E1208</t>
  </si>
  <si>
    <t xml:space="preserve">Booked by Vandana Patel</t>
  </si>
  <si>
    <t xml:space="preserve">A129B553-9068-4E35-BD62-572214844057</t>
  </si>
  <si>
    <t xml:space="preserve">Booked by Vrusha Rajput</t>
  </si>
  <si>
    <t xml:space="preserve">
Farm number 11
₹500 received 
7 Persons Max
Rent: ₹3500
Deposit: ₹1000
Deposit Refund after check out.</t>
  </si>
  <si>
    <t xml:space="preserve">C200B922-AD05-4652-A009-72179EB33E4B</t>
  </si>
  <si>
    <t xml:space="preserve">Booked by Divya</t>
  </si>
  <si>
    <t xml:space="preserve">Rent:500</t>
  </si>
  <si>
    <t xml:space="preserve">9431EEA8-29A9-4AC0-9082-E214ADE9A34D</t>
  </si>
  <si>
    <t xml:space="preserve">Booking confirmed ✅ 
Farm number 11
₹1000 advance received
23 Aug 2025 at 7:00 PM to 24 Aug 2025 at 6:00 PM
10 Persons Max
Rent: ₹3500
Deposit: ₹1000
Deposit Refund after check out.</t>
  </si>
  <si>
    <t xml:space="preserve">6524D176-4703-4952-8785-C04347F73A5F</t>
  </si>
  <si>
    <t xml:space="preserve">Booked by Roshan</t>
  </si>
  <si>
    <t xml:space="preserve">₹1000 advance received
5 Persons Max
Rent: ₹2500
Deposit: ₹1000
</t>
  </si>
  <si>
    <t xml:space="preserve">AF99F8CA-CA08-43DE-985C-275120094B95</t>
  </si>
  <si>
    <t xml:space="preserve">Booked by milan</t>
  </si>
  <si>
    <t xml:space="preserve">₹500 received 
2 Persons Max
Rent: ₹1500
Deposit: ₹500
Deposit Refund after check out.</t>
  </si>
  <si>
    <t xml:space="preserve">1453B5AA-4C66-4AFD-8981-3DEC7CC6743E</t>
  </si>
  <si>
    <t xml:space="preserve">Booking confirmed ✅ 
Farm number 11
₹1000 advance received
27 Aug 2025 at 7:00 PM to 28 Aug 2025 at 6:00 PM
10 Persons Max
Rent: ₹3500
Deposit: ₹1000
Deposit Refund after check out.</t>
  </si>
  <si>
    <t xml:space="preserve">C198A6E2-4CCC-4E88-A64C-84B4976072B5</t>
  </si>
  <si>
    <t xml:space="preserve">Booking confirmed ✅ 
₹500 received 
29 Aug 2025 at 9:00 AM to 29 Aug 2025 at 6:00 PM
2 Persons Max with pool
Rent: ₹3500
Deposit: ₹500
2500 rent + 1000 commision on agent booking
Deposit Refund after check out.</t>
  </si>
  <si>
    <t xml:space="preserve">E585629A-A7A8-476E-B21F-E2D2B113888E</t>
  </si>
  <si>
    <t xml:space="preserve">
Farm number 11
₹500 received 
5 Persons Max
Rent: ₹2500
Deposit: ₹500
</t>
  </si>
  <si>
    <t xml:space="preserve">2C22CF12-3217-4E9E-8DC4-D1B5686706CD</t>
  </si>
  <si>
    <t xml:space="preserve">Booked by Shashi</t>
  </si>
  <si>
    <t xml:space="preserve">
2 Persons Max
Rent: ₹1500
Deposit: ₹500
Deposit Refund after check out.</t>
  </si>
  <si>
    <t xml:space="preserve">635520CD-7858-4941-9BE9-F860B7ADBF40</t>
  </si>
  <si>
    <t xml:space="preserve">
₹1000 received 
17 Persons Max
Rent: ₹3200
Deposit: ₹1000
Deposit Refund after check out.</t>
  </si>
  <si>
    <t xml:space="preserve">5DC97740-8D0B-4DFF-B750-B8C651A5ADE8</t>
  </si>
  <si>
    <t xml:space="preserve">Booked by kishan kheni</t>
  </si>
  <si>
    <t xml:space="preserve">Booking cancelled 
Farm number 11
₹1000 received 
12 Persons Max
Rent: ₹1000
Deposit: ₹2000
Deposit Refund after check out.</t>
  </si>
  <si>
    <t xml:space="preserve">D1E47C36-9839-4F2B-88B1-036A263DDEA6</t>
  </si>
  <si>
    <t xml:space="preserve">Booked by nilesh </t>
  </si>
  <si>
    <t xml:space="preserve">Booking confirmed ✅ 
₹1000 received 
Farm number 11
10 Persons Max
Rent: ₹3000
Deposit: ₹1000
Deposit Refund after check out.</t>
  </si>
  <si>
    <t xml:space="preserve">426BC633-C5E3-4781-90A0-EC322F65B916</t>
  </si>
  <si>
    <t xml:space="preserve">Booked by mukesh sonwane</t>
  </si>
  <si>
    <t xml:space="preserve">
7 Persons Max
Rent: ₹2200
Deposit: ₹1000
</t>
  </si>
  <si>
    <t xml:space="preserve">6936BFA6-E9C8-4F34-B1CC-A41A2C36EE7A</t>
  </si>
  <si>
    <t xml:space="preserve"> Booked by Krunal Patel</t>
  </si>
  <si>
    <t xml:space="preserve">Booking confirmed ✅ 
Farm number 11
₹500 received 
10 Sep 2025 at 10:00 AM to 10 Sep 2025 at 6:00 PM
2 Persons Max
Rent: ₹1500 without pool
Deposit: ₹500
Deposit Refund after check out.</t>
  </si>
  <si>
    <t xml:space="preserve">31984374-8506-482E-87D5-9110836459E2</t>
  </si>
  <si>
    <t xml:space="preserve">Booked by amit chauhan</t>
  </si>
  <si>
    <t xml:space="preserve">
₹500 received 
2 Persons Max
Rent: ₹1500 without pool
Deposit: ₹500
Deposit Refund after check out.</t>
  </si>
  <si>
    <t xml:space="preserve">8019A105-272C-40F4-8C0D-B6A223C9E58A</t>
  </si>
  <si>
    <t xml:space="preserve">Booked by rubindra swain</t>
  </si>
  <si>
    <t xml:space="preserve">
₹500 received 
6 Persons Max
Rent: ₹2500
Deposit: ₹1000
</t>
  </si>
  <si>
    <t xml:space="preserve">317B8699-AE7F-4E5E-8AE4-AACC2AD9B042</t>
  </si>
  <si>
    <t xml:space="preserve">Booked by Dhruv Dodiya</t>
  </si>
  <si>
    <t xml:space="preserve">Booking confirmed ✅ 
Farm number 11
₹500 advance received
12 Sep 2025 at 9:00 AM to 12 Sep 2025 at 6:00 PM
2 Persons Max without pool
Rent: ₹1500
Deposit: ₹500
Deposit Refund after check out.</t>
  </si>
  <si>
    <t xml:space="preserve">ECDBC41D-B509-4138-9172-89BD86A43C09</t>
  </si>
  <si>
    <t xml:space="preserve">Booked by Subham Mishara</t>
  </si>
  <si>
    <t xml:space="preserve">Booking confirmed ✅ 
Farm number 11
₹500 received 
2 Persons Max
Rent: ₹2000
Deposit: ₹500
Deposit Refund after check out.</t>
  </si>
  <si>
    <t xml:space="preserve">9074BDD3-A277-4DEE-972A-6998392C2BF7</t>
  </si>
  <si>
    <t xml:space="preserve">Booked by Dinesh Chawdhari</t>
  </si>
  <si>
    <t xml:space="preserve">Booking confirmed ✅ 
Farm number 11
₹1000 received 
10 Persons Max
Rent: ₹4000
Deposit: ₹1000
Deposit Refund after check out.</t>
  </si>
  <si>
    <t xml:space="preserve">7192C859-6CAF-4A73-897F-B46394921C98</t>
  </si>
  <si>
    <t xml:space="preserve">Booked by prakash kachhi</t>
  </si>
  <si>
    <t xml:space="preserve">D5324AE6-F8CD-4B1B-9349-1FFB43E15ABB</t>
  </si>
  <si>
    <t xml:space="preserve">Booked by nitin kumar</t>
  </si>
  <si>
    <t xml:space="preserve">Booking confirmed ✅ 
Farm number 11
₹1000 received 
6 Persons Max
Rent: ₹2200
Deposit: ₹500
Deposit Refund after check out.</t>
  </si>
  <si>
    <t xml:space="preserve">006459E4-9F1A-425F-AFBB-B114A7ED2072</t>
  </si>
  <si>
    <t xml:space="preserve">Booking confirmed ✅ 
Farm number 11
₹500 received 
4 Persons Max
Rent: ₹2200
Deposit: ₹500
Deposit Refund after check out.</t>
  </si>
  <si>
    <t xml:space="preserve">2CCAAB2C-CDEE-4D8C-A46B-F85FC057808C</t>
  </si>
  <si>
    <t xml:space="preserve">Booked by dhruv bajariya</t>
  </si>
  <si>
    <t xml:space="preserve">18 Sep 2025 at 2:00 PM to 20 Sep 2025 at 9:00 AM
10 Persons Max
Rent: ₹1500
Deposit: ₹1000
Deposit Refund after check out.</t>
  </si>
  <si>
    <t xml:space="preserve">3892137F-79BC-4451-AE16-D5B25D8BB580</t>
  </si>
  <si>
    <t xml:space="preserve">Booked by Nishant Shah</t>
  </si>
  <si>
    <t xml:space="preserve">Booking confirmed ✅ 
Farm number 11
₹1000 advance received
20 Sep 2025 at 7:00 PM to 21 Sep 2025 at 6:00 PM
10 Persons Max
Rent: ₹1000
Deposit: ₹1000
Deposit Refund after check out.</t>
  </si>
  <si>
    <t xml:space="preserve">014D7B90-22AE-4588-AAC0-B21C6AA1F54C</t>
  </si>
  <si>
    <t xml:space="preserve">Booked by rahul</t>
  </si>
  <si>
    <t xml:space="preserve">Booking confirmed ✅ 
Farm number 11
₹1000 received 
7 Persons Max
Rent: ₹3000
Deposit: ₹1000
Deposit Refund after check out.</t>
  </si>
  <si>
    <t xml:space="preserve">93EA8A1B-675F-4C42-B0E4-1401539BF141</t>
  </si>
  <si>
    <t xml:space="preserve">Booked by Monesh Boricha</t>
  </si>
  <si>
    <t xml:space="preserve">Booking confirmed ✅ 
Farm number 11
₹500 advance received
2 Persons Max without pool
Rent: ₹1500
Deposit: ₹500
Deposit Refund after check out.</t>
  </si>
  <si>
    <t xml:space="preserve">7329907C-7A0B-4C8D-BBEC-17CFD049517A</t>
  </si>
  <si>
    <t xml:space="preserve">Booked by nitin</t>
  </si>
  <si>
    <t xml:space="preserve">
Farm number 11
₹2000 received 
2 Persons Max
Rent: ₹1500
Deposit: ₹500
Deposit Refund after check out.</t>
  </si>
  <si>
    <t xml:space="preserve">B72B8B3C-9BE2-483B-8393-F9CE00BF5EA0</t>
  </si>
  <si>
    <t xml:space="preserve">Booked by Maulik</t>
  </si>
  <si>
    <t xml:space="preserve">
Farm number 11
₹1000 received 
4 Persons Max
Rent: ₹2800
Deposit: ₹1000
</t>
  </si>
  <si>
    <t xml:space="preserve">31BD1433-4F1B-4E8B-92A2-AADB4773E3C6</t>
  </si>
  <si>
    <t xml:space="preserve">Booked by anshu tiwari</t>
  </si>
  <si>
    <t xml:space="preserve">Booking confirmed ✅ 
Farm number 11
₹1000 received 
12 Persons Max
Rent: ₹2500
Deposit: ₹1000
Deposit Refund after check out.</t>
  </si>
  <si>
    <t xml:space="preserve">0437D1D4-661D-49A6-AE52-AB2380B0A4A4</t>
  </si>
  <si>
    <t xml:space="preserve">Booked by jay bhuva</t>
  </si>
  <si>
    <t xml:space="preserve">
Farm number 11
₹1000 received 
7 Persons Max
Rent: ₹2800
Deposit: ₹1000
Deposit Refund after check out.</t>
  </si>
  <si>
    <t xml:space="preserve">62D07CA6-F7F1-45A0-A40B-0B42344056BF</t>
  </si>
  <si>
    <t xml:space="preserve">Booked by vaibhavi patel</t>
  </si>
  <si>
    <t xml:space="preserve">Farm number 11
₹1000 received 
4 Persons Max
Rent: ₹2500
Deposit: ₹500
</t>
  </si>
  <si>
    <t xml:space="preserve">642CB9D8-CCED-45DD-8117-3AC584692587</t>
  </si>
  <si>
    <t xml:space="preserve">Booked by kalpesh dangar</t>
  </si>
  <si>
    <t xml:space="preserve">
Farm number 11
₹1000 received 
4 Persons Max
Rent: ₹3000
Deposit: ₹1000
Deposit Refund after check out.</t>
  </si>
  <si>
    <t xml:space="preserve">A0A675CB-D819-49B1-818A-A4E6AFA22D49</t>
  </si>
  <si>
    <t xml:space="preserve">Booked by harish singh</t>
  </si>
  <si>
    <t xml:space="preserve">
Farm number 11
₹1000 received 
8 Persons Max
Rent: ₹3500
Deposit: ₹1000
</t>
  </si>
  <si>
    <t xml:space="preserve">9D24BE34-6764-4A64-A457-8DB46700528E</t>
  </si>
  <si>
    <t xml:space="preserve">Booked by Nevil</t>
  </si>
  <si>
    <t xml:space="preserve">Booking confirmed ✅ 
Farm number 11
₹1500 advance received
6 Oct 2025 at 9:00 AM to 6 Oct 2025 at 6:00 PM
2 Persons Max
Rent: ₹1500
Deposit: ₹500
Deposit Refund after check out.</t>
  </si>
  <si>
    <t xml:space="preserve">2A7AD458-4418-4285-8D3A-FF0FB4A9DAF4</t>
  </si>
  <si>
    <t xml:space="preserve">Booked by Tapan patel</t>
  </si>
  <si>
    <t xml:space="preserve">
Farm number 11
₹1000 received 
2 Persons Max
Rent: ₹1500
Deposit: ₹500
Deposit Refund after check out.</t>
  </si>
  <si>
    <t xml:space="preserve">67A37E2D-E82C-4AF1-9ADC-CCB80571790C</t>
  </si>
  <si>
    <t xml:space="preserve">Booked by Rajan Yadav</t>
  </si>
  <si>
    <t xml:space="preserve">Booking confirmed ✅ 
Farm number 11
₹1000 advance received
10 Oct 2025 at 7:00 PM to 11 Oct 2025 at 8:00 AM
10 Persons Max
Rent: ₹2500
Deposit: ₹1000
Deposit Refund after check out.</t>
  </si>
  <si>
    <t xml:space="preserve">E4767B4D-983F-476E-89DC-2D643C779791</t>
  </si>
  <si>
    <t xml:space="preserve">Booking confirmed ✅ 
Farm number 11
₹500 advance received
11 Oct 2025 at 9:00 AM to 11 Oct 2025 at 6:00 PM
2 Persons Max
Rent: ₹2000
Deposit: ₹500
Deposit Refund after check out.</t>
  </si>
  <si>
    <t xml:space="preserve">35C13CBB-C0F3-4F7F-8BEA-25548A341370</t>
  </si>
  <si>
    <t xml:space="preserve">Booked by Preet</t>
  </si>
  <si>
    <t xml:space="preserve">
Farm number 11
₹1000 received 
2 Persons Max
Rent: ₹2200
Deposit: ₹500
Deposit Refund after check out.</t>
  </si>
  <si>
    <t xml:space="preserve">1061CE30-9D1E-4C4F-97C3-33D7EFD63472</t>
  </si>
  <si>
    <t xml:space="preserve">Rent: ₹2200</t>
  </si>
  <si>
    <t xml:space="preserve">6A9F88BF-AAAD-4E86-A0E9-CD56152B8563</t>
  </si>
  <si>
    <t xml:space="preserve">Booked by Navjeet</t>
  </si>
  <si>
    <t xml:space="preserve">Booking confirmed ✅ 
Farm number 11
₹500 advance received 
13 Oct 2025 at 9:00 AM to 13 Oct 2025 at 6:00 PM
2 Persons Max
Rent: ₹2000
Deposit: ₹500
Deposit Refund after check out.</t>
  </si>
  <si>
    <t xml:space="preserve">6A925A1B-AF11-41F0-8EFA-ED53AFC89B89</t>
  </si>
  <si>
    <t xml:space="preserve">Booked by Piyu Patel </t>
  </si>
  <si>
    <t xml:space="preserve">Farm number 11
₹500 received 
2 Persons Max without pool 
Rent: ₹1500
Deposit: ₹500
Deposit Refund after check out.</t>
  </si>
  <si>
    <t xml:space="preserve">C7D13104-EA9B-40B9-94E2-4252F2CBC107</t>
  </si>
  <si>
    <t xml:space="preserve">
Farm number 11
₹1000 received 
2 Persons Max
Rent: ₹2300
Deposit: ₹500
Deposit Refund after check out.</t>
  </si>
  <si>
    <t xml:space="preserve">A1D5F72F-D770-4A8A-AAE3-ECE6925435C1</t>
  </si>
  <si>
    <t xml:space="preserve">Booked by gediya harikrishna</t>
  </si>
  <si>
    <t xml:space="preserve">Booking confirmed ✅ 
Farm number 11
₹500 received 
2 Persons Max without pool
Rent: ₹2000
Deposit: ₹500
Deposit Refund after check out.</t>
  </si>
  <si>
    <t xml:space="preserve">D872F4ED-CE5D-457D-B806-6BE3BAA71ADB</t>
  </si>
  <si>
    <t xml:space="preserve">Booked by Dipak</t>
  </si>
  <si>
    <t xml:space="preserve">Booking confirmed ✅ 
Farm number 11
₹500 advance received
4 Persons Max
Rent: ₹2600
Deposit: ₹1000
Deposit Refund after check out.</t>
  </si>
  <si>
    <t xml:space="preserve">07115B8F-7E85-4D73-A09E-6E6D6B5D5F3D</t>
  </si>
  <si>
    <t xml:space="preserve">17 Oct 2025 at 7:00 PM to 18 Oct 2025 at 8:00 AM
4 Persons Max
Rent: ₹2500
Deposit: ₹500
Deposit Refund after check out.</t>
  </si>
  <si>
    <t xml:space="preserve">8D44A8B8-78DC-4E18-9BA7-CED4EB16D508</t>
  </si>
  <si>
    <t xml:space="preserve">Booked by Divyesh Chauhan</t>
  </si>
  <si>
    <t xml:space="preserve">Booking confirmed ✅ 
Farm number 11
₹500 received 
2 Persons Max without pool
Rent: ₹1500
Deposit: ₹500
Deposit Refund after check out.</t>
  </si>
  <si>
    <t xml:space="preserve">1F304040-D823-47BB-9414-B94CBE4973D8</t>
  </si>
  <si>
    <t xml:space="preserve">Booked by Mohit jain </t>
  </si>
  <si>
    <t xml:space="preserve">
₹1000 received 
Farm number 11
6 Persons Max
Rent: ₹3700
Deposit: ₹1000
Deposit Refund after check out.</t>
  </si>
  <si>
    <t xml:space="preserve">62ED5299-19A6-4C75-8BEA-A2D272C46F84</t>
  </si>
  <si>
    <t xml:space="preserve">Booked by Sharad shrivastav</t>
  </si>
  <si>
    <t xml:space="preserve">Booking confirmed ✅ 
Farm number 11
₹2000 received
10 Persons Max
Rent: ₹4000
Deposit: ₹1000
Deposit Refund after check out.</t>
  </si>
  <si>
    <t xml:space="preserve">E7583606-F017-4340-9CFC-2F6D68DA6184</t>
  </si>
  <si>
    <t xml:space="preserve">Cancelled by Sahu Govinda </t>
  </si>
  <si>
    <t xml:space="preserve">Booking cancelled 
Rent: ₹1000</t>
  </si>
  <si>
    <t xml:space="preserve">91CFBB70-4F02-416A-A92C-C1458DCBABD6</t>
  </si>
  <si>
    <t xml:space="preserve">Booked by Dhruvil</t>
  </si>
  <si>
    <t xml:space="preserve">Booking confirmed ✅ 
Farm number 11
₹1000 advance received
22 Oct 2025 at 7:00 PM to 23 Oct 2025 at 6:00 PM
6 Persons Max
Rent: ₹6000
Deposit: ₹1000
Deposit Refund after check out.</t>
  </si>
  <si>
    <t xml:space="preserve">16785D0F-4B80-48BF-8395-CDFCF83A7E7E</t>
  </si>
  <si>
    <t xml:space="preserve">Booking confirmed ✅ 
Farm number 11
₹1000 advance received
23 Oct 2025 at 7:00 PM to 24 Oct 2025 at 8:00 AM
15 Persons Max
Rent: ₹3000
Deposit: ₹1000
Deposit Refund after check out.</t>
  </si>
  <si>
    <t xml:space="preserve">CBDBAAC3-7273-47C4-BD7E-8ADE4BA6CF73</t>
  </si>
  <si>
    <t xml:space="preserve">Booked by Vasisth Mistry</t>
  </si>
  <si>
    <t xml:space="preserve">
Farm number 11
₹1000 received 
10 Persons Max
Rent: ₹3500
Deposit: ₹500
Deposit Refund after check out.</t>
  </si>
  <si>
    <t xml:space="preserve">024F32A6-7A28-4814-9E31-C874EBC7B36A</t>
  </si>
  <si>
    <t xml:space="preserve">Booked by Manjeet</t>
  </si>
  <si>
    <t xml:space="preserve">Booking confirmed ✅ 
Farm number 11
₹2000 received 
10 Persons Max
Rent: ₹10500
Deposit: ₹1000
Deposit Refund after check out.</t>
  </si>
  <si>
    <t xml:space="preserve">67649453-2F19-4B06-8A96-CF1D2368585A</t>
  </si>
  <si>
    <t xml:space="preserve">Booked by Dipu Nahak</t>
  </si>
  <si>
    <t xml:space="preserve">Booking confirmed ✅ 
Farm number 11
₹1000 advance received
10 Persons Max
Rent: ₹3000
Security Deposit: ₹1000
Security Deposit Refund after check out.</t>
  </si>
  <si>
    <t xml:space="preserve">594DC22A-19E3-4F49-8B09-82A0087530DA</t>
  </si>
  <si>
    <t xml:space="preserve">Booked by nirmal</t>
  </si>
  <si>
    <t xml:space="preserve">Booking confirmed ✅ 
Farm number 11
₹500 received 
2 Persons Max
Rent: ₹2000 with pool
Deposit: ₹500
Deposit Refund after check out.</t>
  </si>
  <si>
    <t xml:space="preserve">0E077B6D-C59E-4246-9B68-2688C013FF89</t>
  </si>
  <si>
    <t xml:space="preserve">Booking confirmed ✅
Farm number 11
₹1000 advance received
10 Persons Max
Rent: ₹3000
Deposit: ₹1000
Deposit Refund after check out.</t>
  </si>
  <si>
    <t xml:space="preserve">9A95397F-6214-4BAC-AFB3-6F9BFB9730B6</t>
  </si>
  <si>
    <t xml:space="preserve">Booking confirmed ✅ 
Farm number 11
₹1000 advance received 
29 Oct 2025 at 7:00 PM to 30 Oct 2025 at 8:00 AM
4 Persons Max
Rent: ₹2500
Deposit: ₹1000
Deposit Refund after check out.</t>
  </si>
  <si>
    <t xml:space="preserve">59250999-82D5-4FB4-BE4E-32E680A6A3AD</t>
  </si>
  <si>
    <t xml:space="preserve">Booked by Pavan</t>
  </si>
  <si>
    <t xml:space="preserve">Booking confirmed ✅ 
Farm number 11
₹1000 advanve received
31 Oct 2025 at 9:00 PM to 1 Nov 2025 at 9:00 AM
8 Persons Max
Rent: ₹3000
Deposit: ₹1000
Deposit Refund after check out.</t>
  </si>
  <si>
    <t xml:space="preserve">47F469DE-8881-4085-837D-5C769392B0C5</t>
  </si>
  <si>
    <t xml:space="preserve">Booked by rahul singh</t>
  </si>
  <si>
    <t xml:space="preserve">Farm number 11
₹1000 received 
12 Persons Max
Rent: ₹6000
Deposit: ₹1000
Deposit Refund after check out.</t>
  </si>
  <si>
    <t xml:space="preserve">385E3A23-EE13-4726-B9A0-DB59FE161EF1</t>
  </si>
  <si>
    <t xml:space="preserve">Booked by pavan</t>
  </si>
  <si>
    <t xml:space="preserve">Booking confirmed
Farm number 11
₹700 advance received
15 Persons Max
Rent: ₹4000
Deposit: ₹1000
Deposit Refund after check out.</t>
  </si>
  <si>
    <t xml:space="preserve">6A2B8402-3250-445C-8870-E006F7F09F55</t>
  </si>
  <si>
    <t xml:space="preserve">Booked by Nikhil Parajapati</t>
  </si>
  <si>
    <t xml:space="preserve">Booking confirmed ✅ 
Farm number 11
₹1000 advance received
12 Persons Max
Rent: ₹3000
Deposit: ₹1000
Deposit Refund after check out.</t>
  </si>
  <si>
    <t xml:space="preserve">154E9A56-3D66-4EFA-853F-BA6BBCCEB5ED</t>
  </si>
  <si>
    <t xml:space="preserve">Booked by Harshil Rajput</t>
  </si>
  <si>
    <t xml:space="preserve">Booking confirmed ✅ 
Farm number 11
₹500 received 
12 Persons Max
Rent: ₹3500
Deposit: ₹1000
Deposit Refund after check out.6</t>
  </si>
  <si>
    <t xml:space="preserve">595A6BC2-3B9D-4A2D-A8B1-08B00F0D16E5</t>
  </si>
  <si>
    <t xml:space="preserve">Booked by Jevil </t>
  </si>
  <si>
    <t xml:space="preserve">Booking confirmed ✅ 
Farm number 11
₹1000 received 
10 Persons Max
Rent: ₹3500
Deposit: ₹2000
Deposit Refund after check out.</t>
  </si>
  <si>
    <t xml:space="preserve">82B09989-D0C9-4042-8D0E-5C3206368894</t>
  </si>
  <si>
    <t xml:space="preserve">Booked by divyesh to agent shyam</t>
  </si>
  <si>
    <t xml:space="preserve">Booking confirmed ✅ 
₹1000 received 
Customer rate ₹5500
Shyam na 4500
15 Persons Max
Rent: ₹1000
Deposit: ₹1000
Deposit Refund after check out.</t>
  </si>
  <si>
    <t xml:space="preserve">7601C8F6-463F-4AB7-B9AA-808CBB54A0D8</t>
  </si>
  <si>
    <t xml:space="preserve">Booked by rajan kakaiya</t>
  </si>
  <si>
    <t xml:space="preserve">Booking confirmed ✅ 
Farm number 11
₹1000 received 
15 Persons Max
Rent: ₹5500
Deposit: ₹1000
Deposit Refund after check out.</t>
  </si>
  <si>
    <t xml:space="preserve">670BAB1A-5F06-498E-A10E-49424683D52A</t>
  </si>
  <si>
    <t xml:space="preserve">Booked by Hitesh to Shyam</t>
  </si>
  <si>
    <t xml:space="preserve">Booking confirmed ✅ 
₹1000 received 
Total ₹3000 
Payment ₹2300 to Shyam
Rent: ₹700
Deposit: ₹1000
Deposit Refund after check out.</t>
  </si>
  <si>
    <t xml:space="preserve">A2A0F6BD-9C80-4320-B0FC-5F22F5AA5F1D</t>
  </si>
  <si>
    <t xml:space="preserve">Booking confirmed ✅ 
Farm number 11
₹2500 advance received
20 Nov 2025 at 9:00 AM to 20 Nov 2025 at 6:00 PM
4 Persons Max
Rent: ₹2500
Deposit: ₹1000
Deposit Refund after check out.</t>
  </si>
  <si>
    <t xml:space="preserve">5F91C6CC-735D-49AE-8618-826D9D8853D1</t>
  </si>
  <si>
    <t xml:space="preserve">Booked by Rutvik joshi</t>
  </si>
  <si>
    <t xml:space="preserve">
Farm number 11
₹1000 received 
2 Persons Max
Rent: ₹2000
Deposit: ₹500
Deposit Refund after check out.</t>
  </si>
  <si>
    <t xml:space="preserve">F0E18ABB-E766-44B1-903A-C1C1FE6E5F11</t>
  </si>
  <si>
    <t xml:space="preserve">Farm number 11
₹1000 advance received
2 Persons Max
Rent: ₹2000
Deposit: ₹1000
Deposit Refund after check out.</t>
  </si>
  <si>
    <t xml:space="preserve">753D48CD-20C6-4620-94FD-85A1441C4E6D</t>
  </si>
  <si>
    <t xml:space="preserve">Booked by Saurabh Sharma</t>
  </si>
  <si>
    <t xml:space="preserve">10B8390D-827A-4133-9729-73038B6B952A</t>
  </si>
  <si>
    <t xml:space="preserve">Booked by Rajesh Jivani</t>
  </si>
  <si>
    <t xml:space="preserve">Booking confirmed ✅ 
Farm number 11
₹1000 received 
18 Persons Max
Rent: ₹5500
Deposit: ₹1000
Deposit Refund after check out.</t>
  </si>
  <si>
    <t xml:space="preserve">8AB73F77-C81E-4A5D-8AAE-959D6ECC2D46</t>
  </si>
  <si>
    <t xml:space="preserve">Booked by preet</t>
  </si>
  <si>
    <t xml:space="preserve">
2 Persons Max
Rent: ₹1500
Deposit: ₹1000
Deposit Refund after check out.</t>
  </si>
  <si>
    <t xml:space="preserve">5E6A26E7-54D6-4F44-9D56-A2C75A8655D2</t>
  </si>
  <si>
    <t xml:space="preserve">Booking confirmed ✅ 
₹500 received 
Farm number 11
26 Nov 2025 at 9:00 AM to 26 Nov 2025 at 6:00 PM
2 Persons Max
Rent: ₹1500
Deposit: ₹1000
Deposit Refund after check out.</t>
  </si>
  <si>
    <t xml:space="preserve">6851111E-2BD2-4B1E-88BB-EE4D76D645C7</t>
  </si>
  <si>
    <t xml:space="preserve">Booked by Piyu Patel</t>
  </si>
  <si>
    <t xml:space="preserve">
Farm number 11
₹300 advance received
2 Persons Max
Rent: ₹1500
Deposit: ₹500
Deposit Refund after check out.</t>
  </si>
  <si>
    <t xml:space="preserve">106ECEE5-52B7-4F6E-8A53-6359C6566977</t>
  </si>
  <si>
    <t xml:space="preserve">Booked by Pratham Tiwari </t>
  </si>
  <si>
    <t xml:space="preserve">Booking confirmed ✅ 
Farm number 11
₹1000 received 
12 Persons Max
Rent: ₹3000
Deposit: ₹1000
Deposit Refund after check out.</t>
  </si>
  <si>
    <t xml:space="preserve">84AEDC0A-E241-4355-83A0-566C9D3CD2F2</t>
  </si>
  <si>
    <t xml:space="preserve">Booked by Rubendra chain</t>
  </si>
  <si>
    <t xml:space="preserve">
Farm number 11
₹1000 received 
7 Persons Max
Rent: ₹2500
Deposit: ₹1000
Deposit Refund after check out.</t>
  </si>
  <si>
    <t xml:space="preserve">BFD2405E-8AB6-4722-B361-E3E949008C89</t>
  </si>
  <si>
    <t xml:space="preserve">Booked by Urvish Paghadal </t>
  </si>
  <si>
    <t xml:space="preserve">
Farm number 11
₹500 received 
2 Persons Max
Rent: ₹1500
Deposit: ₹500
Deposit Refund after check out.</t>
  </si>
  <si>
    <t xml:space="preserve">4080DEFD-BDCE-4A99-91C1-1527196866C9</t>
  </si>
  <si>
    <t xml:space="preserve">Booked by Milan</t>
  </si>
  <si>
    <t xml:space="preserve">Booking confirmed ✅ 
Farm number 11
₹1000 advanve received
5 Dec 2025 at 9:30 AM to 5 Dec 2025 at 1:00 PM
2 Persons Max
Rent: ₹1000
Deposit: ₹500
Deposit Refund after check out.</t>
  </si>
  <si>
    <t xml:space="preserve">FC47959C-CFA7-4DC0-895C-8F45DEF8665B</t>
  </si>
  <si>
    <t xml:space="preserve">Booked by mahek</t>
  </si>
  <si>
    <t xml:space="preserve">₹2000 received 
2 Persons Max
Rent: ₹1500
Deposit: ₹500
Deposit Refund after check out.</t>
  </si>
  <si>
    <t xml:space="preserve">F9A56862-104D-4885-8EC4-F792D79B104A</t>
  </si>
  <si>
    <t xml:space="preserve">Booked by Nikhil Prajapati</t>
  </si>
  <si>
    <t xml:space="preserve">
Farm number 11
₹1000 received 
14 Persons Max
Rent: ₹4500
Deposit: ₹1000
Deposit Refund after check out.</t>
  </si>
  <si>
    <t xml:space="preserve">51ADF3A5-8460-41A3-B290-4F09C9CCD904</t>
  </si>
  <si>
    <t xml:space="preserve">Booked by harsh Vadadoriya</t>
  </si>
  <si>
    <t xml:space="preserve">
₹500 received 
Farm number 11
2 Persons Max
Rent: ₹1500 without pool 
Deposit: ₹500
Deposit Refund after check out.</t>
  </si>
  <si>
    <t xml:space="preserve">E2A72FED-1AFA-4C98-B64F-B0262EAE6E52</t>
  </si>
  <si>
    <t xml:space="preserve">Booked by Vedant rakholiya </t>
  </si>
  <si>
    <t xml:space="preserve">
Farm number 11
₹1000 received 
9 Persons Max
Rent: ₹3500
Deposit: ₹500
Deposit Refund after check out.</t>
  </si>
  <si>
    <t xml:space="preserve">5621740E-5334-4F60-B85F-32EFADF657F2</t>
  </si>
  <si>
    <t xml:space="preserve">Booked by vinod swain</t>
  </si>
  <si>
    <t xml:space="preserve">Booking confirmed ✅ 
Farm number 11
₹500 advance received
10 Persons Max
Rent: ₹2000
Deposit: ₹1000
Deposit Refund after check out.</t>
  </si>
  <si>
    <t xml:space="preserve">E103E58A-A577-42BA-B30D-763D8FE6B675</t>
  </si>
  <si>
    <t xml:space="preserve">Booked by Gaurav Gupta</t>
  </si>
  <si>
    <t xml:space="preserve">Booking confirmed ✅ 
Farm number 11
₹1000 received 
10 Persons Max
Rent: ₹4500
Deposit: ₹1000
Deposit Refund after check out.</t>
  </si>
  <si>
    <t xml:space="preserve">017F6955-4202-494E-AC17-A284AF1211C7</t>
  </si>
  <si>
    <t xml:space="preserve">Booking confirmed ✅ 
₹500 advance received
17 Dec 2025 at 9:00 AM to 17 Dec 2025 at 6:00 PM
2 Persons Max
Rent: ₹2000 with pool
Deposit: ₹500
Deposit Refund after check out.</t>
  </si>
  <si>
    <t xml:space="preserve">CA97BAE9-F5F1-49A5-91AF-1ABE61A24F60</t>
  </si>
  <si>
    <t xml:space="preserve">Booking confirmed ✅ 
Farm number 11
₹500 received 
2 Persons Max
Rent: ₹1500 with pool
Deposit: ₹500 
Deposit Refund after check out.</t>
  </si>
  <si>
    <t xml:space="preserve">14F42D8A-728F-45AD-9836-C7AEA44CE6A4</t>
  </si>
  <si>
    <t xml:space="preserve">Booking confirmed ✅ 
₹1000 advance received
19 Dec 2025 at 9:00 AM to 19 Dec 2025 at 6:00 PM
2 Persons Max without pool
Rent: ₹2000
Deposit: ₹1000
Deposit Refund after check out.</t>
  </si>
  <si>
    <t xml:space="preserve">4C8B161E-60D3-41E4-A4D9-20CB2603BEB5</t>
  </si>
  <si>
    <t xml:space="preserve">Booked by Kinjal Darbar</t>
  </si>
  <si>
    <t xml:space="preserve">DDA2CF7E-90EF-4FD2-B445-ABCE2E6DF48F</t>
  </si>
  <si>
    <t xml:space="preserve">Booked by Yash Chahodiya</t>
  </si>
  <si>
    <t xml:space="preserve">Booking confirmed ✅ 
Farm number 11
₹500 received 
2 Persons Max
Rent: ₹1500 without pool 
Deposit: ₹500
Deposit Refund after check out.</t>
  </si>
  <si>
    <t xml:space="preserve">DB99C6C4-7A55-4833-A5C0-3D6C53D25316</t>
  </si>
  <si>
    <t xml:space="preserve">Booked by Chetan Koshiya</t>
  </si>
  <si>
    <t xml:space="preserve">Booking confirmed
Farm number 11
₹1000 advance received
4 Persons Max without pool
Rent: ₹2500
Deposit: ₹1000
Deposit Refund after check out.</t>
  </si>
  <si>
    <t xml:space="preserve">1A24BCDC-23C7-4D20-83F9-AEE1AFDA4F96</t>
  </si>
  <si>
    <t xml:space="preserve">Booked by Pavan Parmeshwar</t>
  </si>
  <si>
    <t xml:space="preserve">Booking confirmed ✅ 
Farm number 11
₹700 received 
10 Persons Max
Rent: ₹500
Deposit: ₹1000
Deposit Refund after check out.</t>
  </si>
  <si>
    <t xml:space="preserve">60B12CEB-28AA-451E-A5CE-AAC78FEEBA4A</t>
  </si>
  <si>
    <t xml:space="preserve">Booked by Parnika</t>
  </si>
  <si>
    <t xml:space="preserve">Booking confirmed ✅ 
₹5000 received 
6 Persons
Rent: ₹23500
Deposit: ₹2000
Deposit Refund after check out.</t>
  </si>
  <si>
    <t xml:space="preserve">80E64702-AF62-41B9-B791-E484FE10C8C7</t>
  </si>
  <si>
    <t xml:space="preserve">Booked by Manthan moradiya</t>
  </si>
  <si>
    <t xml:space="preserve">Booking confirmed ✅ 
Farm number 11
₹1000 received 
2 Persons Max
Rent: ₹2000 without pool 
Deposit: ₹500
Deposit Refund after check out.</t>
  </si>
  <si>
    <t xml:space="preserve">2F1A66AC-ED77-4335-9984-5CCE7C8C6700</t>
  </si>
  <si>
    <t xml:space="preserve">Booked by Yagnik</t>
  </si>
  <si>
    <t xml:space="preserve">
Farm number 11
₹1000 received 
10 Persons Max
Rent: ₹6000
Deposit: ₹1000
Deposit Refund after check out.</t>
  </si>
  <si>
    <t xml:space="preserve">E79D2756-D5B2-47DB-A4AC-3BA5CD09C8EB</t>
  </si>
  <si>
    <t xml:space="preserve">Booked by Sutariya Hiren</t>
  </si>
  <si>
    <t xml:space="preserve">Booking confirmed ✅ 
Farm number 11
₹500 received 
2 Persons Max
Rent: ₹2000 
Deposit: ₹500
Deposit Refund after check out.</t>
  </si>
  <si>
    <t xml:space="preserve">0718A207-3D53-4792-8DF9-D102BCF86232</t>
  </si>
  <si>
    <t xml:space="preserve">Booked by Rutvik Parekh</t>
  </si>
  <si>
    <t xml:space="preserve">Booking confirmed ✅ 
Farm number 11
₹1000 received 
10 Persons Max
Rent: ₹3500
Deposit: ₹1000
Deposit Refund after check out.</t>
  </si>
  <si>
    <t xml:space="preserve">F5E25959-0B3F-4959-9525-5A0B13EA5134</t>
  </si>
  <si>
    <t xml:space="preserve">Booked by Upendra to Agent Shyam</t>
  </si>
  <si>
    <t xml:space="preserve">Shyam agent rate : 2500
₹1000 received 
12 Persons Max
Rent: ₹1000
Deposit: ₹1000
Deposit Refund after check out.</t>
  </si>
  <si>
    <t xml:space="preserve">6365AF8A-2EE6-4608-A5FC-14A52ACACD2E</t>
  </si>
  <si>
    <t xml:space="preserve">Booked by Rajesh Patel</t>
  </si>
  <si>
    <t xml:space="preserve">Booking confirmed ✅ 
Farm number 11
₹1000 received 
12 Persons Max
Rent: ₹5000
Deposit: ₹1000
Deposit Refund after check out.</t>
  </si>
  <si>
    <t xml:space="preserve">AF647731-2288-48B3-99B7-44F4023B5D27</t>
  </si>
  <si>
    <t xml:space="preserve">Booked by Shivam Shukla to Agent Shyam</t>
  </si>
  <si>
    <t xml:space="preserve">Agent rate ₹4000
 ₹1000 received 
10 Persons Max
Rent: ₹1000
Deposit: ₹1000
Deposit Refund after check out.</t>
  </si>
  <si>
    <t xml:space="preserve">E134B1FB-DD94-4D1D-8680-AD096EFC4D7B</t>
  </si>
  <si>
    <t xml:space="preserve">
Farm number 11
₹1000 received 
8 Persons Max
Rent: ₹2500
Deposit: ₹1000
Deposit Refund after check out.</t>
  </si>
  <si>
    <t xml:space="preserve">16CF1AB7-0BCA-499E-B66F-9935BF0D4940</t>
  </si>
  <si>
    <t xml:space="preserve">Booked by Kamlesh Khunt</t>
  </si>
  <si>
    <t xml:space="preserve">Booking confirmed ✅ 
Farm number 11
₹1000 received 
3 Persons Max
Rent: ₹2500
Deposit: ₹1000
Deposit Refund after check out.</t>
  </si>
  <si>
    <t xml:space="preserve">B0DACA0B-165A-490A-8B14-96EFDCF56667</t>
  </si>
  <si>
    <t xml:space="preserve">Booked by Valhe Pravin</t>
  </si>
  <si>
    <t xml:space="preserve">Booking confirmed ✅ 
Farm number 11
₹1500 received 
10 Persons Max
Rent: ₹4000
Deposit: ₹1500
Deposit Refund after check out.</t>
  </si>
  <si>
    <t xml:space="preserve">08C5C2B8-4DB2-4C19-B7C6-AB6F075B7579</t>
  </si>
  <si>
    <t xml:space="preserve">Booked by Kirtan Vavadiya</t>
  </si>
  <si>
    <t xml:space="preserve">Farm number 11
₹1000 received 
2 Persons Max with pool
Rent: ₹2500
Deposit: ₹1000
Deposit Refund after check out.</t>
  </si>
  <si>
    <t xml:space="preserve">BB1A910B-7FC2-4D99-967E-78C72AB5524E</t>
  </si>
  <si>
    <t xml:space="preserve">Booked by yashraj patel</t>
  </si>
  <si>
    <t xml:space="preserve">Booking confirmed ✅ 
Farm number 11
₹1000 received 
10 Persons Max
Rent: ₹5000
Deposit: ₹1000
Deposit Refund after check out.</t>
  </si>
  <si>
    <t xml:space="preserve">A43B1016-4E78-4EC7-B872-E2D0652EE6A7</t>
  </si>
  <si>
    <t xml:space="preserve">Booking confirmed ✅ 
Farm number 11
₹500 received 
2 Persons Max
Rent: ₹1500
Deposit: ₹500
Deposit Refund after check out.</t>
  </si>
  <si>
    <t xml:space="preserve">0A45B4A1-32CC-41AA-AE72-5B4A58AD04DB</t>
  </si>
  <si>
    <t xml:space="preserve">Booked by Yuvraj paliwal</t>
  </si>
  <si>
    <t xml:space="preserve">Booking confirmed ✅ 
Farm number 11
₹1000 received 
10 Persons Max
Rent: ₹1000
Deposit: ₹1000
Deposit Refund after check out.</t>
  </si>
  <si>
    <t xml:space="preserve">2512D986-78B5-4EE5-B132-DE7A89002957</t>
  </si>
  <si>
    <t xml:space="preserve">Booked by Krish Bhutvala</t>
  </si>
  <si>
    <t xml:space="preserve">
Farm number 11
₹2000 received 
6 Persons Max
Rent: ₹5000
Deposit: ₹1000
Deposit Refund after check out.</t>
  </si>
  <si>
    <t xml:space="preserve">C75191C8-1D63-4CC9-8127-E52500811186</t>
  </si>
  <si>
    <t xml:space="preserve">Booked by Sagar Sanghani</t>
  </si>
  <si>
    <t xml:space="preserve">
₹1000 advance received
8 Persons Max
Rent: ₹4000
Deposit: ₹1000
Deposit Refund after check out.</t>
  </si>
  <si>
    <t xml:space="preserve">3B7DC422-E013-46CE-969A-9EA52DB33AA4</t>
  </si>
  <si>
    <t xml:space="preserve">Booked by Mukesh Sharma </t>
  </si>
  <si>
    <t xml:space="preserve">
₹1000 received 
2 Persons Max
Rent: ₹2000
Deposit: ₹500
Deposit Refund after check out.</t>
  </si>
  <si>
    <t xml:space="preserve">92F4723E-692A-4B58-9D29-A4C22C42851A</t>
  </si>
  <si>
    <t xml:space="preserve">Booked by Pukhraj </t>
  </si>
  <si>
    <t xml:space="preserve">68961DE1-B074-4E85-B495-921F27809E10</t>
  </si>
  <si>
    <t xml:space="preserve">Booked by Sanjay Sastri</t>
  </si>
  <si>
    <t xml:space="preserve">
₹500 received 
10 Persons Max
Rent: ₹3000
Deposit: ₹1000
Deposit Refund after check out.</t>
  </si>
  <si>
    <t xml:space="preserve">558CCB52-761D-47D0-A281-1D1FDFE78557</t>
  </si>
  <si>
    <t xml:space="preserve">Booked by Pavan Navik</t>
  </si>
  <si>
    <t xml:space="preserve">₹1000 received 
2 Feb 2026 at 7:00 PM to 3 Feb 2026 at 6:00 PM
8 Persons Max
Rent: ₹3500
Deposit: ₹1000
Deposit Refund after check out.</t>
  </si>
  <si>
    <t xml:space="preserve">417802FE-140E-4BEC-90DD-CB958A4CBA8B</t>
  </si>
  <si>
    <t xml:space="preserve">Booked by Sibu Tripathi </t>
  </si>
  <si>
    <t xml:space="preserve">Booking confirmed ✅ 
Farm number 11
₹1000 received 
12 Persons Max
Rent: ₹3000
Deposit: ₹2000
Deposit Refund after check out.</t>
  </si>
  <si>
    <t xml:space="preserve">0BE824CC-25E1-4F59-8B98-E1F4B842209C</t>
  </si>
  <si>
    <t xml:space="preserve">Booked by Darsh Tailor</t>
  </si>
  <si>
    <t xml:space="preserve">
₹1000 received 
10 Persons Max
Rent: ₹3500
Deposit: ₹1000
Deposit Refund after check out.</t>
  </si>
  <si>
    <t xml:space="preserve">B466C53D-8E6B-45EC-BC46-BA2C9A76F75B</t>
  </si>
  <si>
    <t xml:space="preserve">
3 Persons Max
Rent: ₹2500
Deposit: ₹1000
Deposit Refund after check out.</t>
  </si>
  <si>
    <t xml:space="preserve">2D000E98-6270-42B6-8268-69CC9CEEBEC1</t>
  </si>
  <si>
    <t xml:space="preserve">Booked by Dhaval Maisuriya</t>
  </si>
  <si>
    <t xml:space="preserve">
₹1000 received 
2 Persons Max without pool
Rent: ₹1500
Deposit: ₹500
Deposit Refund after check out.</t>
  </si>
  <si>
    <t xml:space="preserve">F2C8223D-95BD-4026-9F8F-D559CE8E84EE</t>
  </si>
  <si>
    <t xml:space="preserve">
₹1000 received 
2 Persons Max
Rent: ₹1500 without pool
Deposit: ₹500
Deposit Refund after check out.</t>
  </si>
  <si>
    <t xml:space="preserve">367FD1CC-E5CB-4BEF-BA6E-AFF9CDC7B8FF</t>
  </si>
  <si>
    <t xml:space="preserve">Booked by Anurag Vatsal</t>
  </si>
  <si>
    <t xml:space="preserve">
₹1000 received 
5 Persons Max
Rent: ₹4500
Deposit: ₹1000
Deposit Refund after check out.</t>
  </si>
  <si>
    <t xml:space="preserve">2AC46009-B203-465D-BF0D-862174EB8340</t>
  </si>
  <si>
    <t xml:space="preserve">
₹1000 received 
4 Persons Max
Rent: ₹2500
Deposit: ₹1000
Deposit Refund after check out.</t>
  </si>
  <si>
    <t xml:space="preserve">D9F8337C-B8E1-4E1D-B9BC-C53C543E578C</t>
  </si>
  <si>
    <t xml:space="preserve">Booked by Hitesh Sharavan</t>
  </si>
  <si>
    <t xml:space="preserve">A547D5AA-45A2-485A-8A00-F862D3BA13A6</t>
  </si>
  <si>
    <t xml:space="preserve">Booked by Krunal Patel</t>
  </si>
  <si>
    <t xml:space="preserve">41418A89-7F39-46C7-A76E-930317939E5B</t>
  </si>
  <si>
    <t xml:space="preserve">Booked by Kaushik Padshala</t>
  </si>
  <si>
    <t xml:space="preserve">
₹1500 received 
2 Persons Max
Rent: ₹1500
Deposit: ₹500
Deposit Refund after check out.</t>
  </si>
  <si>
    <t xml:space="preserve">F96F2725-B0E4-4810-9B2E-8125C465EB37</t>
  </si>
  <si>
    <t xml:space="preserve">Booked by Pramod</t>
  </si>
  <si>
    <t xml:space="preserve">Booking confirmed
Farm number 11
₹1000 advance received
2 Persons Max
Rent: ₹2000 with pool
Deposit: ₹500
Deposit Refund after check out.</t>
  </si>
  <si>
    <t xml:space="preserve">C375DF0B-24F1-41BF-98CE-055F68706BB0</t>
  </si>
  <si>
    <t xml:space="preserve">Booking by Agent Vinay</t>
  </si>
  <si>
    <t xml:space="preserve">₹500 received 
9 Persons Max
Rent: ₹3500
Deposit: ₹1000
</t>
  </si>
  <si>
    <t xml:space="preserve">7D7FF844-6D0A-48F8-9873-FA13646EF7F1</t>
  </si>
  <si>
    <t xml:space="preserve">Booked by Bharat Dhaduk</t>
  </si>
  <si>
    <t xml:space="preserve">Farm number 11
₹1000 received 
12 Persons Max
Rent: ₹5000
Deposit: ₹1000
Deposit Refund after check out.</t>
  </si>
  <si>
    <t xml:space="preserve">F60D1A36-27CE-4862-815C-8EBDC62080EB</t>
  </si>
  <si>
    <t xml:space="preserve">Booked by Rabindra</t>
  </si>
  <si>
    <t xml:space="preserve">Booking confirmed ✅ 
Farm number 11
₹1000 advance received
6 Persons Max
Rent: ₹3000
Deposit: ₹1000
Deposit Refund after check out.</t>
  </si>
  <si>
    <t xml:space="preserve">331B839E-0537-4597-83AE-9B3F3EA5A9C9</t>
  </si>
  <si>
    <t xml:space="preserve">Booked by Renisha Shingala /Purv Sangani</t>
  </si>
  <si>
    <t xml:space="preserve">Booking confirmed ✅ 
Farm number 11
₹3000 received 
17 Persons Max
Rent: ₹7500
Deposit: ₹2000
Deposit Refund after check out.</t>
  </si>
  <si>
    <t xml:space="preserve">EEA96FF3-A41C-48BC-84ED-7E9DE5537D11</t>
  </si>
  <si>
    <t xml:space="preserve">Booking Confirmed
₹9000 received
3 Mar 2026 at 7:00 PM to 4 Mar 2026 at 6:00 PM
20 Persons Max
Rent: ₹18000
Deposit: ₹2000
Deposit Refund after check out.</t>
  </si>
  <si>
    <t xml:space="preserve">F067C3EF-5E65-4D40-AF44-E6596DEC4502</t>
  </si>
  <si>
    <t xml:space="preserve">Booked by Dipak Sharma</t>
  </si>
  <si>
    <t xml:space="preserve">Booking confirmed ✅ 
Farm number 11
₹2000 advance received
5 Mar 2026 at 7:00 PM to 6 Mar 2026 at 6:00 PM
12 Persons Max
Rent: ₹4500
Deposit: ₹2000
Deposit Refund after check out.</t>
  </si>
  <si>
    <t xml:space="preserve">590A70E4-5813-4BF7-B5B5-287988BD9557</t>
  </si>
  <si>
    <t xml:space="preserve">Booking confirmed ✅ 
Farm number 11
₹500 advance received
7 Mar 2026 at 2:00 PM to 7 Mar 2026 at 6:00 PM
2 Persons Max
Rent: ₹1500
Deposit: ₹500
Deposit Refund after check out.</t>
  </si>
  <si>
    <t xml:space="preserve">C51846AC-7716-4F58-93B1-16C1FB036ECB</t>
  </si>
  <si>
    <t xml:space="preserve">Booked by Sandeep</t>
  </si>
  <si>
    <t xml:space="preserve">Booking confirmed ✅ 
Farm number 11
₹2500 advance received
7 Mar 2026 at 7:00 PM to 8 Mar 2026 at 6:00 PM
10 Persons Max
Rent: ₹7000
Deposit: ₹2000
Deposit Refund after check out.</t>
  </si>
  <si>
    <t xml:space="preserve">DF75EBCE-5E79-4E8E-8E16-8580CD89A839</t>
  </si>
  <si>
    <t xml:space="preserve">Booked by Dipak Prajapati</t>
  </si>
  <si>
    <t xml:space="preserve">Booking confirmed ✅ 
Farm number 11
₹1000 advance received
8 Mar 2026 at 7:00 PM to 9 Mar 2026 at 8:00 AM
7 Persons Max
Rent: ₹2500
Deposit: ₹1000
Deposit Refund after check out.</t>
  </si>
  <si>
    <t xml:space="preserve">92BBBB9E-AD0C-46CE-9CEF-C955A391263F</t>
  </si>
  <si>
    <t xml:space="preserve">Booked by Roshan Modi</t>
  </si>
  <si>
    <t xml:space="preserve">Booking confirmed ✅ 
Farm number 11
₹1000 advance received
9 Mar 2026 at 9:00 AM to 9 Mar 2026 at 6:30 PM
10 Persons Max
Rent: ₹4000
Deposit: ₹2000
Deposit Refund after check out.</t>
  </si>
  <si>
    <t xml:space="preserve">066E40F0-71A4-4BCD-984F-4D74663BF7A4</t>
  </si>
  <si>
    <t xml:space="preserve">₹1000 advance received 
11 Mar 2026 at 9:00 AM to 11 Mar 2026 at 6:00 PM
2 Persons Max with pool
Rent: ₹2500
Deposit: ₹1000
Deposit Refund after check out.</t>
  </si>
  <si>
    <t xml:space="preserve">61A4FB4F-AE19-45A2-8511-F0F727B97E2A</t>
  </si>
  <si>
    <t xml:space="preserve">Booked by Dhruv Gol</t>
  </si>
  <si>
    <t xml:space="preserve">Booking confirmed ✅ 
Farm number 11
₹1000 advance received
12 Mar 2026 at 9:00 AM to 12 Mar 2026 at 6:00 PM
6 Persons Max
Rent: ₹3500
Deposit: ₹1000
Deposit Refund after check out.</t>
  </si>
  <si>
    <t xml:space="preserve">68E2FB31-0036-4F21-89D5-B2185F5FF8B7</t>
  </si>
  <si>
    <t xml:space="preserve">Booked by Kiran Mistry</t>
  </si>
  <si>
    <t xml:space="preserve">
Farm number 11
₹2000 received 
8 Persons Max
Rent: ₹5500
Deposit: ₹2000
Deposit Refund after check out.</t>
  </si>
  <si>
    <t xml:space="preserve">C91FD864-28A5-4017-A8F0-076262176BD5</t>
  </si>
  <si>
    <t xml:space="preserve">Booked by Bhargav kachhadiya</t>
  </si>
  <si>
    <t xml:space="preserve">Booking confirmed ✅ 
Farm number 11
₹3000 advance received
16 person max
Rent: ₹8500
Deposit: ₹2000
Deposit Refund after check out.</t>
  </si>
  <si>
    <t xml:space="preserve">12FF9EB5-E405-477C-973E-FDBC962AC13A</t>
  </si>
  <si>
    <t xml:space="preserve">Booking confirmed ✅ 
Farm number 11
₹1000 advance received
15 Mar 2026 at 7:00 PM to 16 Mar 2026 at 8:00 AM
4 Persons Max
Rent: ₹2500
Deposit: ₹1000
Deposit Refund after check out.</t>
  </si>
  <si>
    <t xml:space="preserve">E2ED81DC-E4FD-4660-80A8-B06A4621B62B</t>
  </si>
  <si>
    <t xml:space="preserve">Booked by krutarth modi</t>
  </si>
  <si>
    <t xml:space="preserve">Booking confirmed ✅ 
Farm nunber 11
₹1000 advanve received
16 Mar 2026 at 9:00 AM to 16 Mar 2026 at 6:00 PM
6 Persons Max
Rent: ₹3500
Deposit: ₹1000
Deposit Refund after check out.</t>
  </si>
  <si>
    <t xml:space="preserve">81C2FEDD-C160-4361-A85C-71053FE8959C</t>
  </si>
  <si>
    <t xml:space="preserve">Booked by Sagar Tejani</t>
  </si>
  <si>
    <t xml:space="preserve">Booking confirmed ✅ 
Farm number 11
₹2000 advance received
10 Persons Max
Rent: ₹5000
Deposit: ₹2000
Deposit Refund after check out.</t>
  </si>
  <si>
    <t xml:space="preserve">B1A662DA-E8BE-4DE5-8EC6-5089AB2FE68D</t>
  </si>
  <si>
    <t xml:space="preserve">Booking confirmed ✅ 
Farm number 11
₹1000 advance received
17 Mar 2026 at 7:00 PM to 18 Mar 2026 at 8:00 AM
11 Persons Max
Rent: ₹3000
Deposit: ₹2000
Deposit Refund after check out.</t>
  </si>
  <si>
    <t xml:space="preserve">98ED13B6-167B-4C3A-AEF0-DF889E55BDD2</t>
  </si>
  <si>
    <t xml:space="preserve">Booked by Jayesh Ladumor</t>
  </si>
  <si>
    <t xml:space="preserve">Booking confirmed ✅ 
Farm number 11
₹1000 advance received 
4 Persons Max
Rent: ₹3000
Deposit: ₹1000
Deposit Refund after check out.</t>
  </si>
  <si>
    <t xml:space="preserve">BE34DE37-49D0-42A0-AF94-D8DEAD79190A</t>
  </si>
  <si>
    <t xml:space="preserve">Booked by Sisham</t>
  </si>
  <si>
    <t xml:space="preserve">19 Mar 2026 at 2:00 PM to 20 Mar 2026 at 8:00 AM
4 Persons Max
Rent: ₹3800
Deposit: ₹1000
Deposit Refund after check out.</t>
  </si>
  <si>
    <t xml:space="preserve">28AE24D1-7210-4CA3-A836-679B30B480E2</t>
  </si>
  <si>
    <t xml:space="preserve">Booked by Maurya Jitendra</t>
  </si>
  <si>
    <t xml:space="preserve">
15 Persons Max
Rent: ₹3300
Deposit: ₹2000
Deposit Refund after check out.</t>
  </si>
  <si>
    <t xml:space="preserve">C4237ADC-FAAF-4302-86B0-AD437418424B</t>
  </si>
  <si>
    <t xml:space="preserve">Booked by Pratham Jariwala</t>
  </si>
  <si>
    <t xml:space="preserve">Booking confirmed 
Farm number 11
₹2000 received 
8 Persons Max
Rent: ₹5500
Deposit: ₹2000
Deposit Refund after check out.</t>
  </si>
  <si>
    <t xml:space="preserve">E4770EFA-A5E3-4C0B-A247-537F5B7A1EF4</t>
  </si>
  <si>
    <t xml:space="preserve">Booking confirmed ✅ 
Farm number 11
₹3000 advance received
21 Mar 2026 at 7:00 PM to 22 Mar 2026 at 6:00 PM
14 Persons Max
Rent: ₹10000
Deposit: ₹2000
Deposit Refund after check out.</t>
  </si>
  <si>
    <t xml:space="preserve">2A16424A-2F64-419A-9D20-236A639D27B0</t>
  </si>
  <si>
    <t xml:space="preserve">10 Persons Max
Rent: ₹3000
Deposit: ₹1000
Deposit Refund after check out.</t>
  </si>
  <si>
    <t xml:space="preserve">E8DBC1ED-47C6-45FD-9501-B2CA5ECFE740</t>
  </si>
  <si>
    <t xml:space="preserve">Booking done ✅ 
₹1000 advance received
23 Mar 2026 at 10:00 AM to 23 Mar 2026 at 6:00 PM
4 Persons Max
Rent: ₹4000
Deposit: ₹2000
Deposit Refund after check out.</t>
  </si>
  <si>
    <t xml:space="preserve">528CB771-1658-494B-85A0-415D062CB8D3</t>
  </si>
  <si>
    <t xml:space="preserve">Booked by Kamlesh</t>
  </si>
  <si>
    <t xml:space="preserve">Booking confirmed ✅ 
Farm number 11
₹1000 advance received
24 Mar 2026 at 9:00 AM to 24 Mar 2026 at 6:00 PM
4 Persons Max
Rent: ₹4000
Deposit: ₹2000
Deposit Refund after check out.</t>
  </si>
  <si>
    <t xml:space="preserve">D0C15E94-F0A6-4BEC-AD1C-6C9D8EA44CB2</t>
  </si>
  <si>
    <t xml:space="preserve">₹1000 received 
10 Persons Max
Rent: ₹3000
Deposit: ₹1000
Deposit Refund after check out.</t>
  </si>
  <si>
    <t xml:space="preserve">76E4C764-4D51-4416-B375-68723C21AB39</t>
  </si>
  <si>
    <t xml:space="preserve">Booked by Mahesh Bhuva</t>
  </si>
  <si>
    <t xml:space="preserve">
Farm number 11
₹4000 received 
11 Persons Max
Rent: ₹10000
Deposit: ₹2000
Deposit Refund after check out.</t>
  </si>
  <si>
    <t xml:space="preserve">200BC02C-8079-4183-BA6F-401273BE5F88</t>
  </si>
  <si>
    <t xml:space="preserve">Booked by Imran Mansuri</t>
  </si>
  <si>
    <t xml:space="preserve">Booking confirmed ✅ 
Farm number 11
₹1000 received 
15 Persons Max
Rent: ₹4500
Deposit: ₹1000
Deposit Refund after check out.</t>
  </si>
  <si>
    <t xml:space="preserve">3258BE94-6D94-4362-8392-DD9667092DD7</t>
  </si>
  <si>
    <t xml:space="preserve">Booked by Arpit singh</t>
  </si>
  <si>
    <t xml:space="preserve">Booking confirmed ✅ 
Farm number 11
₹2000 advance received
30 Mar 2026 at 7:00 PM to 31 Mar 2026 at 6:00 PM
11 Persons Max
Rent: ₹5500
Deposit: ₹2000
Deposit Refund after check out.</t>
  </si>
  <si>
    <t xml:space="preserve">8373872C-0C07-4EB9-B925-FA4A0015B1E3</t>
  </si>
  <si>
    <t xml:space="preserve">Booked by Mahi </t>
  </si>
  <si>
    <t xml:space="preserve">₹5000 received 
2 Persons Max
Rent: ₹4000
Deposit: ₹1000
Deposit Refund after check out.</t>
  </si>
  <si>
    <t xml:space="preserve">D0BA2513-1B74-4740-8475-55CE1BE5E942</t>
  </si>
  <si>
    <t xml:space="preserve">Booked by Viraj Pansuriya</t>
  </si>
  <si>
    <t xml:space="preserve">2DDED587-9264-430E-9D4D-665F00BE7DB3</t>
  </si>
  <si>
    <t xml:space="preserve">Booked by Vivek Vala</t>
  </si>
  <si>
    <t xml:space="preserve">
Farm number 11
₹500 received 
2 Persons Max
Rent: ₹3000
Deposit: ₹1000
Deposit Refund after check out.</t>
  </si>
  <si>
    <t xml:space="preserve">CC4FF784-3C1D-4641-A74B-17C39441008A</t>
  </si>
  <si>
    <t xml:space="preserve">Booked by Paresh Jasani</t>
  </si>
  <si>
    <t xml:space="preserve">Booking confirmed ✅ 
Farm number 11
₹4000 advance received
4 Apr 2026 at 7:00 PM to 5 Apr 2026 at 6:00 PM
12 Persons Max
Rent: ₹12000
Deposit: ₹2000
Deposit Refund after check out.</t>
  </si>
  <si>
    <t xml:space="preserve">C2B694D9-F570-4A8B-82F4-AC51C5F5DB2A</t>
  </si>
  <si>
    <t xml:space="preserve">
₹1000 received 
2 Persons Max
Rent: ₹4000
Deposit: ₹1000
Deposit Refund after check out.</t>
  </si>
  <si>
    <t xml:space="preserve">364BF425-E51B-4561-9B9B-4E4A4E09D9CB</t>
  </si>
  <si>
    <t xml:space="preserve">Booked by Mukesh Sharma</t>
  </si>
  <si>
    <t xml:space="preserve">Booking confirmed ✅ 
Farm number 11
₹1000 advance received
2 Persons Max
Rent: ₹2500
Deposit: ₹1000
Deposit Refund after check out.</t>
  </si>
  <si>
    <t xml:space="preserve">A70ECC42-4DAF-4BE6-8361-CF49D98E1AE3</t>
  </si>
  <si>
    <t xml:space="preserve">Booked by Urvashi Rawal</t>
  </si>
  <si>
    <t xml:space="preserve">
2 Persons Max
Rent: ₹2500
Deposit: ₹1000
Deposit Refund after check out.</t>
  </si>
  <si>
    <t xml:space="preserve">0CB7717D-BE6E-4F25-8294-129A8833445C</t>
  </si>
  <si>
    <t xml:space="preserve">Booked by Vaibhav kadvane</t>
  </si>
  <si>
    <t xml:space="preserve">Booking confirmed ✅ 
Farm number 11
₹2000 advance received
9 Apr 2026 at 7:00 PM to 10 Apr 2026 at 6:00 PM
7 Persons Max
Rent: ₹5000
Deposit: ₹2000
Deposit Refund after check out.</t>
  </si>
  <si>
    <t xml:space="preserve">DA54EE9A-2FA5-4146-9B9D-1498677F45B2</t>
  </si>
  <si>
    <t xml:space="preserve">
₹2000 received 
7 Persons Max
Rent: ₹4000
Deposit: ₹2000
Deposit Refund after check out.</t>
  </si>
  <si>
    <t xml:space="preserve">8A3D8D2B-2518-4BC2-A31E-891335E86DE7</t>
  </si>
  <si>
    <t xml:space="preserve">Booked by Yash Galani</t>
  </si>
  <si>
    <t xml:space="preserve">
Farm number 11
₹4000 received 
10 Persons Max
Rent: ₹12000
Deposit: ₹2000
Deposit Refund after check out.</t>
  </si>
  <si>
    <t xml:space="preserve">E79E5692-2D96-4702-A0DF-4EBF03F776D1</t>
  </si>
  <si>
    <t xml:space="preserve">Booked by Ravi Gauswami</t>
  </si>
  <si>
    <t xml:space="preserve">
Farm number 11
₹1000 received 
10 Persons Max
Rent: ₹5000
Deposit: ₹2000
Deposit Refund after check out.</t>
  </si>
  <si>
    <t xml:space="preserve">99600DA9-B825-405A-92F0-21425292C331</t>
  </si>
  <si>
    <t xml:space="preserve">Booked by Manthan</t>
  </si>
  <si>
    <t xml:space="preserve">Booking confirmed ✅ 
₹1000 advance received
14 Apr 2026 at 12:00 PM to 14 Apr 2026 at 6:00 PM
2 Persons Max
Rent: ₹3500
Deposit: ₹1000
Deposit Refund after check out.</t>
  </si>
  <si>
    <t xml:space="preserve">5DA87AFB-F78B-4E61-B053-3A33BF3531ED</t>
  </si>
  <si>
    <t xml:space="preserve">Booked by Jayesh Kumbhare</t>
  </si>
  <si>
    <t xml:space="preserve">
2 Persons Max
Rent: ₹3000
Deposit: ₹1000
Deposit Refund after check out.</t>
  </si>
  <si>
    <t xml:space="preserve">D6BE5935-080C-44F8-B0FB-6C14FBB23F05</t>
  </si>
  <si>
    <t xml:space="preserve">Booking confirmed ✅ 
Farm number 11
₹2000 received 
10 Persons Max
Rent: ₹5000
Deposit: ₹2000
Deposit Refund after check out.</t>
  </si>
  <si>
    <t xml:space="preserve">B8C2F469-E103-4D6C-93E7-957D60976C87</t>
  </si>
  <si>
    <t xml:space="preserve">Booked by Dilip Sisara</t>
  </si>
  <si>
    <t xml:space="preserve">
Farm number 11
₹1000 received 
5 Persons Max
Rent: ₹4000
3500 aana, 500 aagal na booking cancel na
Deposit: ₹1000
Deposit Refund after check out.</t>
  </si>
  <si>
    <t xml:space="preserve">79955115-9761-470F-9EA7-428518DEDF43</t>
  </si>
  <si>
    <t xml:space="preserve">Booked by Agent 7SeasFarm</t>
  </si>
  <si>
    <t xml:space="preserve">Booking confirmed ✅ 
Farm number 11
₹2000 advance received
17 Apr 2026 at 7:00 PM to 18 Apr 2026 at 6:00 PM
10 Persons Max
Rent: ₹5000
Deposit: ₹2000
Deposit Refund after check out.</t>
  </si>
  <si>
    <t xml:space="preserve">FA27F238-35C3-464F-8288-7B1033E26452</t>
  </si>
  <si>
    <t xml:space="preserve">Booked by Agent Fenil</t>
  </si>
  <si>
    <t xml:space="preserve">Booking confirmed ✅ 
Farm number 11
₹5000 advance received
18 Apr 2026 at 7:00 PM to 19 Apr 2026 at 6:00 PM
15 Persons Max
Rent: ₹11000
Deposit: ₹2000
Deposit Refund after check out.</t>
  </si>
  <si>
    <t xml:space="preserve">1F050ACE-0F80-44BA-BC3C-6A216C38C538</t>
  </si>
  <si>
    <t xml:space="preserve">Booking confirmed ✅ 
Farm number 11
₹2000 advance received
19 Apr 2026 at 7:00 PM to 20 Apr 2026 at 6:00 PM
12 Persons Max
Rent: ₹5000
Deposit: ₹2000
Deposit Refund after check out.</t>
  </si>
  <si>
    <t xml:space="preserve">2996762C-CCC5-4B90-BF9C-743D1EE6ABA4</t>
  </si>
  <si>
    <t xml:space="preserve">Booked by Kuldeep Vaghasiya</t>
  </si>
  <si>
    <t xml:space="preserve">Booking confirmed ✅ 
Farm number 11
₹2000 receives 
8 Persons Max
Rent: ₹5000
Deposit: ₹2000
Deposit Refund after check out.</t>
  </si>
  <si>
    <t xml:space="preserve">2E93458F-4367-4445-AAE8-17D086EC385A</t>
  </si>
  <si>
    <t xml:space="preserve">Booking confirmed ✅ 
Farm number 11
₹1000 advance received
₹5000 payment pending (₹1000 security deposit)
22 Apr 2026 at 7:00 PM to 23 Apr 2026 at 6:00 PM
15 Persons Max
Rent: ₹5000
Deposit: ₹2000
Deposit Refund after check out.</t>
  </si>
  <si>
    <t xml:space="preserve">6AFFDAC5-B00A-4ECB-9F8F-E37B4B84214B</t>
  </si>
  <si>
    <t xml:space="preserve">Booked by Dipesh Bhaliya</t>
  </si>
  <si>
    <t xml:space="preserve">Booking confirmed ✅ 
Farm number 11
₹2000 received 
2 Persons Max
Rent: ₹5000
Deposit: ₹2000
Deposit Refund after check out.</t>
  </si>
  <si>
    <t xml:space="preserve">63FE0417-9126-4773-A92F-BC975B9612BD</t>
  </si>
  <si>
    <t xml:space="preserve">Booked by Viraj </t>
  </si>
  <si>
    <t xml:space="preserve">232025FE-DCBD-4160-A989-4BC6F1218A77</t>
  </si>
  <si>
    <t xml:space="preserve">Booked by Rashmi</t>
  </si>
  <si>
    <t xml:space="preserve">Booking confirmed ✅ 
Farm number 11
₹5500 advance received
25 Apr 2026 at 10:00 AM to 25 Apr 2026 at 6:00 PM
2 Persons Max
Rent: ₹4500
Deposit: ₹1000
Deposit Refund after check out.</t>
  </si>
  <si>
    <t xml:space="preserve">6650FE90-62FE-49F2-8B22-3E4155EE835A</t>
  </si>
  <si>
    <t xml:space="preserve">Booked by agent jatin</t>
  </si>
  <si>
    <t xml:space="preserve">25 Apr 2026 at 7:00 PM to 26 Apr 2026 at 6:00 PM
15 Persons Max
Rent: ₹12000
Deposit: ₹2000
Deposit Refund after check out.</t>
  </si>
  <si>
    <t xml:space="preserve">5376A4ED-3BD9-48A2-951A-00F8847C2F96</t>
  </si>
  <si>
    <t xml:space="preserve">Booked by agent</t>
  </si>
  <si>
    <t xml:space="preserve">Booking confirmed ✅ 
Farm number 11
₹1000 received 
10 Persons Max
Rent: ₹1000
Deposit: ₹2000
Deposit Refund after check out.</t>
  </si>
  <si>
    <t xml:space="preserve">A074A79F-C638-4DED-B800-268376ABB8B3</t>
  </si>
  <si>
    <t xml:space="preserve">Booked by Chirag paneriya</t>
  </si>
  <si>
    <t xml:space="preserve">
2 Persons Max
Rent: ₹2000
Deposit: ₹500
Deposit Refund after check out.</t>
  </si>
  <si>
    <t xml:space="preserve">B3ABF74D-2D44-4D39-AB44-463D3AC6A643</t>
  </si>
  <si>
    <t xml:space="preserve">Booked by Vinod dave</t>
  </si>
  <si>
    <t xml:space="preserve">
₹6500 received 
12 Persons Max
Rent: ₹4500
Deposit: ₹2000
Deposit Refund after check out.</t>
  </si>
  <si>
    <t xml:space="preserve">BE35D6FD-40AC-4A46-A0C9-562F4799F930</t>
  </si>
  <si>
    <t xml:space="preserve">Booked by Chintan Makvana</t>
  </si>
  <si>
    <t xml:space="preserve">Booking confirmed
Farm number 11
₹1000 advance received
28 Apr 2026 at 7:00 PM to 29 Apr 2026 at 6:00 PM
12 Persons Max
Rent: ₹5500
Deposit: ₹2000
Deposit Refund after check out.</t>
  </si>
  <si>
    <t xml:space="preserve">5DE0A294-17D3-4607-97CD-F0A21E2E4D32</t>
  </si>
  <si>
    <t xml:space="preserve">Booked by Manthan Dave</t>
  </si>
  <si>
    <t xml:space="preserve">Booking confirmed ✅ 
Farm number 11
₹2000 advance received
30 Apr 2026 at 7:00 PM to 1 May 2026 at 6:00 PM
10 Persons Max
Rent: ₹5000
Deposit: ₹2000
Deposit Refund after check out.</t>
  </si>
  <si>
    <t xml:space="preserve">AF96EE21-472F-499F-A25F-0939030E99AA</t>
  </si>
  <si>
    <t xml:space="preserve">Booking confirmed ✅ 
Farm number 11
₹2000 advance received
10 Persons Max
Rent: ₹4500
Deposit: ₹2000
Deposit Refund after check out.</t>
  </si>
  <si>
    <t xml:space="preserve">85A449C4-6A9A-4CE9-8155-34C7B4F15D29</t>
  </si>
  <si>
    <t xml:space="preserve">Booked by Dhaduk Pushpa</t>
  </si>
  <si>
    <t xml:space="preserve">Booking confirmed ✅ 
Farm number 11
₹6000 advance received
2 May 2026 at 7:00 PM to 3 May 2026 at 6:00 PM
15 Persons Max
Rent: ₹13500
Deposit: ₹2000
Deposit Refund after check out.</t>
  </si>
  <si>
    <t xml:space="preserve">E029E21E-4913-4075-BCEE-7FC21E6B1055</t>
  </si>
  <si>
    <t xml:space="preserve">Booked by Drashti Chotaliya</t>
  </si>
  <si>
    <t xml:space="preserve">
₹2000 received 
18 Persons Max
Rent: ₹3500
Deposit: ₹2000
Deposit Refund after check out.</t>
  </si>
  <si>
    <t xml:space="preserve">1B9993C9-04D1-4417-9CC4-C5797CA4FD5E</t>
  </si>
  <si>
    <t xml:space="preserve">Booked by Gediya Harekrishna</t>
  </si>
  <si>
    <t xml:space="preserve">Booking confirmed ✅ 
Farm number 11
₹2000 received 
2 Persons Max
Rent: ₹5500
Customer rate - 3500, 1000+1000 cancelled booking
Deposit: ₹1000
Deposit Refund after check out.</t>
  </si>
  <si>
    <t xml:space="preserve">C9EC628D-DD29-404E-A6F7-94A9CEA11854</t>
  </si>
  <si>
    <t xml:space="preserve">Booked by Lalji</t>
  </si>
  <si>
    <t xml:space="preserve">
Farm number 11
₹5000 advance received
6 Persons Max
Rent: ₹5000
Deposit: ₹2000
Deposit Refund after check out.</t>
  </si>
  <si>
    <t xml:space="preserve">E6314A74-085D-40FA-869C-7DCA8FDB18A7</t>
  </si>
  <si>
    <t xml:space="preserve">Booked by Krunal Jadav</t>
  </si>
  <si>
    <t xml:space="preserve">Booking confirmed ✅ 
Farm number 11
₹2000 received 
14 Persons Max
Rent: ₹5000
Deposit: ₹2000
Deposit Refund after check out.</t>
  </si>
  <si>
    <t xml:space="preserve">517A4280-5EDD-415E-B76C-1DE47E4C9554</t>
  </si>
  <si>
    <t xml:space="preserve">Booked by Ghanshyam rudani</t>
  </si>
  <si>
    <t xml:space="preserve">Booking confirmed ✅ 
₹2000 received 
Farm number 11
10 Persons Max
Rent: ₹5000
Deposit: ₹2000
Deposit Refund after check out.</t>
  </si>
  <si>
    <t xml:space="preserve">44C57E6D-8245-4CBE-BF03-6400421AE690</t>
  </si>
  <si>
    <t xml:space="preserve">Booked by Dev Ajudiya</t>
  </si>
  <si>
    <t xml:space="preserve">Booking confirmed ✅ 
Farm number 11
₹2000 advance received
8 May 2026 at 7:00 PM to 9 May 2026 at 6:00 PM
10 Persons Max
Rent: ₹6000
Deposit: ₹2000
Deposit Refund after check out.</t>
  </si>
  <si>
    <t xml:space="preserve">C159D1CA-CB0A-451B-A2D3-1AA2E7FE2197</t>
  </si>
  <si>
    <t xml:space="preserve">Booked by Jasmin Sorathiya</t>
  </si>
  <si>
    <t xml:space="preserve">Booking confirmed ✅ 
Farm number 11
₹6000 advance received
9 May 2026 at 7:00 PM to 10 May 2026 at 6:00 PM
18 Persons Max
Rent: ₹13500
Deposit: ₹2000
Deposit Refund after check out.</t>
  </si>
  <si>
    <t xml:space="preserve">63185C67-8CD0-4366-8B4C-78E30421D8F4</t>
  </si>
  <si>
    <t xml:space="preserve">Booked by Ankuj Sojitra</t>
  </si>
  <si>
    <t xml:space="preserve">Booking confirmed ✅ 
Farm number 11
₹2000 advance received
10 May 2026 at 8:00 PM to 11 May 2026 at 8:00 AM - Only Night
10 Persons Max
Rent: ₹4000
Deposit: ₹2000
Deposit Refund after check out.</t>
  </si>
  <si>
    <t xml:space="preserve">1B4C2A2F-455D-469F-A340-91261EAB4E69</t>
  </si>
  <si>
    <t xml:space="preserve">Booked by Jay Patel</t>
  </si>
  <si>
    <t xml:space="preserve">Booking confirmed ✅ 
Farm number 11
₹2000 advance received
11 May 2026 at 9:00 AM to 11 May 2026 at 6:00 PM
10 Persons Max
Rent: ₹4000
Deposit: ₹2000
Deposit Refund after check out.</t>
  </si>
  <si>
    <t xml:space="preserve">40CB001A-34EF-4390-AD84-9C140A200564</t>
  </si>
  <si>
    <t xml:space="preserve">Booked by Dhaval Rajput</t>
  </si>
  <si>
    <t xml:space="preserve">Booking confirmed ✅ 
Farm number 11
₹2000 advance received
7 Persons Max
Rent: ₹5500
Deposit: ₹2000
Deposit Refund after check out.</t>
  </si>
  <si>
    <t xml:space="preserve">F658FD38-A6E8-4A7D-B9A0-68CE23761130</t>
  </si>
  <si>
    <t xml:space="preserve">Booked by Gediya Chirag</t>
  </si>
  <si>
    <t xml:space="preserve">Booking confirmed ✅ 
Farm number 11
₹2000 advance received
17 Persons Max
Rent: ₹6000
Deposit: ₹2000
Deposit Refund after check out.</t>
  </si>
  <si>
    <t xml:space="preserve">50CE91FE-EDF6-4EC9-8048-A29F11A0F4BF</t>
  </si>
  <si>
    <t xml:space="preserve">Booked by Rishabh Patel</t>
  </si>
  <si>
    <t xml:space="preserve">Booking confirmed ✅ 
Farm number 11
₹2000 advance received
13 May 2026 at 7:00 PM to 14 May 2026 at 7:00 PM
8 Persons Max
Rent: ₹6000
Deposit: ₹2000
Deposit Refund after check out.</t>
  </si>
  <si>
    <t xml:space="preserve">FDDEF9BB-0084-4247-AEE1-8E0A0A29E840</t>
  </si>
  <si>
    <t xml:space="preserve">Booked by Moksha Navik</t>
  </si>
  <si>
    <t xml:space="preserve">Booking confirmed ✅ 
Farm number 11
₹2000 advance received 
14 May 2026 at 7:00 PM to 15 May 2026 at 6:00 PM
8 Persons Max
Rent: ₹6000
Deposit: ₹2000
Deposit Refund after check out.</t>
  </si>
  <si>
    <t xml:space="preserve">5A5B7843-4ADF-458F-8E90-9A3334298253</t>
  </si>
  <si>
    <t xml:space="preserve">Booked by Sweta Patel</t>
  </si>
  <si>
    <t xml:space="preserve">Booking confirmed ✅ 
Farm number 11
₹2000 advance received
15 May 2026 at 7:00 PM to 16 May 2026 at 6:00 PM
8 Persons Max
Rent: ₹6500
Deposit: ₹2000
Deposit Refund after check out.</t>
  </si>
  <si>
    <t xml:space="preserve">81629973-C4EB-427E-BCDF-F0A3E9A32230</t>
  </si>
  <si>
    <t xml:space="preserve">Booked by Vijay Makvana</t>
  </si>
  <si>
    <t xml:space="preserve">Booking confirmed ✅ 
Farm number 11
₹7000 advance received
15 Persons Max
Rent: ₹14000
Deposit: ₹2000
Deposit Refund after check out.</t>
  </si>
  <si>
    <t xml:space="preserve">0D3D6954-19A6-4403-833F-F6FAC7836E33</t>
  </si>
  <si>
    <t xml:space="preserve">Booked by Janvi Patel</t>
  </si>
  <si>
    <t xml:space="preserve">Booking confirmed ✅ 
Farm number 11
₹2000 advance received
17 May 2026 at 7:00 PM to 18 May 2026 at 6:00 PM
10 Persons Max
Rent: ₹6000
Deposit: ₹2000
Deposit Refund after check out.</t>
  </si>
  <si>
    <t xml:space="preserve">DBA09F03-3448-41B8-823E-BBB6A2BDC7CB</t>
  </si>
  <si>
    <t xml:space="preserve">Booked by Bhupendra Mishra</t>
  </si>
  <si>
    <t xml:space="preserve">Booking confirmed ✅ 
Farm number 11
₹2000 advance received 
18 May 2026 at 7:00 PM to 19 May 2026 at 6:00 PM - Sanj to Sanj
10 Persons Max
Rent: ₹6000
Deposit: ₹2000
Deposit Refund after check out.</t>
  </si>
  <si>
    <t xml:space="preserve">A4E44D1C-0176-4296-A301-C98331C6054B</t>
  </si>
  <si>
    <t xml:space="preserve">Booked by Devani Uttam</t>
  </si>
  <si>
    <t xml:space="preserve">Booking confirmed ✅
Farm number 11
₹2000 advance received
19 May 2026 at 7:00 PM to 20 May 2026 at 6:00 PM
12 Persons Max
Rent: ₹6500
Deposit: ₹2000
Deposit Refund after check out.</t>
  </si>
  <si>
    <t xml:space="preserve">753D7760-20DA-4438-9F13-CF713B18BD20</t>
  </si>
  <si>
    <t xml:space="preserve">Booked by Sahil Khimani</t>
  </si>
  <si>
    <t xml:space="preserve">Booking confirmed ✅ 
Farm number 11
₹2000 advance received
20 May 2026 at 7:00 PM to 21 May 2026 at 6:00 PM
15 Persons Max
Rent: ₹6000
Deposit: ₹2000
Deposit Refund after check out.</t>
  </si>
  <si>
    <t xml:space="preserve">2790DD34-D153-4D70-A271-96136B220DBB</t>
  </si>
  <si>
    <t xml:space="preserve">Booked by Vinay Gundariya</t>
  </si>
  <si>
    <t xml:space="preserve">Booking confirmed ✅ 
Farm number 11
₹2000 advance received
21 May 2026 at 7:00 PM to 22 May 2026 at 6:00 PM
10 Persons Max
Rent: ₹6000
Deposit: ₹2000
Deposit Refund after check out.</t>
  </si>
  <si>
    <t xml:space="preserve">2C9CDC17-5338-453E-B727-15B57D02AB9B</t>
  </si>
  <si>
    <t xml:space="preserve">Booked by Hetal Patel</t>
  </si>
  <si>
    <t xml:space="preserve">Booking confirmed ✅ 
Farm number 11
₹2000 advance received
22 May 2026 at 7:00 PM to 23 May 2026 at 6:00 PM
4 Persons Max
Rent: ₹6000
Deposit: ₹2000
Deposit Refund after check out.</t>
  </si>
  <si>
    <t xml:space="preserve">BA660251-A3D7-470C-917E-2BCDC42FBFF2</t>
  </si>
  <si>
    <t xml:space="preserve">Booked by Harshil Zalavadiya</t>
  </si>
  <si>
    <t xml:space="preserve">Booking confirmed ✅ 
Farm number 11
₹6000 received 
10 Persons Max
Rent: ₹14000
Deposit: ₹2000
Deposit Refund after check out.</t>
  </si>
  <si>
    <t xml:space="preserve">AB3868C8-3E08-46C0-A5C7-E75E714C7A0D</t>
  </si>
  <si>
    <t xml:space="preserve">Booked by Pinkal Bhandari</t>
  </si>
  <si>
    <t xml:space="preserve">Booking confirmed ✅ 
Farm number 11
₹2000 advance received
24 May 2026 at 7:00 PM to 25 May 2026 at 6:00 PM
15 Persons Max
Rent: ₹6500
Deposit: ₹2000
Deposit Refund after check out.</t>
  </si>
  <si>
    <t xml:space="preserve">3507D0EB-ED27-4319-AD91-E8322046AD5C</t>
  </si>
  <si>
    <t xml:space="preserve">Booked by Ashok Sarvaiya</t>
  </si>
  <si>
    <t xml:space="preserve">Booking confirmed ✅ 
Farm number 11
₹2000 received 
15 Persons Max
Rent: ₹6500
Deposit: ₹2000
Deposit Refund after check out.</t>
  </si>
  <si>
    <t xml:space="preserve">BF60D45A-0F35-4825-9767-A5525DCB3FAC</t>
  </si>
  <si>
    <t xml:space="preserve">Booked by Yash Parmar</t>
  </si>
  <si>
    <t xml:space="preserve">Booking confirmed ✅ 
Farm number 11
₹2000 advance received
26 May 2026 at 7:00 PM to 27 May 2026 at 6:00 PM
8 Persons Max
Rent: ₹6500
Deposit: ₹2000
Deposit Refund after check out.</t>
  </si>
  <si>
    <t xml:space="preserve">0BE82E73-6D5A-4BE5-A0EE-AF2AE117D2A9</t>
  </si>
  <si>
    <t xml:space="preserve">Booked by Chirag Bhalu</t>
  </si>
  <si>
    <t xml:space="preserve">Booking confirmed ✅ 
Farm number 11
₹2000 advance received
27 May 2026 at 7:00 PM to 28 May 2026 at 6:00 PM
22 Persons Max
Rent: ₹7000
Deposit: ₹2000
Deposit Refund after check out.</t>
  </si>
  <si>
    <t xml:space="preserve">A9A4F525-0796-4FA7-A845-9B5E9C046213</t>
  </si>
  <si>
    <t xml:space="preserve">Booked by Parth Patel</t>
  </si>
  <si>
    <t xml:space="preserve">Booking confirmed ✅ 
Farm number 11
₹2000 advance received
28 May 2026 at 7:00 PM to 29 May 2026 at 6:00 PM
12 Persons Max
Rent: ₹6500
Deposit: ₹2000
Deposit Refund after check out.</t>
  </si>
  <si>
    <t xml:space="preserve">B9B8C088-DC0B-413C-ABA0-01D4E0AFCE62</t>
  </si>
  <si>
    <t xml:space="preserve">Booked by Mahesh Pipaliya</t>
  </si>
  <si>
    <t xml:space="preserve">Booking confirmed ✅ 
Farm number 11
₹2000 advance received
+91 9978808599
29 May 2026 at 7:00 PM to 30 May 2026 at 6:00 PM
15-17 Persons Max
Rent: ₹6500
Deposit: ₹2000
Deposit Refund after check out.</t>
  </si>
  <si>
    <t xml:space="preserve">1F01A1E9-716E-45D9-A3BC-349C81BDCB72</t>
  </si>
  <si>
    <t xml:space="preserve">Booked by Arshil Siroya</t>
  </si>
  <si>
    <t xml:space="preserve">
Farm number 11
₹7000 advance received
15 Persons Max
Rent: ₹14000
Deposit: ₹2000
Deposit Refund after check out.</t>
  </si>
  <si>
    <t xml:space="preserve">C1CD8DB4-F954-4D83-8FC6-FF55109B0856</t>
  </si>
  <si>
    <t xml:space="preserve">Booking confirmed 
Farm number 11
₹2000 advance received
+91 9664510245
31 May 2026 at 7:00 PM to 1 Jun 2026 at 7:00 AM
14 Persons Max
Rent: ₹4500
Deposit: ₹2000
Deposit Refund after check out.</t>
  </si>
  <si>
    <t xml:space="preserve">7DEEFFD5-EDC8-48F4-800D-02B3FEFE8A4A</t>
  </si>
  <si>
    <t xml:space="preserve">Booked by Mahesh Gadhiya</t>
  </si>
  <si>
    <t xml:space="preserve">Booking confirmed
Farm number 11
₹2000 advance received
+91 9978774398
1 Jun 2026 at 9:00 AM to 1 Jun 2026 at 6:00 PM
10 Persons Max
Rent: ₹4500
Deposit: ₹2000
Deposit Refund after check out.</t>
  </si>
  <si>
    <t xml:space="preserve">12EA7C94-D4E2-441B-984A-B7E65D5B4A09</t>
  </si>
  <si>
    <t xml:space="preserve">Booked by Nilam Patel</t>
  </si>
  <si>
    <t xml:space="preserve">Booking confirmed ✅ 
Farm number 11
₹2000 advance received
1 Jun 2026 at 7:00 PM to 2 Jun 2026 at 6:00 PM
12 Persons Max
Rent: ₹6500
Deposit: ₹2000
Deposit Refund after check out.</t>
  </si>
  <si>
    <t xml:space="preserve">355D7D75-78C4-45A3-B2DE-6853CAF1D9A1</t>
  </si>
  <si>
    <t xml:space="preserve">Booked by Mehul Dholakiya</t>
  </si>
  <si>
    <t xml:space="preserve">Booking confirmed ✅ 
Farm number 11
₹2000 received 
2 Jun 2026 at 7:00 PM to 3 Jun 2026 at 6:00 PM
15 Persons Max
Rent: ₹6500
Deposit: ₹2000
Deposit Refund after check out.</t>
  </si>
  <si>
    <t xml:space="preserve">C9B07C64-D9C9-463B-9926-CD79D856A39A</t>
  </si>
  <si>
    <t xml:space="preserve">Booked by Henil Vaghasiya </t>
  </si>
  <si>
    <t xml:space="preserve">Booking confirmed ✅ 
Farm number 11
₹2000 received 
+91 6356 671 228
8 Persons Max
Rent: ₹6000
Deposit: ₹2000
Deposit Refund after check out.</t>
  </si>
  <si>
    <t xml:space="preserve">58DA3B67-AE1A-410D-9850-3060EE303A8C</t>
  </si>
  <si>
    <t xml:space="preserve">Booked by Donda Krish</t>
  </si>
  <si>
    <t xml:space="preserve">Booking confirmed ✅ 
Farm number 11
₹2000 advance received
+91 9054348670
4 Jun 2026 at 7:00 PM to 5 Jun 2026 at 6:00 PM
10 Persons Max
Rent: ₹6500
Deposit: ₹2000
Deposit Refund after check out.</t>
  </si>
  <si>
    <t xml:space="preserve">B6802F6A-4827-4AD8-A9E0-02F2E303A507</t>
  </si>
  <si>
    <t xml:space="preserve">Booked by Feni Patel</t>
  </si>
  <si>
    <t xml:space="preserve">Booking confirmed ✅ 
Farm number 11
₹2000 received 
+91 83200 93842
5 Jun 2026 at 7:00 PM to 6 Jun 2026 at 6:00 PM
15 Persons Max
Rent: ₹6500
Deposit: ₹2000
Deposit Refund after check out.</t>
  </si>
  <si>
    <t xml:space="preserve">FE90D5EB-D663-4053-A599-6D652A717A69</t>
  </si>
  <si>
    <t xml:space="preserve">Booking confirmed ✅ 
Farm number 11
₹7000 received
+91 9924761194
18 Persons Max
Rent: ₹14000
Deposit: ₹2000
Deposit Refund after check out.</t>
  </si>
  <si>
    <t xml:space="preserve">36FC3732-A189-4023-9B74-892CC92FBD8F</t>
  </si>
  <si>
    <t xml:space="preserve">Booked by Hitesh Sonar</t>
  </si>
  <si>
    <t xml:space="preserve">
Farm number 11
₹1000 received 
12 Persons Max
Rent: ₹5000
Deposit: ₹2000
Deposit Refund after check out.</t>
  </si>
  <si>
    <t xml:space="preserve">3D517325-B8A9-42B0-99F5-619885B18655</t>
  </si>
  <si>
    <t xml:space="preserve">Booked by Hemansu Bhaliya</t>
  </si>
  <si>
    <t xml:space="preserve">Booking confirmed ✅ 
Farm number 11
₹2000 advance received
10 Persons Max
Rent: ₹5200
Deposit: ₹2000
Deposit Refund after check out.</t>
  </si>
  <si>
    <t xml:space="preserve">B9328AFF-A8DF-4266-883C-EA519E45E203</t>
  </si>
  <si>
    <t xml:space="preserve">Booked by Niraj Mavani</t>
  </si>
  <si>
    <t xml:space="preserve">
Farm number 11
₹2000 received 
12 Persons Max
Rent: ₹5000
Deposit: ₹2000
Deposit Refund after check out.</t>
  </si>
  <si>
    <t xml:space="preserve">36C9304B-C96F-4083-8076-2E54544ED6FD</t>
  </si>
  <si>
    <t xml:space="preserve">Booked by Rahul Sonvane</t>
  </si>
  <si>
    <t xml:space="preserve">Booking confirmed ✅ 
Farm number 11
₹2000 received 
10 Persons Max
Rent: ₹4000
Deposit: ₹2000
Deposit Refund after check out.</t>
  </si>
  <si>
    <t xml:space="preserve">247B2EC1-6BE8-49EC-87FD-2B099D5D45DA</t>
  </si>
  <si>
    <t xml:space="preserve">Booked by Piyush Bhadani</t>
  </si>
  <si>
    <t xml:space="preserve">C9F2115F-AE07-4C43-80A5-C454971B6812</t>
  </si>
  <si>
    <t xml:space="preserve">Booked by Renisha Shingala</t>
  </si>
  <si>
    <t xml:space="preserve">Booking confirmed ✅ 
Farm number 11
₹2000 received
+91 9099854642
11 Persons Max
Rent: ₹4500
Deposit: ₹2000
Deposit Refund after check out.</t>
  </si>
  <si>
    <t xml:space="preserve">B7F25AA6-8CA8-4B6F-B85D-62E445F3AAB8</t>
  </si>
  <si>
    <t xml:space="preserve">Booked by Harshit Kotadiya</t>
  </si>
  <si>
    <t xml:space="preserve">Booking confirmed ✅ 
Farm number 11
₹5000 received
+91 8866994302
10 Persons Max
Rent: ₹10000
Deposit: ₹2000
Deposit Refund after check out.</t>
  </si>
  <si>
    <t xml:space="preserve">C3816CEE-D59E-426B-86F6-1A62D3E51AA8</t>
  </si>
  <si>
    <t xml:space="preserve">Booked by Parasram</t>
  </si>
  <si>
    <t xml:space="preserve">Booking Confirmed
Farm number 11
₹1000 advance received
+91 9106339772
4 Persons Max
Rent: ₹3000
Deposit: ₹2000
Deposit Refund after check out.</t>
  </si>
  <si>
    <t xml:space="preserve">E55835F8-2EC9-46DD-A1E0-6B6C2104653A</t>
  </si>
  <si>
    <t xml:space="preserve">Booked by Girish Pansuriya - Booking Cancelled</t>
  </si>
  <si>
    <t xml:space="preserve">Booking cancelled 
Farm number 11
₹1000 received
+91 9913894281
10 Persons Max
Rent: ₹1000
Deposit: ₹2000
Deposit Refund after check out.</t>
  </si>
  <si>
    <t xml:space="preserve">FF9EB625-489F-4C4A-BA16-1EC0382D3DF2</t>
  </si>
  <si>
    <t xml:space="preserve">Booked by Bhavesh Chaudhari</t>
  </si>
  <si>
    <t xml:space="preserve">Booking confirmed ✅ 
Farm number 11
₹1000 received
+91 7621921808
7 Persons Max
Rent: ₹4500
Deposit: ₹2000
Deposit Refund after check out.</t>
  </si>
  <si>
    <t xml:space="preserve">A90F55BF-B0F1-45B7-B078-0595AB9F6CBD</t>
  </si>
  <si>
    <t xml:space="preserve">Booked by Dilip Kansara</t>
  </si>
  <si>
    <t xml:space="preserve">Booking Confirmed ✅ 
Farm number 11
₹2000 advance received
⁨‭+91 7878060650‬⁩
16 Jun 2026 at 7:00 PM to 17 Jun 2026 at 6:00 PM
15 Persons Max
Rent: ₹5000
Deposit: ₹2000
Deposit Refund after check out.</t>
  </si>
  <si>
    <t xml:space="preserve">CBA80EE8-5C53-430C-A357-00BF7EAFC519</t>
  </si>
  <si>
    <t xml:space="preserve">Booked by Kapil Fodar Agent</t>
  </si>
  <si>
    <t xml:space="preserve">Booking Confirmed
₹3500 advance received
+91 6358043669
4 Persons Max
Rent: ₹2500
Deposit: ₹1000
Deposit Refund after check out.</t>
  </si>
  <si>
    <t xml:space="preserve">3C26BF5F-049D-4E85-BD77-26A882918D27</t>
  </si>
  <si>
    <t xml:space="preserve">Booked by Nitin Bhalia</t>
  </si>
  <si>
    <t xml:space="preserve">Booking confirmed
Farm number 11
₹2000 advance received
+91 9173537833
18 Jun 2026 at 7:00 PM to 19 Jun 2026 at 5:00 PM
7 Persons Max
Rent: ₹4300
Deposit: ₹2000
Deposit Refund after check out.</t>
  </si>
  <si>
    <t xml:space="preserve">3784FB28-24A7-4748-ACA9-F7620636A7C8</t>
  </si>
  <si>
    <t xml:space="preserve">Booked by Ankit Mandaviya</t>
  </si>
  <si>
    <t xml:space="preserve">Booking confirmed ✅ 
Farm number 11
₹2000 advance received
+91 7567064731
19 Jun 2026 at 7:00 PM to 20 Jun 2026 at 6:00 PM
10 Persons Max
Rent: ₹2000
Deposit: ₹2000
Deposit Refund after check out.</t>
  </si>
  <si>
    <t xml:space="preserve">FF68C6E5-D98E-4C4D-86D2-AC3C192140B0</t>
  </si>
  <si>
    <t xml:space="preserve">Booked by Sagar Balar</t>
  </si>
  <si>
    <t xml:space="preserve">Booking confirmed ✅ 
Farm number 11
₹5000 received 
+91 7434830016
10 Persons Max
Rent: ₹10000
Deposit: ₹2000
Deposit Refund after check out.</t>
  </si>
  <si>
    <t xml:space="preserve">C0670805-0DD4-4A46-A952-4CF2260C40BE</t>
  </si>
  <si>
    <t xml:space="preserve">Booked by Rudra Bhatt</t>
  </si>
  <si>
    <t xml:space="preserve">Booking confirmed ✅ 
Farm number 11
₹2000 advance received
+91 9979031422
21 Jun 2026 at 7:00 PM to 22 Jun 2026 at 5:00 PM
10 Persons Max
Rent: ₹4500
Deposit: ₹2000
Deposit Refund after check out.</t>
  </si>
  <si>
    <t xml:space="preserve">E7D7B025-2E9A-4941-B78E-9E687377D787</t>
  </si>
  <si>
    <t xml:space="preserve">Booked by Akash Prajapati</t>
  </si>
  <si>
    <t xml:space="preserve">Booking confirmed ✅ 
Farm number 11
₹2000 received 
+91 9712252486
2 Persons Max
Rent: ₹4000
Deposit: ₹2000
Deposit Refund after check out.</t>
  </si>
  <si>
    <t xml:space="preserve">15002F7F-6AE0-49FA-AF81-74D74B61E613</t>
  </si>
  <si>
    <t xml:space="preserve">Booked by Kirtan Makvana</t>
  </si>
  <si>
    <t xml:space="preserve">Booking confirmed ✅ 
Farm number 11
₹2000 received
⁨‭+91 9016745734‬⁩
10 Persons Max
Rent: ₹4000
Deposit: ₹2000
Deposit Refund after check out.</t>
  </si>
  <si>
    <t xml:space="preserve">9FDFCFCC-A801-4F8A-8AA7-45BCA97785B4</t>
  </si>
  <si>
    <t xml:space="preserve">Booked by Karishma Patel</t>
  </si>
  <si>
    <t xml:space="preserve">Booking confirmed ✅ 
Farm number 11
₹2000 advance received
+91 9924033974
15 Persons Max
Rent: ₹5000
Deposit: ₹2000
Deposit Refund after check out.</t>
  </si>
  <si>
    <t xml:space="preserve">C1ED64EC-F47D-4E08-BFD2-E0D1EC49E227</t>
  </si>
  <si>
    <t xml:space="preserve">Booked by Rutish Vora</t>
  </si>
  <si>
    <t xml:space="preserve">Booking confirmed ✅ 
Farm number 11
Rutish Vora
27 Jun 2026 at 7:00 PM to 28 Jun 2026 at 6:00 PM
15 Persons Max
Rent: ₹6000
Deposit: ₹2000
Deposit Refund after check out.</t>
  </si>
  <si>
    <t xml:space="preserve">A990EBE9-959F-42C8-85F4-17F085090F18</t>
  </si>
  <si>
    <t xml:space="preserve">Booked by Rakesh Patel</t>
  </si>
  <si>
    <t xml:space="preserve">Booking confirmed ✅ 
Farm number 11
₹2000 advance received
‪+91 9909821210‬
28 Jun 2026 at 7:00 PM to 29 Jun 2026 at 5:00 PM
12 Persons Max
Rent: ₹4500
Deposit: ₹2000
Deposit Refund after check out.</t>
  </si>
  <si>
    <t xml:space="preserve">F253788A-7863-420F-8EEA-FDA636C985B3</t>
  </si>
  <si>
    <t xml:space="preserve">Booked by Prit Nandaniya</t>
  </si>
  <si>
    <t xml:space="preserve">Booking confirmed ✅ 
Farm number 11
₹1000 advance received
‪+91 9913310754‬
29 Jun 2026 at 7:00 PM to 30 Jun 2026 at 6:00 PM
12 Persons Max
Rent: ₹4000
Deposit: ₹2000
Deposit Refund after check out.</t>
  </si>
  <si>
    <t xml:space="preserve">3068BC3C-D4FF-48DB-BDFF-74984DBAAA5F</t>
  </si>
  <si>
    <t xml:space="preserve">Booked by Pravin Gupta</t>
  </si>
  <si>
    <t xml:space="preserve">Booking confirmed ✅ 
Farm number 11
₹1000 advance received
‪+91 7600730042‬
1 Jul 2026 at 9:00 AM to 1 Jul 2026 at 6:00 PM
7 Persons Max
Rent: ₹3000
Deposit: ₹1000
Deposit Refund after check out.</t>
  </si>
  <si>
    <t xml:space="preserve">78CE9E08-A975-4459-8EA2-6229311A4BB0</t>
  </si>
  <si>
    <t xml:space="preserve">Booked by Shailendra Shahu</t>
  </si>
  <si>
    <t xml:space="preserve">Booking confirmed ✅ 
Farm number 11
₹1000 received 
‪+91 9574219935‬
1 Jul 2026 at 8:00 PM to 2 Jul 2026 at 8:00 AM
13 Persons Max
Rent: ₹3000
Deposit: ₹1000
Deposit Refund after check out.</t>
  </si>
  <si>
    <t xml:space="preserve">9400A315-ECDB-4067-93F7-C7BF52436A58</t>
  </si>
  <si>
    <t xml:space="preserve">Booked by Vasisth Mistry </t>
  </si>
  <si>
    <t xml:space="preserve">Booking confirmed ✅ 
₹1000 received 
Farm number 11
+91 73838 59789
2 Persons Max
Rent: ₹2500
Deposit: ₹1000
Deposit Refund after check out.</t>
  </si>
  <si>
    <t xml:space="preserve">E3A62514-3892-4BBF-987D-30B7A43057D6</t>
  </si>
  <si>
    <t xml:space="preserve">Booked by Yashu Kachhadiya</t>
  </si>
  <si>
    <t xml:space="preserve">339580E1-B693-4969-9F09-E9C0D8C72392</t>
  </si>
  <si>
    <t xml:space="preserve">Booked by Devang Solanki</t>
  </si>
  <si>
    <t xml:space="preserve">Booking confirmed ✅ 
Farm number 11
₹1000 advance received
+91 8758154377
7 Jul 2026 at 7:00 PM to 9 Jul 2026 at 5:00 PM
10 Persons Max
Rent: ₹7500
Deposit: ₹2000
Deposit Refund after check out.</t>
  </si>
  <si>
    <t xml:space="preserve">2732463C-7F83-450E-B822-6B66C2AE1B95</t>
  </si>
  <si>
    <t xml:space="preserve">Booked by Angesh</t>
  </si>
  <si>
    <t xml:space="preserve">Booking confirmed
Farm number 11
₹1000 advance received
+91 7084229643
12 Jul 2026 at 9:00 PM to 13 Jul 2026 at 8:00 AM
10 Persons Max
Rent: ₹3000
Deposit: ₹1000
Deposit Refund after check out.</t>
  </si>
  <si>
    <t xml:space="preserve">348E34BD-A8ED-485C-AC2E-213032F346C7</t>
  </si>
  <si>
    <t xml:space="preserve">Booked by Vikas Singh </t>
  </si>
  <si>
    <t xml:space="preserve">Booking confirmed ✅ 
Farm number 11
₹2000 received 
+91 88490 13169
8 Persons Max
Rent: ₹3500
Deposit: ₹1000
Deposit Refund after check out.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</si>
</sst>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\-m"/>
    <numFmt numFmtId="166" formatCode="\₹#,###"/>
    <numFmt numFmtId="167" formatCode="0.00%;[RED]\-0.00%;&quot;N/A&quot;"/>
    <numFmt numFmtId="168" formatCode="0"/>
    <numFmt numFmtId="169" formatCode="yyyy\-mm"/>
    <numFmt numFmtId="170" formatCode="dd/mm/yyyy"/>
    <numFmt numFmtId="171" formatCode="m/d/yyyy\ h:mm:ss"/>
    <numFmt numFmtId="172" formatCode="hh:mm:ss"/>
  </numFmts>
  <fonts count="6">
    <font>
      <sz val="10"/>
      <color rgb="FF00000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</font>
    <font>
      <sz val="11"/>
      <color rgb="FF00000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D1" colorId="64" zoomScale="60" zoomScaleNormal="60" zoomScalePageLayoutView="100" workbookViewId="0">
      <pane xSplit="0" ySplit="1" topLeftCell="A5" activePane="bottomLeft" state="frozen"/>
      <selection pane="topLeft" activeCell="D1" activeCellId="0" sqref="D1"/>
      <selection pane="bottomLeft" activeCell="L20" activeCellId="0" sqref="L20"/>
    </sheetView>
  </sheetViews>
  <sheetFormatPr defaultColWidth="12.6953125" defaultRowHeight="12.8" zeroHeight="false" outlineLevelRow="0" outlineLevelCol="0"/>
  <cols>
    <col collapsed="false" customWidth="true" hidden="false" outlineLevel="0" max="1" min="1" style="0" width="17.09"/>
    <col collapsed="false" customWidth="true" hidden="false" outlineLevel="0" max="2" min="2" style="0" width="16.39"/>
    <col collapsed="false" customWidth="true" hidden="false" outlineLevel="0" max="3" min="3" style="0" width="21.11"/>
    <col collapsed="false" customWidth="true" hidden="false" outlineLevel="0" max="4" min="4" style="0" width="15.42"/>
    <col collapsed="false" customWidth="true" hidden="false" outlineLevel="0" max="5" min="5" style="0" width="15.84"/>
    <col collapsed="false" customWidth="true" hidden="false" outlineLevel="0" max="6" min="6" style="0" width="11.76"/>
    <col collapsed="false" customWidth="true" hidden="false" outlineLevel="0" max="7" min="7" style="0" width="18.25"/>
    <col collapsed="false" customWidth="true" hidden="false" outlineLevel="0" max="8" min="8" style="0" width="16.26"/>
    <col collapsed="false" customWidth="true" hidden="false" outlineLevel="0" max="9" min="9" style="0" width="15.63"/>
    <col collapsed="false" customWidth="true" hidden="false" outlineLevel="0" max="10" min="10" style="0" width="16.8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2" t="n">
        <v>45261</v>
      </c>
      <c r="B2" s="3" t="n">
        <v>50100</v>
      </c>
      <c r="C2" s="4"/>
      <c r="D2" s="5" t="n">
        <v>0.382352941176471</v>
      </c>
      <c r="E2" s="4"/>
      <c r="F2" s="6" t="n">
        <v>18</v>
      </c>
      <c r="G2" s="4"/>
      <c r="H2" s="7" t="n">
        <v>14</v>
      </c>
      <c r="I2" s="7" t="n">
        <v>0</v>
      </c>
      <c r="J2" s="7" t="n">
        <v>7</v>
      </c>
    </row>
    <row r="3" customFormat="false" ht="13.8" hidden="false" customHeight="false" outlineLevel="0" collapsed="false">
      <c r="A3" s="8" t="n">
        <v>45292</v>
      </c>
      <c r="B3" s="3" t="n">
        <v>72600</v>
      </c>
      <c r="C3" s="4"/>
      <c r="D3" s="5" t="n">
        <v>0.619047619047619</v>
      </c>
      <c r="E3" s="4"/>
      <c r="F3" s="6" t="n">
        <v>19</v>
      </c>
      <c r="G3" s="4"/>
      <c r="H3" s="7" t="n">
        <v>9</v>
      </c>
      <c r="I3" s="7" t="n">
        <v>2</v>
      </c>
      <c r="J3" s="7" t="n">
        <v>5</v>
      </c>
    </row>
    <row r="4" customFormat="false" ht="13.8" hidden="false" customHeight="false" outlineLevel="0" collapsed="false">
      <c r="A4" s="8" t="n">
        <v>45323</v>
      </c>
      <c r="B4" s="3" t="n">
        <v>61100</v>
      </c>
      <c r="C4" s="4"/>
      <c r="D4" s="5" t="n">
        <v>0.625</v>
      </c>
      <c r="E4" s="4"/>
      <c r="F4" s="6" t="n">
        <v>21</v>
      </c>
      <c r="G4" s="4"/>
      <c r="H4" s="7" t="n">
        <v>7</v>
      </c>
      <c r="I4" s="7" t="n">
        <v>0</v>
      </c>
      <c r="J4" s="7" t="n">
        <v>5</v>
      </c>
    </row>
    <row r="5" customFormat="false" ht="13.8" hidden="false" customHeight="false" outlineLevel="0" collapsed="false">
      <c r="A5" s="8" t="n">
        <v>45352</v>
      </c>
      <c r="B5" s="3" t="n">
        <v>113450</v>
      </c>
      <c r="C5" s="4"/>
      <c r="D5" s="5" t="n">
        <v>0.75</v>
      </c>
      <c r="E5" s="4"/>
      <c r="F5" s="6" t="n">
        <v>23</v>
      </c>
      <c r="G5" s="4"/>
      <c r="H5" s="7" t="n">
        <v>9</v>
      </c>
      <c r="I5" s="7" t="n">
        <v>0</v>
      </c>
      <c r="J5" s="7" t="n">
        <v>2</v>
      </c>
    </row>
    <row r="6" customFormat="false" ht="13.8" hidden="false" customHeight="false" outlineLevel="0" collapsed="false">
      <c r="A6" s="8" t="n">
        <v>45383</v>
      </c>
      <c r="B6" s="3" t="n">
        <v>131300</v>
      </c>
      <c r="C6" s="4"/>
      <c r="D6" s="5" t="n">
        <v>0.803921568627451</v>
      </c>
      <c r="E6" s="4"/>
      <c r="F6" s="6" t="n">
        <v>26</v>
      </c>
      <c r="G6" s="4"/>
      <c r="H6" s="7" t="n">
        <v>4</v>
      </c>
      <c r="I6" s="7" t="n">
        <v>1</v>
      </c>
      <c r="J6" s="7" t="n">
        <v>5</v>
      </c>
    </row>
    <row r="7" customFormat="false" ht="13.8" hidden="false" customHeight="false" outlineLevel="0" collapsed="false">
      <c r="A7" s="8" t="n">
        <v>45413</v>
      </c>
      <c r="B7" s="3" t="n">
        <v>191000</v>
      </c>
      <c r="C7" s="4"/>
      <c r="D7" s="5" t="n">
        <v>0.932203389830508</v>
      </c>
      <c r="E7" s="4"/>
      <c r="F7" s="6" t="n">
        <v>32</v>
      </c>
      <c r="G7" s="4"/>
      <c r="H7" s="7" t="n">
        <v>1</v>
      </c>
      <c r="I7" s="7" t="n">
        <v>0</v>
      </c>
      <c r="J7" s="7" t="n">
        <v>3</v>
      </c>
    </row>
    <row r="8" customFormat="false" ht="13.8" hidden="false" customHeight="false" outlineLevel="0" collapsed="false">
      <c r="A8" s="8" t="n">
        <v>45444</v>
      </c>
      <c r="B8" s="3" t="n">
        <v>140200</v>
      </c>
      <c r="C8" s="4"/>
      <c r="D8" s="5" t="n">
        <v>0.787234042553192</v>
      </c>
      <c r="E8" s="4"/>
      <c r="F8" s="6" t="n">
        <v>26</v>
      </c>
      <c r="G8" s="4"/>
      <c r="H8" s="7" t="n">
        <v>4</v>
      </c>
      <c r="I8" s="7" t="n">
        <v>0</v>
      </c>
      <c r="J8" s="7" t="n">
        <v>6</v>
      </c>
    </row>
    <row r="9" customFormat="false" ht="13.8" hidden="false" customHeight="false" outlineLevel="0" collapsed="false">
      <c r="A9" s="8" t="n">
        <v>45474</v>
      </c>
      <c r="B9" s="3" t="n">
        <v>53500</v>
      </c>
      <c r="C9" s="4"/>
      <c r="D9" s="5" t="n">
        <v>0.425</v>
      </c>
      <c r="E9" s="4"/>
      <c r="F9" s="6" t="n">
        <v>19</v>
      </c>
      <c r="G9" s="4"/>
      <c r="H9" s="7" t="n">
        <v>13</v>
      </c>
      <c r="I9" s="7" t="n">
        <v>0</v>
      </c>
      <c r="J9" s="7" t="n">
        <v>10</v>
      </c>
    </row>
    <row r="10" customFormat="false" ht="13.8" hidden="false" customHeight="false" outlineLevel="0" collapsed="false">
      <c r="A10" s="8" t="n">
        <v>45505</v>
      </c>
      <c r="B10" s="3" t="n">
        <v>56900</v>
      </c>
      <c r="C10" s="4"/>
      <c r="D10" s="5" t="n">
        <v>0.538461538461538</v>
      </c>
      <c r="E10" s="4"/>
      <c r="F10" s="6" t="n">
        <v>23</v>
      </c>
      <c r="G10" s="4"/>
      <c r="H10" s="7" t="n">
        <v>9</v>
      </c>
      <c r="I10" s="7" t="n">
        <v>0</v>
      </c>
      <c r="J10" s="7" t="n">
        <v>9</v>
      </c>
    </row>
    <row r="11" customFormat="false" ht="13.8" hidden="false" customHeight="false" outlineLevel="0" collapsed="false">
      <c r="A11" s="8" t="n">
        <v>45536</v>
      </c>
      <c r="B11" s="3" t="n">
        <v>42200</v>
      </c>
      <c r="C11" s="4"/>
      <c r="D11" s="5" t="n">
        <v>0.277777777777778</v>
      </c>
      <c r="E11" s="4"/>
      <c r="F11" s="6" t="n">
        <v>20</v>
      </c>
      <c r="G11" s="4"/>
      <c r="H11" s="7" t="n">
        <v>10</v>
      </c>
      <c r="I11" s="7" t="n">
        <v>1</v>
      </c>
      <c r="J11" s="7" t="n">
        <v>15</v>
      </c>
    </row>
    <row r="12" customFormat="false" ht="13.8" hidden="false" customHeight="false" outlineLevel="0" collapsed="false">
      <c r="A12" s="2" t="n">
        <v>45566</v>
      </c>
      <c r="B12" s="3" t="n">
        <v>67000</v>
      </c>
      <c r="C12" s="4"/>
      <c r="D12" s="5" t="n">
        <v>0.567567567567568</v>
      </c>
      <c r="E12" s="4"/>
      <c r="F12" s="6" t="n">
        <v>21</v>
      </c>
      <c r="G12" s="4"/>
      <c r="H12" s="7" t="n">
        <v>8</v>
      </c>
      <c r="I12" s="7" t="n">
        <v>1</v>
      </c>
      <c r="J12" s="7" t="n">
        <v>7</v>
      </c>
    </row>
    <row r="13" customFormat="false" ht="13.8" hidden="false" customHeight="false" outlineLevel="0" collapsed="false">
      <c r="A13" s="2" t="n">
        <v>45597</v>
      </c>
      <c r="B13" s="3" t="n">
        <v>93400</v>
      </c>
      <c r="C13" s="4"/>
      <c r="D13" s="5" t="n">
        <v>0.717391304347826</v>
      </c>
      <c r="E13" s="4"/>
      <c r="F13" s="6" t="n">
        <v>29</v>
      </c>
      <c r="G13" s="4"/>
      <c r="H13" s="7" t="n">
        <v>3</v>
      </c>
      <c r="I13" s="7" t="n">
        <v>0</v>
      </c>
      <c r="J13" s="7" t="n">
        <v>10</v>
      </c>
    </row>
    <row r="14" customFormat="false" ht="13.8" hidden="false" customHeight="false" outlineLevel="0" collapsed="false">
      <c r="A14" s="2" t="n">
        <v>45627</v>
      </c>
      <c r="B14" s="3" t="n">
        <v>57200</v>
      </c>
      <c r="C14" s="5" t="n">
        <v>0.141716566866267</v>
      </c>
      <c r="D14" s="5" t="n">
        <v>0.5</v>
      </c>
      <c r="E14" s="5" t="n">
        <v>0.307692307692308</v>
      </c>
      <c r="F14" s="6" t="n">
        <v>21</v>
      </c>
      <c r="G14" s="5" t="n">
        <v>0.166666666666667</v>
      </c>
      <c r="H14" s="7" t="n">
        <v>9</v>
      </c>
      <c r="I14" s="7" t="n">
        <v>1</v>
      </c>
      <c r="J14" s="7" t="n">
        <v>10</v>
      </c>
    </row>
    <row r="15" customFormat="false" ht="13.8" hidden="false" customHeight="false" outlineLevel="0" collapsed="false">
      <c r="A15" s="8" t="n">
        <v>45658</v>
      </c>
      <c r="B15" s="3" t="n">
        <v>73500</v>
      </c>
      <c r="C15" s="5" t="n">
        <v>0.012396694214876</v>
      </c>
      <c r="D15" s="5" t="n">
        <v>0.58695652173913</v>
      </c>
      <c r="E15" s="5" t="n">
        <v>-0.0518394648829431</v>
      </c>
      <c r="F15" s="6" t="n">
        <v>23</v>
      </c>
      <c r="G15" s="5" t="n">
        <v>0.210526315789474</v>
      </c>
      <c r="H15" s="7" t="n">
        <v>10</v>
      </c>
      <c r="I15" s="7" t="n">
        <v>0</v>
      </c>
      <c r="J15" s="7" t="n">
        <v>9</v>
      </c>
    </row>
    <row r="16" customFormat="false" ht="13.8" hidden="false" customHeight="false" outlineLevel="0" collapsed="false">
      <c r="A16" s="8" t="n">
        <v>45689</v>
      </c>
      <c r="B16" s="3" t="n">
        <v>41000</v>
      </c>
      <c r="C16" s="5" t="n">
        <v>-0.328968903436989</v>
      </c>
      <c r="D16" s="5" t="n">
        <v>0.394736842105263</v>
      </c>
      <c r="E16" s="5" t="n">
        <v>-0.368421052631579</v>
      </c>
      <c r="F16" s="6" t="n">
        <v>16</v>
      </c>
      <c r="G16" s="5" t="n">
        <v>-0.238095238095238</v>
      </c>
      <c r="H16" s="7" t="n">
        <v>13</v>
      </c>
      <c r="I16" s="7" t="n">
        <v>0</v>
      </c>
      <c r="J16" s="7" t="n">
        <v>10</v>
      </c>
    </row>
    <row r="17" customFormat="false" ht="13.8" hidden="false" customHeight="false" outlineLevel="0" collapsed="false">
      <c r="A17" s="8" t="n">
        <v>45717</v>
      </c>
      <c r="B17" s="3" t="n">
        <v>128500</v>
      </c>
      <c r="C17" s="5" t="n">
        <v>0.132657558395769</v>
      </c>
      <c r="D17" s="5" t="n">
        <v>0.829787234042553</v>
      </c>
      <c r="E17" s="5" t="n">
        <v>0.106382978723404</v>
      </c>
      <c r="F17" s="6" t="n">
        <v>25</v>
      </c>
      <c r="G17" s="5" t="n">
        <v>0.0869565217391304</v>
      </c>
      <c r="H17" s="7" t="n">
        <v>5</v>
      </c>
      <c r="I17" s="7" t="n">
        <v>0</v>
      </c>
      <c r="J17" s="7" t="n">
        <v>3</v>
      </c>
    </row>
    <row r="18" customFormat="false" ht="13.8" hidden="false" customHeight="false" outlineLevel="0" collapsed="false">
      <c r="A18" s="8" t="n">
        <v>45748</v>
      </c>
      <c r="B18" s="3" t="n">
        <v>151400</v>
      </c>
      <c r="C18" s="5" t="n">
        <v>0.153084539223153</v>
      </c>
      <c r="D18" s="5" t="n">
        <v>0.833333333333333</v>
      </c>
      <c r="E18" s="5" t="n">
        <v>0.0365853658536585</v>
      </c>
      <c r="F18" s="6" t="n">
        <v>27</v>
      </c>
      <c r="G18" s="5" t="n">
        <v>0.0384615384615385</v>
      </c>
      <c r="H18" s="7" t="n">
        <v>3</v>
      </c>
      <c r="I18" s="7" t="n">
        <v>1</v>
      </c>
      <c r="J18" s="7" t="n">
        <v>5</v>
      </c>
    </row>
    <row r="19" customFormat="false" ht="13.8" hidden="false" customHeight="false" outlineLevel="0" collapsed="false">
      <c r="A19" s="8" t="n">
        <v>45778</v>
      </c>
      <c r="B19" s="3" t="n">
        <v>172550</v>
      </c>
      <c r="C19" s="5" t="n">
        <v>-0.0965968586387435</v>
      </c>
      <c r="D19" s="5" t="n">
        <v>0.909090909090909</v>
      </c>
      <c r="E19" s="5" t="n">
        <v>-0.0247933884297521</v>
      </c>
      <c r="F19" s="6" t="n">
        <v>35</v>
      </c>
      <c r="G19" s="5" t="n">
        <v>0.09375</v>
      </c>
      <c r="H19" s="7" t="n">
        <v>1</v>
      </c>
      <c r="I19" s="7" t="n">
        <v>1</v>
      </c>
      <c r="J19" s="7" t="n">
        <v>3</v>
      </c>
    </row>
    <row r="20" customFormat="false" ht="13.8" hidden="false" customHeight="false" outlineLevel="0" collapsed="false">
      <c r="A20" s="8" t="n">
        <v>45809</v>
      </c>
      <c r="B20" s="3" t="n">
        <v>106700</v>
      </c>
      <c r="C20" s="5" t="n">
        <v>-0.238944365192582</v>
      </c>
      <c r="D20" s="5" t="n">
        <v>0.68</v>
      </c>
      <c r="E20" s="5" t="n">
        <v>-0.136216216216216</v>
      </c>
      <c r="F20" s="6" t="n">
        <v>33</v>
      </c>
      <c r="G20" s="5" t="n">
        <v>0.269230769230769</v>
      </c>
      <c r="H20" s="7" t="n">
        <v>10</v>
      </c>
      <c r="I20" s="7" t="n">
        <v>1</v>
      </c>
      <c r="J20" s="7" t="n">
        <v>5</v>
      </c>
    </row>
    <row r="21" customFormat="false" ht="13.8" hidden="false" customHeight="false" outlineLevel="0" collapsed="false">
      <c r="A21" s="8" t="n">
        <v>45839</v>
      </c>
      <c r="B21" s="3" t="n">
        <v>59500</v>
      </c>
      <c r="C21" s="5" t="n">
        <v>0.11214953271028</v>
      </c>
      <c r="D21" s="5" t="n">
        <v>0.513513513513513</v>
      </c>
      <c r="E21" s="5" t="n">
        <v>0.208267090620032</v>
      </c>
      <c r="F21" s="6" t="n">
        <v>22</v>
      </c>
      <c r="G21" s="5" t="n">
        <v>0.157894736842105</v>
      </c>
      <c r="H21" s="7" t="n">
        <v>8</v>
      </c>
      <c r="I21" s="7" t="n">
        <v>0</v>
      </c>
      <c r="J21" s="7" t="n">
        <v>10</v>
      </c>
    </row>
    <row r="22" customFormat="false" ht="13.8" hidden="false" customHeight="false" outlineLevel="0" collapsed="false">
      <c r="A22" s="8" t="n">
        <v>45870</v>
      </c>
      <c r="B22" s="3" t="n">
        <v>76900</v>
      </c>
      <c r="C22" s="5" t="n">
        <v>0.351493848857645</v>
      </c>
      <c r="D22" s="5" t="n">
        <v>0.60377358490566</v>
      </c>
      <c r="E22" s="5" t="n">
        <v>0.121293800539084</v>
      </c>
      <c r="F22" s="6" t="n">
        <v>24</v>
      </c>
      <c r="G22" s="5" t="n">
        <v>0.0434782608695652</v>
      </c>
      <c r="H22" s="7" t="n">
        <v>10</v>
      </c>
      <c r="I22" s="7" t="n">
        <v>0</v>
      </c>
      <c r="J22" s="7" t="n">
        <v>11</v>
      </c>
    </row>
    <row r="23" customFormat="false" ht="13.8" hidden="false" customHeight="false" outlineLevel="0" collapsed="false">
      <c r="A23" s="8" t="n">
        <v>45901</v>
      </c>
      <c r="B23" s="3" t="n">
        <v>41600</v>
      </c>
      <c r="C23" s="5" t="n">
        <v>-0.014218009478673</v>
      </c>
      <c r="D23" s="5" t="n">
        <v>0.333333333333333</v>
      </c>
      <c r="E23" s="5" t="n">
        <v>0.2</v>
      </c>
      <c r="F23" s="6" t="n">
        <v>20</v>
      </c>
      <c r="G23" s="5" t="n">
        <v>0</v>
      </c>
      <c r="H23" s="7" t="n">
        <v>12</v>
      </c>
      <c r="I23" s="7" t="n">
        <v>0</v>
      </c>
      <c r="J23" s="7" t="n">
        <v>8</v>
      </c>
    </row>
    <row r="24" customFormat="false" ht="13.8" hidden="false" customHeight="false" outlineLevel="0" collapsed="false">
      <c r="A24" s="2" t="n">
        <v>45931</v>
      </c>
      <c r="B24" s="3" t="n">
        <v>85800</v>
      </c>
      <c r="C24" s="5" t="n">
        <v>0.280597014925373</v>
      </c>
      <c r="D24" s="5" t="n">
        <v>0.617021276595745</v>
      </c>
      <c r="E24" s="5" t="n">
        <v>0.0871327254305978</v>
      </c>
      <c r="F24" s="6" t="n">
        <v>30</v>
      </c>
      <c r="G24" s="5" t="n">
        <v>0.428571428571429</v>
      </c>
      <c r="H24" s="7" t="n">
        <v>5</v>
      </c>
      <c r="I24" s="7" t="n">
        <v>2</v>
      </c>
      <c r="J24" s="7" t="n">
        <v>11</v>
      </c>
    </row>
    <row r="25" customFormat="false" ht="13.8" hidden="false" customHeight="false" outlineLevel="0" collapsed="false">
      <c r="A25" s="2" t="n">
        <v>45962</v>
      </c>
      <c r="B25" s="3" t="n">
        <v>51200</v>
      </c>
      <c r="C25" s="5" t="n">
        <v>-0.451820128479657</v>
      </c>
      <c r="D25" s="5" t="n">
        <v>0.477272727272727</v>
      </c>
      <c r="E25" s="5" t="n">
        <v>-0.334710743801653</v>
      </c>
      <c r="F25" s="6" t="n">
        <v>18</v>
      </c>
      <c r="G25" s="5" t="n">
        <v>-0.379310344827586</v>
      </c>
      <c r="H25" s="7" t="n">
        <v>13</v>
      </c>
      <c r="I25" s="7" t="n">
        <v>2</v>
      </c>
      <c r="J25" s="7" t="n">
        <v>8</v>
      </c>
    </row>
    <row r="26" customFormat="false" ht="13.8" hidden="false" customHeight="false" outlineLevel="0" collapsed="false">
      <c r="A26" s="2" t="n">
        <v>45992</v>
      </c>
      <c r="B26" s="3" t="n">
        <v>55500</v>
      </c>
      <c r="C26" s="5" t="n">
        <v>-0.0297202797202797</v>
      </c>
      <c r="D26" s="5" t="n">
        <v>0.530612244897959</v>
      </c>
      <c r="E26" s="5" t="n">
        <v>0.0612244897959184</v>
      </c>
      <c r="F26" s="6" t="n">
        <v>16</v>
      </c>
      <c r="G26" s="5" t="n">
        <v>-0.238095238095238</v>
      </c>
      <c r="H26" s="7" t="n">
        <v>12</v>
      </c>
      <c r="I26" s="7" t="n">
        <v>0</v>
      </c>
      <c r="J26" s="7" t="n">
        <v>11</v>
      </c>
    </row>
    <row r="27" customFormat="false" ht="13.8" hidden="false" customHeight="false" outlineLevel="0" collapsed="false">
      <c r="A27" s="8" t="n">
        <v>46023</v>
      </c>
      <c r="B27" s="3" t="n">
        <v>51500</v>
      </c>
      <c r="C27" s="5" t="n">
        <v>-0.299319727891156</v>
      </c>
      <c r="D27" s="5" t="n">
        <v>0.476190476190476</v>
      </c>
      <c r="E27" s="5" t="n">
        <v>-0.188712522045856</v>
      </c>
      <c r="F27" s="6" t="n">
        <v>18</v>
      </c>
      <c r="G27" s="5" t="n">
        <v>-0.217391304347826</v>
      </c>
      <c r="H27" s="7" t="n">
        <v>14</v>
      </c>
      <c r="I27" s="7" t="n">
        <v>0</v>
      </c>
      <c r="J27" s="7" t="n">
        <v>8</v>
      </c>
    </row>
    <row r="28" customFormat="false" ht="13.8" hidden="false" customHeight="false" outlineLevel="0" collapsed="false">
      <c r="A28" s="8" t="n">
        <v>46054</v>
      </c>
      <c r="B28" s="3" t="n">
        <v>40500</v>
      </c>
      <c r="C28" s="5" t="n">
        <v>-0.0121951219512195</v>
      </c>
      <c r="D28" s="5" t="n">
        <v>0.425</v>
      </c>
      <c r="E28" s="5" t="n">
        <v>0.0766666666666666</v>
      </c>
      <c r="F28" s="6" t="n">
        <v>15</v>
      </c>
      <c r="G28" s="5" t="n">
        <v>-0.0625</v>
      </c>
      <c r="H28" s="7" t="n">
        <v>13</v>
      </c>
      <c r="I28" s="7" t="n">
        <v>2</v>
      </c>
      <c r="J28" s="7" t="n">
        <v>8</v>
      </c>
    </row>
    <row r="29" customFormat="false" ht="13.8" hidden="false" customHeight="false" outlineLevel="0" collapsed="false">
      <c r="A29" s="8" t="n">
        <v>46082</v>
      </c>
      <c r="B29" s="3" t="n">
        <v>141600</v>
      </c>
      <c r="C29" s="5" t="n">
        <v>0.101945525291829</v>
      </c>
      <c r="D29" s="5" t="n">
        <v>0.72</v>
      </c>
      <c r="E29" s="5" t="n">
        <v>-0.132307692307692</v>
      </c>
      <c r="F29" s="6" t="n">
        <v>28</v>
      </c>
      <c r="G29" s="5" t="n">
        <v>0.12</v>
      </c>
      <c r="H29" s="7" t="n">
        <v>6</v>
      </c>
      <c r="I29" s="7" t="n">
        <v>2</v>
      </c>
      <c r="J29" s="7" t="n">
        <v>6</v>
      </c>
    </row>
    <row r="30" customFormat="false" ht="13.8" hidden="false" customHeight="false" outlineLevel="0" collapsed="false">
      <c r="A30" s="8" t="n">
        <v>46113</v>
      </c>
      <c r="B30" s="3" t="n">
        <v>148000</v>
      </c>
      <c r="C30" s="5" t="n">
        <v>-0.0224570673712021</v>
      </c>
      <c r="D30" s="5" t="n">
        <v>0.74468085106383</v>
      </c>
      <c r="E30" s="5" t="n">
        <v>-0.106382978723404</v>
      </c>
      <c r="F30" s="6" t="n">
        <v>29</v>
      </c>
      <c r="G30" s="5" t="n">
        <v>0.0740740740740741</v>
      </c>
      <c r="H30" s="7" t="n">
        <v>4</v>
      </c>
      <c r="I30" s="7" t="n">
        <v>1</v>
      </c>
      <c r="J30" s="7" t="n">
        <v>7</v>
      </c>
    </row>
    <row r="31" customFormat="false" ht="13.8" hidden="false" customHeight="false" outlineLevel="0" collapsed="false">
      <c r="A31" s="8" t="n">
        <v>46143</v>
      </c>
      <c r="B31" s="3" t="n">
        <v>222000</v>
      </c>
      <c r="C31" s="5" t="n">
        <v>0.286583598956824</v>
      </c>
      <c r="D31" s="5" t="n">
        <v>0.966666666666667</v>
      </c>
      <c r="E31" s="5" t="n">
        <v>0.0633333333333334</v>
      </c>
      <c r="F31" s="6" t="n">
        <v>32</v>
      </c>
      <c r="G31" s="5" t="n">
        <v>-0.0857142857142857</v>
      </c>
      <c r="H31" s="7" t="n">
        <v>0</v>
      </c>
      <c r="I31" s="7" t="n">
        <v>0</v>
      </c>
      <c r="J31" s="7" t="n">
        <v>2</v>
      </c>
    </row>
    <row r="32" customFormat="false" ht="13.8" hidden="false" customHeight="false" outlineLevel="0" collapsed="false">
      <c r="A32" s="8" t="n">
        <v>46174</v>
      </c>
      <c r="B32" s="3" t="n">
        <v>153500</v>
      </c>
      <c r="C32" s="5" t="n">
        <v>0.438612933458294</v>
      </c>
      <c r="D32" s="5" t="n">
        <v>0.884615384615385</v>
      </c>
      <c r="E32" s="5" t="n">
        <v>0.300904977375565</v>
      </c>
      <c r="F32" s="6" t="n">
        <v>29</v>
      </c>
      <c r="G32" s="5" t="n">
        <v>-0.121212121212121</v>
      </c>
      <c r="H32" s="7" t="n">
        <v>2</v>
      </c>
      <c r="I32" s="7" t="n">
        <v>1</v>
      </c>
      <c r="J32" s="7" t="n">
        <v>3</v>
      </c>
    </row>
    <row r="33" customFormat="false" ht="13.8" hidden="false" customHeight="false" outlineLevel="0" collapsed="false">
      <c r="A33" s="8" t="n">
        <v>46204</v>
      </c>
      <c r="B33" s="3" t="n">
        <v>27500</v>
      </c>
      <c r="C33" s="5" t="n">
        <v>-0.53781512605042</v>
      </c>
      <c r="D33" s="5" t="n">
        <v>0.352941176470588</v>
      </c>
      <c r="E33" s="5" t="n">
        <v>-0.312693498452012</v>
      </c>
      <c r="F33" s="6" t="n">
        <v>7</v>
      </c>
      <c r="G33" s="5" t="n">
        <v>-0.681818181818182</v>
      </c>
      <c r="H33" s="7" t="n">
        <v>9</v>
      </c>
      <c r="I33" s="7" t="n">
        <v>0</v>
      </c>
      <c r="J33" s="7" t="n">
        <v>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D14" activeCellId="0" sqref="D14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3.07"/>
    <col collapsed="false" customWidth="true" hidden="false" outlineLevel="0" max="2" min="2" style="0" width="44.18"/>
  </cols>
  <sheetData>
    <row r="1" customFormat="false" ht="12.8" hidden="false" customHeight="false" outlineLevel="0" collapsed="false">
      <c r="A1" s="0" t="s">
        <v>10</v>
      </c>
      <c r="B1" s="0" t="s">
        <v>11</v>
      </c>
    </row>
    <row r="2" customFormat="false" ht="12.8" hidden="false" customHeight="false" outlineLevel="0" collapsed="false">
      <c r="A2" s="9" t="n">
        <v>44927</v>
      </c>
      <c r="B2" s="0" t="s">
        <v>12</v>
      </c>
    </row>
    <row r="3" customFormat="false" ht="12.8" hidden="false" customHeight="false" outlineLevel="0" collapsed="false">
      <c r="A3" s="9" t="n">
        <v>44940</v>
      </c>
      <c r="B3" s="0" t="s">
        <v>13</v>
      </c>
    </row>
    <row r="4" customFormat="false" ht="12.8" hidden="false" customHeight="false" outlineLevel="0" collapsed="false">
      <c r="A4" s="9" t="n">
        <v>44941</v>
      </c>
      <c r="B4" s="0" t="s">
        <v>14</v>
      </c>
    </row>
    <row r="5" customFormat="false" ht="12.8" hidden="false" customHeight="false" outlineLevel="0" collapsed="false">
      <c r="A5" s="9" t="n">
        <v>44952</v>
      </c>
      <c r="B5" s="0" t="s">
        <v>15</v>
      </c>
    </row>
    <row r="6" customFormat="false" ht="12.8" hidden="false" customHeight="false" outlineLevel="0" collapsed="false">
      <c r="A6" s="9" t="n">
        <v>44975</v>
      </c>
      <c r="B6" s="0" t="s">
        <v>16</v>
      </c>
    </row>
    <row r="7" customFormat="false" ht="12.8" hidden="false" customHeight="false" outlineLevel="0" collapsed="false">
      <c r="A7" s="9" t="n">
        <v>44993</v>
      </c>
      <c r="B7" s="0" t="s">
        <v>17</v>
      </c>
    </row>
    <row r="8" customFormat="false" ht="12.8" hidden="false" customHeight="false" outlineLevel="0" collapsed="false">
      <c r="A8" s="9" t="n">
        <v>44994</v>
      </c>
      <c r="B8" s="0" t="s">
        <v>18</v>
      </c>
    </row>
    <row r="9" customFormat="false" ht="12.8" hidden="false" customHeight="false" outlineLevel="0" collapsed="false">
      <c r="A9" s="9" t="n">
        <v>45015</v>
      </c>
      <c r="B9" s="0" t="s">
        <v>19</v>
      </c>
    </row>
    <row r="10" customFormat="false" ht="12.8" hidden="false" customHeight="false" outlineLevel="0" collapsed="false">
      <c r="A10" s="9" t="n">
        <v>45020</v>
      </c>
      <c r="B10" s="0" t="s">
        <v>20</v>
      </c>
    </row>
    <row r="11" customFormat="false" ht="12.8" hidden="false" customHeight="false" outlineLevel="0" collapsed="false">
      <c r="A11" s="9" t="n">
        <v>45023</v>
      </c>
      <c r="B11" s="0" t="s">
        <v>21</v>
      </c>
    </row>
    <row r="12" customFormat="false" ht="12.8" hidden="false" customHeight="false" outlineLevel="0" collapsed="false">
      <c r="A12" s="9" t="n">
        <v>45038</v>
      </c>
      <c r="B12" s="0" t="s">
        <v>22</v>
      </c>
    </row>
    <row r="13" customFormat="false" ht="12.8" hidden="false" customHeight="false" outlineLevel="0" collapsed="false">
      <c r="A13" s="9" t="n">
        <v>45051</v>
      </c>
      <c r="B13" s="0" t="s">
        <v>23</v>
      </c>
    </row>
    <row r="14" customFormat="false" ht="12.8" hidden="false" customHeight="false" outlineLevel="0" collapsed="false">
      <c r="A14" s="9" t="n">
        <v>45106</v>
      </c>
      <c r="B14" s="0" t="s">
        <v>24</v>
      </c>
    </row>
    <row r="15" customFormat="false" ht="12.8" hidden="false" customHeight="false" outlineLevel="0" collapsed="false">
      <c r="A15" s="9" t="n">
        <v>45136</v>
      </c>
      <c r="B15" s="0" t="s">
        <v>25</v>
      </c>
    </row>
    <row r="16" customFormat="false" ht="12.8" hidden="false" customHeight="false" outlineLevel="0" collapsed="false">
      <c r="A16" s="9" t="n">
        <v>45153</v>
      </c>
      <c r="B16" s="0" t="s">
        <v>26</v>
      </c>
    </row>
    <row r="17" customFormat="false" ht="12.8" hidden="false" customHeight="false" outlineLevel="0" collapsed="false">
      <c r="A17" s="9" t="n">
        <v>45168</v>
      </c>
      <c r="B17" s="0" t="s">
        <v>27</v>
      </c>
    </row>
    <row r="18" customFormat="false" ht="12.8" hidden="false" customHeight="false" outlineLevel="0" collapsed="false">
      <c r="A18" s="9" t="n">
        <v>45176</v>
      </c>
      <c r="B18" s="0" t="s">
        <v>28</v>
      </c>
    </row>
    <row r="19" customFormat="false" ht="12.8" hidden="false" customHeight="false" outlineLevel="0" collapsed="false">
      <c r="A19" s="9" t="n">
        <v>45188</v>
      </c>
      <c r="B19" s="0" t="s">
        <v>29</v>
      </c>
    </row>
    <row r="20" customFormat="false" ht="12.8" hidden="false" customHeight="false" outlineLevel="0" collapsed="false">
      <c r="A20" s="9" t="n">
        <v>45214</v>
      </c>
      <c r="B20" s="0" t="s">
        <v>30</v>
      </c>
    </row>
    <row r="21" customFormat="false" ht="12.8" hidden="false" customHeight="false" outlineLevel="0" collapsed="false">
      <c r="A21" s="9" t="n">
        <v>45215</v>
      </c>
      <c r="B21" s="0" t="s">
        <v>31</v>
      </c>
    </row>
    <row r="22" customFormat="false" ht="12.8" hidden="false" customHeight="false" outlineLevel="0" collapsed="false">
      <c r="A22" s="9" t="n">
        <v>45216</v>
      </c>
      <c r="B22" s="0" t="s">
        <v>32</v>
      </c>
    </row>
    <row r="23" customFormat="false" ht="12.8" hidden="false" customHeight="false" outlineLevel="0" collapsed="false">
      <c r="A23" s="9" t="n">
        <v>45217</v>
      </c>
      <c r="B23" s="0" t="s">
        <v>33</v>
      </c>
    </row>
    <row r="24" customFormat="false" ht="12.8" hidden="false" customHeight="false" outlineLevel="0" collapsed="false">
      <c r="A24" s="9" t="n">
        <v>45218</v>
      </c>
      <c r="B24" s="0" t="s">
        <v>34</v>
      </c>
    </row>
    <row r="25" customFormat="false" ht="12.8" hidden="false" customHeight="false" outlineLevel="0" collapsed="false">
      <c r="A25" s="9" t="n">
        <v>45219</v>
      </c>
      <c r="B25" s="0" t="s">
        <v>35</v>
      </c>
    </row>
    <row r="26" customFormat="false" ht="12.8" hidden="false" customHeight="false" outlineLevel="0" collapsed="false">
      <c r="A26" s="9" t="n">
        <v>45220</v>
      </c>
      <c r="B26" s="0" t="s">
        <v>36</v>
      </c>
    </row>
    <row r="27" customFormat="false" ht="12.8" hidden="false" customHeight="false" outlineLevel="0" collapsed="false">
      <c r="A27" s="9" t="n">
        <v>45221</v>
      </c>
      <c r="B27" s="0" t="s">
        <v>37</v>
      </c>
    </row>
    <row r="28" customFormat="false" ht="12.8" hidden="false" customHeight="false" outlineLevel="0" collapsed="false">
      <c r="A28" s="9" t="n">
        <v>45222</v>
      </c>
      <c r="B28" s="0" t="s">
        <v>38</v>
      </c>
    </row>
    <row r="29" customFormat="false" ht="12.8" hidden="false" customHeight="false" outlineLevel="0" collapsed="false">
      <c r="A29" s="9" t="n">
        <v>45223</v>
      </c>
      <c r="B29" s="0" t="s">
        <v>39</v>
      </c>
    </row>
    <row r="30" customFormat="false" ht="12.8" hidden="false" customHeight="false" outlineLevel="0" collapsed="false">
      <c r="A30" s="9" t="n">
        <v>45227</v>
      </c>
      <c r="B30" s="0" t="s">
        <v>40</v>
      </c>
    </row>
    <row r="31" customFormat="false" ht="12.8" hidden="false" customHeight="false" outlineLevel="0" collapsed="false">
      <c r="A31" s="9" t="n">
        <v>45240</v>
      </c>
      <c r="B31" s="0" t="s">
        <v>41</v>
      </c>
    </row>
    <row r="32" customFormat="false" ht="12.8" hidden="false" customHeight="false" outlineLevel="0" collapsed="false">
      <c r="A32" s="9" t="n">
        <v>45241</v>
      </c>
      <c r="B32" s="0" t="s">
        <v>42</v>
      </c>
    </row>
    <row r="33" customFormat="false" ht="12.8" hidden="false" customHeight="false" outlineLevel="0" collapsed="false">
      <c r="A33" s="9" t="n">
        <v>45242</v>
      </c>
      <c r="B33" s="0" t="s">
        <v>43</v>
      </c>
    </row>
    <row r="34" customFormat="false" ht="12.8" hidden="false" customHeight="false" outlineLevel="0" collapsed="false">
      <c r="A34" s="9" t="n">
        <v>45244</v>
      </c>
      <c r="B34" s="0" t="s">
        <v>44</v>
      </c>
    </row>
    <row r="35" customFormat="false" ht="12.8" hidden="false" customHeight="false" outlineLevel="0" collapsed="false">
      <c r="A35" s="9" t="n">
        <v>45245</v>
      </c>
      <c r="B35" s="0" t="s">
        <v>45</v>
      </c>
    </row>
    <row r="36" customFormat="false" ht="12.8" hidden="false" customHeight="false" outlineLevel="0" collapsed="false">
      <c r="A36" s="9" t="n">
        <v>45285</v>
      </c>
      <c r="B36" s="0" t="s">
        <v>46</v>
      </c>
    </row>
    <row r="37" customFormat="false" ht="12.8" hidden="false" customHeight="false" outlineLevel="0" collapsed="false">
      <c r="A37" s="9" t="n">
        <v>45291</v>
      </c>
      <c r="B37" s="0" t="s">
        <v>47</v>
      </c>
    </row>
    <row r="38" customFormat="false" ht="12.8" hidden="false" customHeight="false" outlineLevel="0" collapsed="false">
      <c r="A38" s="9" t="n">
        <v>45292</v>
      </c>
      <c r="B38" s="0" t="s">
        <v>12</v>
      </c>
    </row>
    <row r="39" customFormat="false" ht="12.8" hidden="false" customHeight="false" outlineLevel="0" collapsed="false">
      <c r="A39" s="9" t="n">
        <v>45305</v>
      </c>
      <c r="B39" s="0" t="s">
        <v>13</v>
      </c>
    </row>
    <row r="40" customFormat="false" ht="12.8" hidden="false" customHeight="false" outlineLevel="0" collapsed="false">
      <c r="A40" s="9" t="n">
        <v>45306</v>
      </c>
      <c r="B40" s="0" t="s">
        <v>14</v>
      </c>
    </row>
    <row r="41" customFormat="false" ht="12.8" hidden="false" customHeight="false" outlineLevel="0" collapsed="false">
      <c r="A41" s="9" t="n">
        <v>45317</v>
      </c>
      <c r="B41" s="0" t="s">
        <v>15</v>
      </c>
    </row>
    <row r="42" customFormat="false" ht="12.8" hidden="false" customHeight="false" outlineLevel="0" collapsed="false">
      <c r="A42" s="9" t="n">
        <v>45359</v>
      </c>
      <c r="B42" s="0" t="s">
        <v>16</v>
      </c>
    </row>
    <row r="43" customFormat="false" ht="12.8" hidden="false" customHeight="false" outlineLevel="0" collapsed="false">
      <c r="A43" s="9" t="n">
        <v>45376</v>
      </c>
      <c r="B43" s="0" t="s">
        <v>17</v>
      </c>
    </row>
    <row r="44" customFormat="false" ht="12.8" hidden="false" customHeight="false" outlineLevel="0" collapsed="false">
      <c r="A44" s="9" t="n">
        <v>45377</v>
      </c>
      <c r="B44" s="0" t="s">
        <v>18</v>
      </c>
    </row>
    <row r="45" customFormat="false" ht="12.8" hidden="false" customHeight="false" outlineLevel="0" collapsed="false">
      <c r="A45" s="9" t="n">
        <v>45393</v>
      </c>
      <c r="B45" s="0" t="s">
        <v>22</v>
      </c>
    </row>
    <row r="46" customFormat="false" ht="12.8" hidden="false" customHeight="false" outlineLevel="0" collapsed="false">
      <c r="A46" s="9" t="n">
        <v>45399</v>
      </c>
      <c r="B46" s="0" t="s">
        <v>19</v>
      </c>
    </row>
    <row r="47" customFormat="false" ht="12.8" hidden="false" customHeight="false" outlineLevel="0" collapsed="false">
      <c r="A47" s="9" t="n">
        <v>45403</v>
      </c>
      <c r="B47" s="0" t="s">
        <v>20</v>
      </c>
    </row>
    <row r="48" customFormat="false" ht="12.8" hidden="false" customHeight="false" outlineLevel="0" collapsed="false">
      <c r="A48" s="9" t="n">
        <v>45380</v>
      </c>
      <c r="B48" s="0" t="s">
        <v>21</v>
      </c>
    </row>
    <row r="49" customFormat="false" ht="12.8" hidden="false" customHeight="false" outlineLevel="0" collapsed="false">
      <c r="A49" s="9" t="n">
        <v>45435</v>
      </c>
      <c r="B49" s="0" t="s">
        <v>23</v>
      </c>
    </row>
    <row r="50" customFormat="false" ht="12.8" hidden="false" customHeight="false" outlineLevel="0" collapsed="false">
      <c r="A50" s="9" t="n">
        <v>45460</v>
      </c>
      <c r="B50" s="0" t="s">
        <v>24</v>
      </c>
    </row>
    <row r="51" customFormat="false" ht="12.8" hidden="false" customHeight="false" outlineLevel="0" collapsed="false">
      <c r="A51" s="9" t="n">
        <v>45490</v>
      </c>
      <c r="B51" s="0" t="s">
        <v>25</v>
      </c>
    </row>
    <row r="52" customFormat="false" ht="12.8" hidden="false" customHeight="false" outlineLevel="0" collapsed="false">
      <c r="A52" s="9" t="n">
        <v>45519</v>
      </c>
      <c r="B52" s="0" t="s">
        <v>26</v>
      </c>
    </row>
    <row r="53" customFormat="false" ht="12.8" hidden="false" customHeight="false" outlineLevel="0" collapsed="false">
      <c r="A53" s="9" t="n">
        <v>45523</v>
      </c>
      <c r="B53" s="0" t="s">
        <v>27</v>
      </c>
    </row>
    <row r="54" customFormat="false" ht="12.8" hidden="false" customHeight="false" outlineLevel="0" collapsed="false">
      <c r="A54" s="9" t="n">
        <v>45530</v>
      </c>
      <c r="B54" s="0" t="s">
        <v>28</v>
      </c>
    </row>
    <row r="55" customFormat="false" ht="12.8" hidden="false" customHeight="false" outlineLevel="0" collapsed="false">
      <c r="A55" s="9" t="n">
        <v>45542</v>
      </c>
      <c r="B55" s="0" t="s">
        <v>29</v>
      </c>
    </row>
    <row r="56" customFormat="false" ht="12.8" hidden="false" customHeight="false" outlineLevel="0" collapsed="false">
      <c r="A56" s="9" t="n">
        <v>45568</v>
      </c>
      <c r="B56" s="0" t="s">
        <v>30</v>
      </c>
    </row>
    <row r="57" customFormat="false" ht="12.8" hidden="false" customHeight="false" outlineLevel="0" collapsed="false">
      <c r="A57" s="9" t="n">
        <v>45577</v>
      </c>
      <c r="B57" s="0" t="s">
        <v>39</v>
      </c>
    </row>
    <row r="58" customFormat="false" ht="12.8" hidden="false" customHeight="false" outlineLevel="0" collapsed="false">
      <c r="A58" s="9" t="n">
        <v>45581</v>
      </c>
      <c r="B58" s="0" t="s">
        <v>40</v>
      </c>
    </row>
    <row r="59" customFormat="false" ht="12.8" hidden="false" customHeight="false" outlineLevel="0" collapsed="false">
      <c r="A59" s="9" t="n">
        <v>45594</v>
      </c>
      <c r="B59" s="0" t="s">
        <v>41</v>
      </c>
    </row>
    <row r="60" customFormat="false" ht="12.8" hidden="false" customHeight="false" outlineLevel="0" collapsed="false">
      <c r="A60" s="9" t="n">
        <v>45596</v>
      </c>
      <c r="B60" s="0" t="s">
        <v>42</v>
      </c>
    </row>
    <row r="61" customFormat="false" ht="12.8" hidden="false" customHeight="false" outlineLevel="0" collapsed="false">
      <c r="A61" s="9" t="n">
        <v>45597</v>
      </c>
      <c r="B61" s="0" t="s">
        <v>43</v>
      </c>
    </row>
    <row r="62" customFormat="false" ht="12.8" hidden="false" customHeight="false" outlineLevel="0" collapsed="false">
      <c r="A62" s="9" t="n">
        <v>45598</v>
      </c>
      <c r="B62" s="0" t="s">
        <v>44</v>
      </c>
    </row>
    <row r="63" customFormat="false" ht="12.8" hidden="false" customHeight="false" outlineLevel="0" collapsed="false">
      <c r="A63" s="9" t="n">
        <v>45599</v>
      </c>
      <c r="B63" s="0" t="s">
        <v>45</v>
      </c>
    </row>
    <row r="64" customFormat="false" ht="12.8" hidden="false" customHeight="false" outlineLevel="0" collapsed="false">
      <c r="A64" s="9" t="n">
        <v>45651</v>
      </c>
      <c r="B64" s="0" t="s">
        <v>46</v>
      </c>
    </row>
    <row r="65" customFormat="false" ht="12.8" hidden="false" customHeight="false" outlineLevel="0" collapsed="false">
      <c r="A65" s="9" t="n">
        <v>45657</v>
      </c>
      <c r="B65" s="0" t="s">
        <v>47</v>
      </c>
    </row>
    <row r="66" customFormat="false" ht="12.8" hidden="false" customHeight="false" outlineLevel="0" collapsed="false">
      <c r="A66" s="9" t="n">
        <v>45658</v>
      </c>
      <c r="B66" s="0" t="s">
        <v>12</v>
      </c>
    </row>
    <row r="67" customFormat="false" ht="12.8" hidden="false" customHeight="false" outlineLevel="0" collapsed="false">
      <c r="A67" s="9" t="n">
        <v>45671</v>
      </c>
      <c r="B67" s="0" t="s">
        <v>13</v>
      </c>
    </row>
    <row r="68" customFormat="false" ht="12.8" hidden="false" customHeight="false" outlineLevel="0" collapsed="false">
      <c r="A68" s="9" t="n">
        <v>45683</v>
      </c>
      <c r="B68" s="0" t="s">
        <v>15</v>
      </c>
    </row>
    <row r="69" customFormat="false" ht="12.8" hidden="false" customHeight="false" outlineLevel="0" collapsed="false">
      <c r="A69" s="9" t="n">
        <v>45730</v>
      </c>
      <c r="B69" s="0" t="s">
        <v>17</v>
      </c>
    </row>
    <row r="70" customFormat="false" ht="12.8" hidden="false" customHeight="false" outlineLevel="0" collapsed="false">
      <c r="A70" s="9" t="n">
        <v>45731</v>
      </c>
      <c r="B70" s="0" t="s">
        <v>18</v>
      </c>
    </row>
    <row r="71" customFormat="false" ht="12.8" hidden="false" customHeight="false" outlineLevel="0" collapsed="false">
      <c r="A71" s="9" t="n">
        <v>45745</v>
      </c>
      <c r="B71" s="0" t="s">
        <v>22</v>
      </c>
    </row>
    <row r="72" customFormat="false" ht="12.8" hidden="false" customHeight="false" outlineLevel="0" collapsed="false">
      <c r="A72" s="9" t="n">
        <v>45753</v>
      </c>
      <c r="B72" s="0" t="s">
        <v>19</v>
      </c>
    </row>
    <row r="73" customFormat="false" ht="12.8" hidden="false" customHeight="false" outlineLevel="0" collapsed="false">
      <c r="A73" s="9" t="n">
        <v>45884</v>
      </c>
      <c r="B73" s="0" t="s">
        <v>26</v>
      </c>
    </row>
    <row r="74" customFormat="false" ht="12.8" hidden="false" customHeight="false" outlineLevel="0" collapsed="false">
      <c r="A74" s="9" t="n">
        <v>45896</v>
      </c>
      <c r="B74" s="0" t="s">
        <v>29</v>
      </c>
    </row>
    <row r="75" customFormat="false" ht="12.8" hidden="false" customHeight="false" outlineLevel="0" collapsed="false">
      <c r="A75" s="9" t="n">
        <v>45950</v>
      </c>
      <c r="B75" s="0" t="s">
        <v>43</v>
      </c>
    </row>
    <row r="76" customFormat="false" ht="12.8" hidden="false" customHeight="false" outlineLevel="0" collapsed="false">
      <c r="A76" s="9" t="n">
        <v>45951</v>
      </c>
      <c r="B76" s="0" t="s">
        <v>44</v>
      </c>
    </row>
    <row r="77" customFormat="false" ht="12.8" hidden="false" customHeight="false" outlineLevel="0" collapsed="false">
      <c r="A77" s="9" t="n">
        <v>46016</v>
      </c>
      <c r="B77" s="0" t="s">
        <v>46</v>
      </c>
    </row>
    <row r="78" customFormat="false" ht="12.8" hidden="false" customHeight="false" outlineLevel="0" collapsed="false">
      <c r="A78" s="9" t="n">
        <v>46022</v>
      </c>
      <c r="B78" s="0" t="s">
        <v>47</v>
      </c>
    </row>
    <row r="79" customFormat="false" ht="12.8" hidden="false" customHeight="false" outlineLevel="0" collapsed="false">
      <c r="A79" s="9" t="n">
        <v>46023</v>
      </c>
      <c r="B79" s="0" t="s">
        <v>12</v>
      </c>
    </row>
    <row r="80" customFormat="false" ht="12.8" hidden="false" customHeight="false" outlineLevel="0" collapsed="false">
      <c r="A80" s="9" t="n">
        <v>46036</v>
      </c>
      <c r="B80" s="0" t="s">
        <v>13</v>
      </c>
    </row>
    <row r="81" customFormat="false" ht="12.8" hidden="false" customHeight="false" outlineLevel="0" collapsed="false">
      <c r="A81" s="9" t="n">
        <v>46048</v>
      </c>
      <c r="B81" s="0" t="s">
        <v>15</v>
      </c>
    </row>
    <row r="82" customFormat="false" ht="12.8" hidden="false" customHeight="false" outlineLevel="0" collapsed="false">
      <c r="A82" s="9" t="n">
        <v>46085</v>
      </c>
      <c r="B82" s="0" t="s">
        <v>17</v>
      </c>
    </row>
    <row r="83" customFormat="false" ht="12.8" hidden="false" customHeight="false" outlineLevel="0" collapsed="false">
      <c r="A83" s="9" t="n">
        <v>46086</v>
      </c>
      <c r="B83" s="0" t="s">
        <v>18</v>
      </c>
    </row>
    <row r="84" customFormat="false" ht="12.8" hidden="false" customHeight="false" outlineLevel="0" collapsed="false">
      <c r="A84" s="9" t="n">
        <v>46101</v>
      </c>
      <c r="B84" s="0" t="s">
        <v>19</v>
      </c>
    </row>
    <row r="85" customFormat="false" ht="12.8" hidden="false" customHeight="false" outlineLevel="0" collapsed="false">
      <c r="A85" s="9" t="n">
        <v>46249</v>
      </c>
      <c r="B85" s="0" t="s">
        <v>26</v>
      </c>
    </row>
    <row r="86" customFormat="false" ht="12.8" hidden="false" customHeight="false" outlineLevel="0" collapsed="false">
      <c r="A86" s="9" t="n">
        <v>46280</v>
      </c>
      <c r="B86" s="0" t="s">
        <v>29</v>
      </c>
    </row>
    <row r="87" customFormat="false" ht="12.8" hidden="false" customHeight="false" outlineLevel="0" collapsed="false">
      <c r="A87" s="9" t="n">
        <v>46334</v>
      </c>
      <c r="B87" s="0" t="s">
        <v>43</v>
      </c>
    </row>
    <row r="88" customFormat="false" ht="12.8" hidden="false" customHeight="false" outlineLevel="0" collapsed="false">
      <c r="A88" s="9" t="n">
        <v>46335</v>
      </c>
      <c r="B88" s="0" t="s">
        <v>44</v>
      </c>
    </row>
    <row r="89" customFormat="false" ht="12.8" hidden="false" customHeight="false" outlineLevel="0" collapsed="false">
      <c r="A89" s="9" t="n">
        <v>46381</v>
      </c>
      <c r="B89" s="0" t="s">
        <v>46</v>
      </c>
    </row>
    <row r="90" customFormat="false" ht="12.8" hidden="false" customHeight="false" outlineLevel="0" collapsed="false">
      <c r="A90" s="9" t="n">
        <v>46387</v>
      </c>
      <c r="B90" s="0" t="s">
        <v>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true" showOutlineSymbols="true" defaultGridColor="true" view="normal" topLeftCell="B427" colorId="64" zoomScale="60" zoomScaleNormal="60" zoomScalePageLayoutView="100" workbookViewId="0">
      <selection pane="topLeft" activeCell="S10" activeCellId="0" sqref="S10"/>
    </sheetView>
  </sheetViews>
  <sheetFormatPr defaultColWidth="12.6953125" defaultRowHeight="12.8" zeroHeight="false" outlineLevelRow="0" outlineLevelCol="0"/>
  <cols>
    <col collapsed="false" customWidth="true" hidden="false" outlineLevel="0" max="1" min="1" style="0" width="45.84"/>
    <col collapsed="false" customWidth="true" hidden="false" outlineLevel="0" max="2" min="2" style="0" width="25.28"/>
    <col collapsed="false" customWidth="true" hidden="false" outlineLevel="0" max="3" min="3" style="0" width="35.39"/>
    <col collapsed="false" customWidth="true" hidden="false" outlineLevel="0" max="5" min="4" style="0" width="23.48"/>
    <col collapsed="false" customWidth="true" hidden="false" outlineLevel="0" max="6" min="6" style="9" width="26.25"/>
    <col collapsed="false" customWidth="true" hidden="false" outlineLevel="0" max="7" min="7" style="0" width="14.1"/>
    <col collapsed="false" customWidth="true" hidden="false" outlineLevel="0" max="8" min="8" style="0" width="20.52"/>
    <col collapsed="false" customWidth="true" hidden="false" outlineLevel="0" max="9" min="9" style="0" width="11.76"/>
    <col collapsed="false" customWidth="true" hidden="false" outlineLevel="0" max="10" min="10" style="0" width="7.48"/>
    <col collapsed="false" customWidth="true" hidden="false" outlineLevel="0" max="11" min="11" style="0" width="9.4"/>
    <col collapsed="false" customWidth="true" hidden="false" outlineLevel="0" max="12" min="12" style="0" width="16.87"/>
    <col collapsed="false" customWidth="true" hidden="false" outlineLevel="0" max="15" min="15" style="0" width="17.47"/>
  </cols>
  <sheetData>
    <row r="1" customFormat="false" ht="13.8" hidden="false" customHeight="false" outlineLevel="0" collapsed="false">
      <c r="A1" s="7" t="s">
        <v>48</v>
      </c>
      <c r="B1" s="7" t="s">
        <v>49</v>
      </c>
      <c r="C1" s="7" t="s">
        <v>50</v>
      </c>
      <c r="D1" s="10" t="s">
        <v>51</v>
      </c>
      <c r="E1" s="10" t="s">
        <v>52</v>
      </c>
      <c r="F1" s="11" t="s">
        <v>53</v>
      </c>
      <c r="G1" s="10" t="s">
        <v>54</v>
      </c>
      <c r="H1" s="10" t="s">
        <v>55</v>
      </c>
      <c r="I1" s="7" t="s">
        <v>56</v>
      </c>
      <c r="J1" s="0" t="s">
        <v>57</v>
      </c>
      <c r="K1" s="0" t="s">
        <v>58</v>
      </c>
      <c r="L1" s="0" t="s">
        <v>59</v>
      </c>
      <c r="M1" s="0" t="s">
        <v>60</v>
      </c>
      <c r="N1" s="0" t="s">
        <v>61</v>
      </c>
      <c r="O1" s="0" t="s">
        <v>62</v>
      </c>
      <c r="P1" s="0" t="s">
        <v>63</v>
      </c>
      <c r="Q1" s="0" t="s">
        <v>64</v>
      </c>
      <c r="R1" s="0" t="s">
        <v>65</v>
      </c>
    </row>
    <row r="2" customFormat="false" ht="13.8" hidden="false" customHeight="false" outlineLevel="0" collapsed="false">
      <c r="A2" s="7" t="s">
        <v>66</v>
      </c>
      <c r="B2" s="7" t="s">
        <v>67</v>
      </c>
      <c r="C2" s="7" t="s">
        <v>68</v>
      </c>
      <c r="D2" s="11" t="n">
        <v>45261</v>
      </c>
      <c r="E2" s="12" t="n">
        <v>0.791666666700625</v>
      </c>
      <c r="F2" s="11" t="n">
        <v>45262</v>
      </c>
      <c r="G2" s="12" t="n">
        <v>0.75</v>
      </c>
      <c r="H2" s="10" t="n">
        <v>45745.4008056713</v>
      </c>
      <c r="I2" s="7" t="n">
        <v>3500</v>
      </c>
      <c r="J2" s="0" t="n">
        <f aca="false">IF(AND(D2&gt;=DATE(YEAR(D2),3,15),D2&lt;=DATE(YEAR(D2),6,10)),1,0)</f>
        <v>0</v>
      </c>
      <c r="K2" s="0" t="e">
        <f aca="false">VLOOKUP(D2,Festival_List!$A$2:$B$100,2,0)</f>
        <v>#N/A</v>
      </c>
      <c r="L2" s="0" t="n">
        <f aca="false">ROUND(((F2+G2)-(D2+E2))*24,0)</f>
        <v>23</v>
      </c>
      <c r="M2" s="0" t="n">
        <f aca="false">IF(OR(WEEKDAY(D2)=1,WEEKDAY(D2)=7),1,0)</f>
        <v>0</v>
      </c>
      <c r="N2" s="0" t="str">
        <f aca="false">IF(AND(MONTH(D2)&gt;=3,MONTH(D2)&lt;=6),"Summer",IF(AND(MONTH(D2)&gt;=7,MONTH(D2)&lt;=9),"Monsoon","Winter"))</f>
        <v>Winter</v>
      </c>
      <c r="O2" s="0" t="str">
        <f aca="false">IF(AND(L2&gt;=22,L2&lt;=25,E2&gt;=TIME(18,0,0)),"24H Night", IF(AND(L2&gt;=22,L2&lt;=25,E2&lt;TIME(18,0,0)),"24H Day", IF(AND(L2&gt;=11,L2&lt;=13,E2&gt;=TIME(18,0,0)),"12H Night", IF(AND(L2&gt;=11,L2&lt;=13,E2&lt;TIME(18,0,0)),"12H Day", IF(AND(L2&lt;10,E2&gt;=TIME(18,0,0)),"Couple Night", "Couple Day")))))</f>
        <v>24H Night</v>
      </c>
      <c r="P2" s="0" t="n">
        <f aca="false">WEEKDAY(D2,2)</f>
        <v>5</v>
      </c>
      <c r="Q2" s="0" t="n">
        <f aca="false">MONTH(D2)</f>
        <v>12</v>
      </c>
      <c r="R2" s="0" t="str">
        <f aca="false">"Q"&amp;ROUNDUP(MONTH(D2)/3,0)</f>
        <v>Q4</v>
      </c>
    </row>
    <row r="3" customFormat="false" ht="13.8" hidden="false" customHeight="false" outlineLevel="0" collapsed="false">
      <c r="A3" s="7" t="s">
        <v>69</v>
      </c>
      <c r="B3" s="7" t="s">
        <v>67</v>
      </c>
      <c r="C3" s="7" t="s">
        <v>70</v>
      </c>
      <c r="D3" s="11" t="n">
        <v>45262</v>
      </c>
      <c r="E3" s="12" t="n">
        <v>0.791666666700625</v>
      </c>
      <c r="F3" s="11" t="n">
        <v>45263</v>
      </c>
      <c r="G3" s="12" t="n">
        <v>0.75</v>
      </c>
      <c r="H3" s="10" t="n">
        <v>45745.4010233796</v>
      </c>
      <c r="I3" s="7" t="n">
        <v>4800</v>
      </c>
      <c r="J3" s="0" t="n">
        <f aca="false">IF(AND(D3&gt;=DATE(YEAR(D3),3,15),D3&lt;=DATE(YEAR(D3),6,10)),1,0)</f>
        <v>0</v>
      </c>
      <c r="K3" s="0" t="e">
        <f aca="false">VLOOKUP(D3,Festival_List!$A$2:$B$100,2,0)</f>
        <v>#N/A</v>
      </c>
      <c r="L3" s="0" t="n">
        <f aca="false">ROUND(((F3+G3)-(D3+E3))*24,0)</f>
        <v>23</v>
      </c>
      <c r="M3" s="0" t="n">
        <f aca="false">IF(OR(WEEKDAY(D3)=1,WEEKDAY(D3)=7),1,0)</f>
        <v>1</v>
      </c>
      <c r="N3" s="0" t="str">
        <f aca="false">IF(AND(MONTH(D3)&gt;=3,MONTH(D3)&lt;=6),"Summer",IF(AND(MONTH(D3)&gt;=7,MONTH(D3)&lt;=9),"Monsoon","Winter"))</f>
        <v>Winter</v>
      </c>
      <c r="O3" s="0" t="str">
        <f aca="false">IF(AND(L3&gt;=22,L3&lt;=25,E3&gt;=TIME(18,0,0)),"24H Night", IF(AND(L3&gt;=22,L3&lt;=25,E3&lt;TIME(18,0,0)),"24H Day", IF(AND(L3&gt;=11,L3&lt;=13,E3&gt;=TIME(18,0,0)),"12H Night", IF(AND(L3&gt;=11,L3&lt;=13,E3&lt;TIME(18,0,0)),"12H Day", IF(AND(L3&lt;10,E3&gt;=TIME(18,0,0)),"Couple Night", "Couple Day")))))</f>
        <v>24H Night</v>
      </c>
      <c r="P3" s="0" t="n">
        <f aca="false">WEEKDAY(D3,2)</f>
        <v>6</v>
      </c>
      <c r="Q3" s="0" t="n">
        <f aca="false">MONTH(D3)</f>
        <v>12</v>
      </c>
      <c r="R3" s="0" t="str">
        <f aca="false">"Q"&amp;ROUNDUP(MONTH(D3)/3,0)</f>
        <v>Q4</v>
      </c>
    </row>
    <row r="4" customFormat="false" ht="13.8" hidden="false" customHeight="false" outlineLevel="0" collapsed="false">
      <c r="A4" s="7" t="s">
        <v>71</v>
      </c>
      <c r="B4" s="7" t="s">
        <v>67</v>
      </c>
      <c r="C4" s="7" t="s">
        <v>72</v>
      </c>
      <c r="D4" s="11" t="n">
        <v>45264</v>
      </c>
      <c r="E4" s="12" t="n">
        <v>0.375</v>
      </c>
      <c r="F4" s="11" t="n">
        <v>45264</v>
      </c>
      <c r="G4" s="12" t="n">
        <v>0.666666666700625</v>
      </c>
      <c r="H4" s="10" t="n">
        <v>45725.4662833333</v>
      </c>
      <c r="I4" s="7" t="n">
        <v>2000</v>
      </c>
      <c r="J4" s="0" t="n">
        <f aca="false">IF(AND(D4&gt;=DATE(YEAR(D4),3,15),D4&lt;=DATE(YEAR(D4),6,10)),1,0)</f>
        <v>0</v>
      </c>
      <c r="K4" s="0" t="e">
        <f aca="false">VLOOKUP(D4,Festival_List!$A$2:$B$100,2,0)</f>
        <v>#N/A</v>
      </c>
      <c r="L4" s="0" t="n">
        <f aca="false">ROUND(((F4+G4)-(D4+E4))*24,0)</f>
        <v>7</v>
      </c>
      <c r="M4" s="0" t="n">
        <f aca="false">IF(OR(WEEKDAY(D4)=1,WEEKDAY(D4)=7),1,0)</f>
        <v>0</v>
      </c>
      <c r="N4" s="0" t="str">
        <f aca="false">IF(AND(MONTH(D4)&gt;=3,MONTH(D4)&lt;=6),"Summer",IF(AND(MONTH(D4)&gt;=7,MONTH(D4)&lt;=9),"Monsoon","Winter"))</f>
        <v>Winter</v>
      </c>
      <c r="O4" s="0" t="str">
        <f aca="false">IF(AND(L4&gt;=22,L4&lt;=25,E4&gt;=TIME(18,0,0)),"24H Night", IF(AND(L4&gt;=22,L4&lt;=25,E4&lt;TIME(18,0,0)),"24H Day", IF(AND(L4&gt;=11,L4&lt;=13,E4&gt;=TIME(18,0,0)),"12H Night", IF(AND(L4&gt;=11,L4&lt;=13,E4&lt;TIME(18,0,0)),"12H Day", IF(AND(L4&lt;10,E4&gt;=TIME(18,0,0)),"Couple Night", "Couple Day")))))</f>
        <v>Couple Day</v>
      </c>
      <c r="P4" s="0" t="n">
        <f aca="false">WEEKDAY(D4,2)</f>
        <v>1</v>
      </c>
      <c r="Q4" s="0" t="n">
        <f aca="false">MONTH(D4)</f>
        <v>12</v>
      </c>
      <c r="R4" s="0" t="str">
        <f aca="false">"Q"&amp;ROUNDUP(MONTH(D4)/3,0)</f>
        <v>Q4</v>
      </c>
    </row>
    <row r="5" customFormat="false" ht="13.8" hidden="false" customHeight="false" outlineLevel="0" collapsed="false">
      <c r="A5" s="7" t="s">
        <v>73</v>
      </c>
      <c r="B5" s="7" t="s">
        <v>67</v>
      </c>
      <c r="C5" s="7" t="s">
        <v>74</v>
      </c>
      <c r="D5" s="11" t="n">
        <v>45269</v>
      </c>
      <c r="E5" s="12" t="n">
        <v>0.791666666700625</v>
      </c>
      <c r="F5" s="11" t="n">
        <v>45270</v>
      </c>
      <c r="G5" s="12" t="n">
        <v>0.75</v>
      </c>
      <c r="H5" s="10" t="n">
        <v>45745.4013135417</v>
      </c>
      <c r="I5" s="7" t="n">
        <v>5000</v>
      </c>
      <c r="J5" s="0" t="n">
        <f aca="false">IF(AND(D5&gt;=DATE(YEAR(D5),3,15),D5&lt;=DATE(YEAR(D5),6,10)),1,0)</f>
        <v>0</v>
      </c>
      <c r="K5" s="0" t="e">
        <f aca="false">VLOOKUP(D5,Festival_List!$A$2:$B$100,2,0)</f>
        <v>#N/A</v>
      </c>
      <c r="L5" s="0" t="n">
        <f aca="false">ROUND(((F5+G5)-(D5+E5))*24,0)</f>
        <v>23</v>
      </c>
      <c r="M5" s="0" t="n">
        <f aca="false">IF(OR(WEEKDAY(D5)=1,WEEKDAY(D5)=7),1,0)</f>
        <v>1</v>
      </c>
      <c r="N5" s="0" t="str">
        <f aca="false">IF(AND(MONTH(D5)&gt;=3,MONTH(D5)&lt;=6),"Summer",IF(AND(MONTH(D5)&gt;=7,MONTH(D5)&lt;=9),"Monsoon","Winter"))</f>
        <v>Winter</v>
      </c>
      <c r="O5" s="0" t="str">
        <f aca="false">IF(AND(L5&gt;=22,L5&lt;=25,E5&gt;=TIME(18,0,0)),"24H Night", IF(AND(L5&gt;=22,L5&lt;=25,E5&lt;TIME(18,0,0)),"24H Day", IF(AND(L5&gt;=11,L5&lt;=13,E5&gt;=TIME(18,0,0)),"12H Night", IF(AND(L5&gt;=11,L5&lt;=13,E5&lt;TIME(18,0,0)),"12H Day", IF(AND(L5&lt;10,E5&gt;=TIME(18,0,0)),"Couple Night", "Couple Day")))))</f>
        <v>24H Night</v>
      </c>
      <c r="P5" s="0" t="n">
        <f aca="false">WEEKDAY(D5,2)</f>
        <v>6</v>
      </c>
      <c r="Q5" s="0" t="n">
        <f aca="false">MONTH(D5)</f>
        <v>12</v>
      </c>
      <c r="R5" s="0" t="str">
        <f aca="false">"Q"&amp;ROUNDUP(MONTH(D5)/3,0)</f>
        <v>Q4</v>
      </c>
    </row>
    <row r="6" customFormat="false" ht="13.8" hidden="false" customHeight="false" outlineLevel="0" collapsed="false">
      <c r="A6" s="7" t="s">
        <v>75</v>
      </c>
      <c r="B6" s="7" t="s">
        <v>67</v>
      </c>
      <c r="C6" s="7" t="s">
        <v>76</v>
      </c>
      <c r="D6" s="11" t="n">
        <v>45272</v>
      </c>
      <c r="E6" s="12" t="n">
        <v>0.25</v>
      </c>
      <c r="F6" s="11" t="n">
        <v>45272</v>
      </c>
      <c r="G6" s="12" t="n">
        <v>0.75</v>
      </c>
      <c r="H6" s="10" t="n">
        <v>45725.4664607639</v>
      </c>
      <c r="I6" s="7" t="n">
        <v>2800</v>
      </c>
      <c r="J6" s="0" t="n">
        <f aca="false">IF(AND(D6&gt;=DATE(YEAR(D6),3,15),D6&lt;=DATE(YEAR(D6),6,10)),1,0)</f>
        <v>0</v>
      </c>
      <c r="K6" s="0" t="e">
        <f aca="false">VLOOKUP(D6,Festival_List!$A$2:$B$100,2,0)</f>
        <v>#N/A</v>
      </c>
      <c r="L6" s="0" t="n">
        <f aca="false">ROUND(((F6+G6)-(D6+E6))*24,0)</f>
        <v>12</v>
      </c>
      <c r="M6" s="0" t="n">
        <f aca="false">IF(OR(WEEKDAY(D6)=1,WEEKDAY(D6)=7),1,0)</f>
        <v>0</v>
      </c>
      <c r="N6" s="0" t="str">
        <f aca="false">IF(AND(MONTH(D6)&gt;=3,MONTH(D6)&lt;=6),"Summer",IF(AND(MONTH(D6)&gt;=7,MONTH(D6)&lt;=9),"Monsoon","Winter"))</f>
        <v>Winter</v>
      </c>
      <c r="O6" s="0" t="str">
        <f aca="false">IF(AND(L6&gt;=22,L6&lt;=25,E6&gt;=TIME(18,0,0)),"24H Night", IF(AND(L6&gt;=22,L6&lt;=25,E6&lt;TIME(18,0,0)),"24H Day", IF(AND(L6&gt;=11,L6&lt;=13,E6&gt;=TIME(18,0,0)),"12H Night", IF(AND(L6&gt;=11,L6&lt;=13,E6&lt;TIME(18,0,0)),"12H Day", IF(AND(L6&lt;10,E6&gt;=TIME(18,0,0)),"Couple Night", "Couple Day")))))</f>
        <v>12H Day</v>
      </c>
      <c r="P6" s="0" t="n">
        <f aca="false">WEEKDAY(D6,2)</f>
        <v>2</v>
      </c>
      <c r="Q6" s="0" t="n">
        <f aca="false">MONTH(D6)</f>
        <v>12</v>
      </c>
      <c r="R6" s="0" t="str">
        <f aca="false">"Q"&amp;ROUNDUP(MONTH(D6)/3,0)</f>
        <v>Q4</v>
      </c>
    </row>
    <row r="7" customFormat="false" ht="13.8" hidden="false" customHeight="false" outlineLevel="0" collapsed="false">
      <c r="A7" s="7" t="s">
        <v>77</v>
      </c>
      <c r="B7" s="7" t="s">
        <v>67</v>
      </c>
      <c r="C7" s="7" t="s">
        <v>72</v>
      </c>
      <c r="D7" s="11" t="n">
        <v>45274</v>
      </c>
      <c r="E7" s="12" t="n">
        <v>0.375</v>
      </c>
      <c r="F7" s="11" t="n">
        <v>45274</v>
      </c>
      <c r="G7" s="12" t="n">
        <v>0.708333333299375</v>
      </c>
      <c r="H7" s="10" t="n">
        <v>45725.4665322917</v>
      </c>
      <c r="I7" s="7" t="n">
        <v>2000</v>
      </c>
      <c r="J7" s="0" t="n">
        <f aca="false">IF(AND(D7&gt;=DATE(YEAR(D7),3,15),D7&lt;=DATE(YEAR(D7),6,10)),1,0)</f>
        <v>0</v>
      </c>
      <c r="K7" s="0" t="e">
        <f aca="false">VLOOKUP(D7,Festival_List!$A$2:$B$100,2,0)</f>
        <v>#N/A</v>
      </c>
      <c r="L7" s="0" t="n">
        <f aca="false">ROUND(((F7+G7)-(D7+E7))*24,0)</f>
        <v>8</v>
      </c>
      <c r="M7" s="0" t="n">
        <f aca="false">IF(OR(WEEKDAY(D7)=1,WEEKDAY(D7)=7),1,0)</f>
        <v>0</v>
      </c>
      <c r="N7" s="0" t="str">
        <f aca="false">IF(AND(MONTH(D7)&gt;=3,MONTH(D7)&lt;=6),"Summer",IF(AND(MONTH(D7)&gt;=7,MONTH(D7)&lt;=9),"Monsoon","Winter"))</f>
        <v>Winter</v>
      </c>
      <c r="O7" s="0" t="str">
        <f aca="false">IF(AND(L7&gt;=22,L7&lt;=25,E7&gt;=TIME(18,0,0)),"24H Night", IF(AND(L7&gt;=22,L7&lt;=25,E7&lt;TIME(18,0,0)),"24H Day", IF(AND(L7&gt;=11,L7&lt;=13,E7&gt;=TIME(18,0,0)),"12H Night", IF(AND(L7&gt;=11,L7&lt;=13,E7&lt;TIME(18,0,0)),"12H Day", IF(AND(L7&lt;10,E7&gt;=TIME(18,0,0)),"Couple Night", "Couple Day")))))</f>
        <v>Couple Day</v>
      </c>
      <c r="P7" s="0" t="n">
        <f aca="false">WEEKDAY(D7,2)</f>
        <v>4</v>
      </c>
      <c r="Q7" s="0" t="n">
        <f aca="false">MONTH(D7)</f>
        <v>12</v>
      </c>
      <c r="R7" s="0" t="str">
        <f aca="false">"Q"&amp;ROUNDUP(MONTH(D7)/3,0)</f>
        <v>Q4</v>
      </c>
    </row>
    <row r="8" customFormat="false" ht="13.8" hidden="false" customHeight="false" outlineLevel="0" collapsed="false">
      <c r="A8" s="7" t="s">
        <v>78</v>
      </c>
      <c r="B8" s="7" t="s">
        <v>67</v>
      </c>
      <c r="C8" s="7" t="s">
        <v>79</v>
      </c>
      <c r="D8" s="11" t="n">
        <v>45275</v>
      </c>
      <c r="E8" s="12" t="n">
        <v>0.375</v>
      </c>
      <c r="F8" s="11" t="n">
        <v>45275</v>
      </c>
      <c r="G8" s="12" t="n">
        <v>0.708333333299375</v>
      </c>
      <c r="H8" s="10" t="n">
        <v>45725.4669329861</v>
      </c>
      <c r="I8" s="7" t="n">
        <v>1200</v>
      </c>
      <c r="J8" s="0" t="n">
        <f aca="false">IF(AND(D8&gt;=DATE(YEAR(D8),3,15),D8&lt;=DATE(YEAR(D8),6,10)),1,0)</f>
        <v>0</v>
      </c>
      <c r="K8" s="0" t="e">
        <f aca="false">VLOOKUP(D8,Festival_List!$A$2:$B$100,2,0)</f>
        <v>#N/A</v>
      </c>
      <c r="L8" s="0" t="n">
        <f aca="false">ROUND(((F8+G8)-(D8+E8))*24,0)</f>
        <v>8</v>
      </c>
      <c r="M8" s="0" t="n">
        <f aca="false">IF(OR(WEEKDAY(D8)=1,WEEKDAY(D8)=7),1,0)</f>
        <v>0</v>
      </c>
      <c r="N8" s="0" t="str">
        <f aca="false">IF(AND(MONTH(D8)&gt;=3,MONTH(D8)&lt;=6),"Summer",IF(AND(MONTH(D8)&gt;=7,MONTH(D8)&lt;=9),"Monsoon","Winter"))</f>
        <v>Winter</v>
      </c>
      <c r="O8" s="0" t="str">
        <f aca="false">IF(AND(L8&gt;=22,L8&lt;=25,E8&gt;=TIME(18,0,0)),"24H Night", IF(AND(L8&gt;=22,L8&lt;=25,E8&lt;TIME(18,0,0)),"24H Day", IF(AND(L8&gt;=11,L8&lt;=13,E8&gt;=TIME(18,0,0)),"12H Night", IF(AND(L8&gt;=11,L8&lt;=13,E8&lt;TIME(18,0,0)),"12H Day", IF(AND(L8&lt;10,E8&gt;=TIME(18,0,0)),"Couple Night", "Couple Day")))))</f>
        <v>Couple Day</v>
      </c>
      <c r="P8" s="0" t="n">
        <f aca="false">WEEKDAY(D8,2)</f>
        <v>5</v>
      </c>
      <c r="Q8" s="0" t="n">
        <f aca="false">MONTH(D8)</f>
        <v>12</v>
      </c>
      <c r="R8" s="0" t="str">
        <f aca="false">"Q"&amp;ROUNDUP(MONTH(D8)/3,0)</f>
        <v>Q4</v>
      </c>
    </row>
    <row r="9" customFormat="false" ht="13.8" hidden="false" customHeight="false" outlineLevel="0" collapsed="false">
      <c r="A9" s="7" t="s">
        <v>80</v>
      </c>
      <c r="B9" s="7" t="s">
        <v>67</v>
      </c>
      <c r="C9" s="7" t="s">
        <v>72</v>
      </c>
      <c r="D9" s="11" t="n">
        <v>45278</v>
      </c>
      <c r="E9" s="12" t="n">
        <v>0.333333333299375</v>
      </c>
      <c r="F9" s="11" t="n">
        <v>45278</v>
      </c>
      <c r="G9" s="12" t="n">
        <v>0.666666666700625</v>
      </c>
      <c r="H9" s="10" t="n">
        <v>45725.4670076389</v>
      </c>
      <c r="I9" s="7" t="n">
        <v>2000</v>
      </c>
      <c r="J9" s="0" t="n">
        <f aca="false">IF(AND(D9&gt;=DATE(YEAR(D9),3,15),D9&lt;=DATE(YEAR(D9),6,10)),1,0)</f>
        <v>0</v>
      </c>
      <c r="K9" s="0" t="e">
        <f aca="false">VLOOKUP(D9,Festival_List!$A$2:$B$100,2,0)</f>
        <v>#N/A</v>
      </c>
      <c r="L9" s="0" t="n">
        <f aca="false">ROUND(((F9+G9)-(D9+E9))*24,0)</f>
        <v>8</v>
      </c>
      <c r="M9" s="0" t="n">
        <f aca="false">IF(OR(WEEKDAY(D9)=1,WEEKDAY(D9)=7),1,0)</f>
        <v>0</v>
      </c>
      <c r="N9" s="0" t="str">
        <f aca="false">IF(AND(MONTH(D9)&gt;=3,MONTH(D9)&lt;=6),"Summer",IF(AND(MONTH(D9)&gt;=7,MONTH(D9)&lt;=9),"Monsoon","Winter"))</f>
        <v>Winter</v>
      </c>
      <c r="O9" s="0" t="str">
        <f aca="false">IF(AND(L9&gt;=22,L9&lt;=25,E9&gt;=TIME(18,0,0)),"24H Night", IF(AND(L9&gt;=22,L9&lt;=25,E9&lt;TIME(18,0,0)),"24H Day", IF(AND(L9&gt;=11,L9&lt;=13,E9&gt;=TIME(18,0,0)),"12H Night", IF(AND(L9&gt;=11,L9&lt;=13,E9&lt;TIME(18,0,0)),"12H Day", IF(AND(L9&lt;10,E9&gt;=TIME(18,0,0)),"Couple Night", "Couple Day")))))</f>
        <v>Couple Day</v>
      </c>
      <c r="P9" s="0" t="n">
        <f aca="false">WEEKDAY(D9,2)</f>
        <v>1</v>
      </c>
      <c r="Q9" s="0" t="n">
        <f aca="false">MONTH(D9)</f>
        <v>12</v>
      </c>
      <c r="R9" s="0" t="str">
        <f aca="false">"Q"&amp;ROUNDUP(MONTH(D9)/3,0)</f>
        <v>Q4</v>
      </c>
    </row>
    <row r="10" customFormat="false" ht="13.8" hidden="false" customHeight="false" outlineLevel="0" collapsed="false">
      <c r="A10" s="7" t="s">
        <v>81</v>
      </c>
      <c r="B10" s="7" t="s">
        <v>82</v>
      </c>
      <c r="C10" s="7" t="s">
        <v>83</v>
      </c>
      <c r="D10" s="11" t="n">
        <v>45278</v>
      </c>
      <c r="E10" s="12" t="n">
        <v>0.791666666700625</v>
      </c>
      <c r="F10" s="11" t="n">
        <v>45279</v>
      </c>
      <c r="G10" s="12" t="n">
        <v>0.25</v>
      </c>
      <c r="H10" s="10" t="n">
        <v>45745.4039118056</v>
      </c>
      <c r="I10" s="7" t="n">
        <v>2500</v>
      </c>
      <c r="J10" s="0" t="n">
        <f aca="false">IF(AND(D10&gt;=DATE(YEAR(D10),3,15),D10&lt;=DATE(YEAR(D10),6,10)),1,0)</f>
        <v>0</v>
      </c>
      <c r="K10" s="0" t="e">
        <f aca="false">VLOOKUP(D10,Festival_List!$A$2:$B$100,2,0)</f>
        <v>#N/A</v>
      </c>
      <c r="L10" s="0" t="n">
        <f aca="false">ROUND(((F10+G10)-(D10+E10))*24,0)</f>
        <v>11</v>
      </c>
      <c r="M10" s="0" t="n">
        <f aca="false">IF(OR(WEEKDAY(D10)=1,WEEKDAY(D10)=7),1,0)</f>
        <v>0</v>
      </c>
      <c r="N10" s="0" t="str">
        <f aca="false">IF(AND(MONTH(D10)&gt;=3,MONTH(D10)&lt;=6),"Summer",IF(AND(MONTH(D10)&gt;=7,MONTH(D10)&lt;=9),"Monsoon","Winter"))</f>
        <v>Winter</v>
      </c>
      <c r="O10" s="0" t="str">
        <f aca="false">IF(AND(L10&gt;=22,L10&lt;=25,E10&gt;=TIME(18,0,0)),"24H Night", IF(AND(L10&gt;=22,L10&lt;=25,E10&lt;TIME(18,0,0)),"24H Day", IF(AND(L10&gt;=11,L10&lt;=13,E10&gt;=TIME(18,0,0)),"12H Night", IF(AND(L10&gt;=11,L10&lt;=13,E10&lt;TIME(18,0,0)),"12H Day", IF(AND(L10&lt;10,E10&gt;=TIME(18,0,0)),"Couple Night", "Couple Day")))))</f>
        <v>12H Night</v>
      </c>
      <c r="P10" s="0" t="n">
        <f aca="false">WEEKDAY(D10,2)</f>
        <v>1</v>
      </c>
      <c r="Q10" s="0" t="n">
        <f aca="false">MONTH(D10)</f>
        <v>12</v>
      </c>
      <c r="R10" s="0" t="str">
        <f aca="false">"Q"&amp;ROUNDUP(MONTH(D10)/3,0)</f>
        <v>Q4</v>
      </c>
    </row>
    <row r="11" customFormat="false" ht="13.8" hidden="false" customHeight="false" outlineLevel="0" collapsed="false">
      <c r="A11" s="7" t="s">
        <v>84</v>
      </c>
      <c r="B11" s="7" t="s">
        <v>67</v>
      </c>
      <c r="C11" s="7" t="s">
        <v>85</v>
      </c>
      <c r="D11" s="11" t="n">
        <v>45280</v>
      </c>
      <c r="E11" s="12" t="n">
        <v>0.458333333299375</v>
      </c>
      <c r="F11" s="11" t="n">
        <v>45280</v>
      </c>
      <c r="G11" s="12" t="n">
        <v>0.875</v>
      </c>
      <c r="H11" s="10" t="n">
        <v>45725.4674039352</v>
      </c>
      <c r="I11" s="7" t="n">
        <v>2700</v>
      </c>
      <c r="J11" s="0" t="n">
        <f aca="false">IF(AND(D11&gt;=DATE(YEAR(D11),3,15),D11&lt;=DATE(YEAR(D11),6,10)),1,0)</f>
        <v>0</v>
      </c>
      <c r="K11" s="0" t="e">
        <f aca="false">VLOOKUP(D11,Festival_List!$A$2:$B$100,2,0)</f>
        <v>#N/A</v>
      </c>
      <c r="L11" s="0" t="n">
        <f aca="false">ROUND(((F11+G11)-(D11+E11))*24,0)</f>
        <v>10</v>
      </c>
      <c r="M11" s="0" t="n">
        <f aca="false">IF(OR(WEEKDAY(D11)=1,WEEKDAY(D11)=7),1,0)</f>
        <v>0</v>
      </c>
      <c r="N11" s="0" t="str">
        <f aca="false">IF(AND(MONTH(D11)&gt;=3,MONTH(D11)&lt;=6),"Summer",IF(AND(MONTH(D11)&gt;=7,MONTH(D11)&lt;=9),"Monsoon","Winter"))</f>
        <v>Winter</v>
      </c>
      <c r="O11" s="0" t="str">
        <f aca="false">IF(AND(L11&gt;=22,L11&lt;=25,E11&gt;=TIME(18,0,0)),"24H Night", IF(AND(L11&gt;=22,L11&lt;=25,E11&lt;TIME(18,0,0)),"24H Day", IF(AND(L11&gt;=11,L11&lt;=13,E11&gt;=TIME(18,0,0)),"12H Night", IF(AND(L11&gt;=11,L11&lt;=13,E11&lt;TIME(18,0,0)),"12H Day", IF(AND(L11&lt;10,E11&gt;=TIME(18,0,0)),"Couple Night", "Couple Day")))))</f>
        <v>Couple Day</v>
      </c>
      <c r="P11" s="0" t="n">
        <f aca="false">WEEKDAY(D11,2)</f>
        <v>3</v>
      </c>
      <c r="Q11" s="0" t="n">
        <f aca="false">MONTH(D11)</f>
        <v>12</v>
      </c>
      <c r="R11" s="0" t="str">
        <f aca="false">"Q"&amp;ROUNDUP(MONTH(D11)/3,0)</f>
        <v>Q4</v>
      </c>
    </row>
    <row r="12" customFormat="false" ht="13.8" hidden="false" customHeight="false" outlineLevel="0" collapsed="false">
      <c r="A12" s="7" t="s">
        <v>86</v>
      </c>
      <c r="B12" s="7" t="s">
        <v>67</v>
      </c>
      <c r="C12" s="7" t="s">
        <v>87</v>
      </c>
      <c r="D12" s="11" t="n">
        <v>45281</v>
      </c>
      <c r="E12" s="12" t="n">
        <v>0.416666666700625</v>
      </c>
      <c r="F12" s="11" t="n">
        <v>45281</v>
      </c>
      <c r="G12" s="12" t="n">
        <v>0.916666666700625</v>
      </c>
      <c r="H12" s="10" t="n">
        <v>45725.4674614583</v>
      </c>
      <c r="I12" s="7" t="n">
        <v>3300</v>
      </c>
      <c r="J12" s="0" t="n">
        <f aca="false">IF(AND(D12&gt;=DATE(YEAR(D12),3,15),D12&lt;=DATE(YEAR(D12),6,10)),1,0)</f>
        <v>0</v>
      </c>
      <c r="K12" s="0" t="e">
        <f aca="false">VLOOKUP(D12,Festival_List!$A$2:$B$100,2,0)</f>
        <v>#N/A</v>
      </c>
      <c r="L12" s="0" t="n">
        <f aca="false">ROUND(((F12+G12)-(D12+E12))*24,0)</f>
        <v>12</v>
      </c>
      <c r="M12" s="0" t="n">
        <f aca="false">IF(OR(WEEKDAY(D12)=1,WEEKDAY(D12)=7),1,0)</f>
        <v>0</v>
      </c>
      <c r="N12" s="0" t="str">
        <f aca="false">IF(AND(MONTH(D12)&gt;=3,MONTH(D12)&lt;=6),"Summer",IF(AND(MONTH(D12)&gt;=7,MONTH(D12)&lt;=9),"Monsoon","Winter"))</f>
        <v>Winter</v>
      </c>
      <c r="O12" s="0" t="str">
        <f aca="false">IF(AND(L12&gt;=22,L12&lt;=25,E12&gt;=TIME(18,0,0)),"24H Night", IF(AND(L12&gt;=22,L12&lt;=25,E12&lt;TIME(18,0,0)),"24H Day", IF(AND(L12&gt;=11,L12&lt;=13,E12&gt;=TIME(18,0,0)),"12H Night", IF(AND(L12&gt;=11,L12&lt;=13,E12&lt;TIME(18,0,0)),"12H Day", IF(AND(L12&lt;10,E12&gt;=TIME(18,0,0)),"Couple Night", "Couple Day")))))</f>
        <v>12H Day</v>
      </c>
      <c r="P12" s="0" t="n">
        <f aca="false">WEEKDAY(D12,2)</f>
        <v>4</v>
      </c>
      <c r="Q12" s="0" t="n">
        <f aca="false">MONTH(D12)</f>
        <v>12</v>
      </c>
      <c r="R12" s="0" t="str">
        <f aca="false">"Q"&amp;ROUNDUP(MONTH(D12)/3,0)</f>
        <v>Q4</v>
      </c>
    </row>
    <row r="13" customFormat="false" ht="13.8" hidden="false" customHeight="false" outlineLevel="0" collapsed="false">
      <c r="A13" s="7" t="s">
        <v>88</v>
      </c>
      <c r="B13" s="7" t="s">
        <v>82</v>
      </c>
      <c r="C13" s="7" t="s">
        <v>72</v>
      </c>
      <c r="D13" s="11" t="n">
        <v>45282</v>
      </c>
      <c r="E13" s="12" t="n">
        <v>0.375</v>
      </c>
      <c r="F13" s="11" t="n">
        <v>45282</v>
      </c>
      <c r="G13" s="12" t="n">
        <v>0.75</v>
      </c>
      <c r="H13" s="10" t="n">
        <v>45725.4675358796</v>
      </c>
      <c r="I13" s="7" t="n">
        <v>2000</v>
      </c>
      <c r="J13" s="0" t="n">
        <f aca="false">IF(AND(D13&gt;=DATE(YEAR(D13),3,15),D13&lt;=DATE(YEAR(D13),6,10)),1,0)</f>
        <v>0</v>
      </c>
      <c r="K13" s="0" t="e">
        <f aca="false">VLOOKUP(D13,Festival_List!$A$2:$B$100,2,0)</f>
        <v>#N/A</v>
      </c>
      <c r="L13" s="0" t="n">
        <f aca="false">ROUND(((F13+G13)-(D13+E13))*24,0)</f>
        <v>9</v>
      </c>
      <c r="M13" s="0" t="n">
        <f aca="false">IF(OR(WEEKDAY(D13)=1,WEEKDAY(D13)=7),1,0)</f>
        <v>0</v>
      </c>
      <c r="N13" s="0" t="str">
        <f aca="false">IF(AND(MONTH(D13)&gt;=3,MONTH(D13)&lt;=6),"Summer",IF(AND(MONTH(D13)&gt;=7,MONTH(D13)&lt;=9),"Monsoon","Winter"))</f>
        <v>Winter</v>
      </c>
      <c r="O13" s="0" t="str">
        <f aca="false">IF(AND(L13&gt;=22,L13&lt;=25,E13&gt;=TIME(18,0,0)),"24H Night", IF(AND(L13&gt;=22,L13&lt;=25,E13&lt;TIME(18,0,0)),"24H Day", IF(AND(L13&gt;=11,L13&lt;=13,E13&gt;=TIME(18,0,0)),"12H Night", IF(AND(L13&gt;=11,L13&lt;=13,E13&lt;TIME(18,0,0)),"12H Day", IF(AND(L13&lt;10,E13&gt;=TIME(18,0,0)),"Couple Night", "Couple Day")))))</f>
        <v>Couple Day</v>
      </c>
      <c r="P13" s="0" t="n">
        <f aca="false">WEEKDAY(D13,2)</f>
        <v>5</v>
      </c>
      <c r="Q13" s="0" t="n">
        <f aca="false">MONTH(D13)</f>
        <v>12</v>
      </c>
      <c r="R13" s="0" t="str">
        <f aca="false">"Q"&amp;ROUNDUP(MONTH(D13)/3,0)</f>
        <v>Q4</v>
      </c>
    </row>
    <row r="14" customFormat="false" ht="13.8" hidden="false" customHeight="false" outlineLevel="0" collapsed="false">
      <c r="A14" s="7" t="s">
        <v>89</v>
      </c>
      <c r="B14" s="7" t="s">
        <v>67</v>
      </c>
      <c r="C14" s="7" t="s">
        <v>76</v>
      </c>
      <c r="D14" s="11" t="n">
        <v>45283</v>
      </c>
      <c r="E14" s="12" t="n">
        <v>0.291666666700625</v>
      </c>
      <c r="F14" s="11" t="n">
        <v>45283</v>
      </c>
      <c r="G14" s="12" t="n">
        <v>0.75</v>
      </c>
      <c r="H14" s="10" t="n">
        <v>45725.4676003472</v>
      </c>
      <c r="I14" s="7" t="n">
        <v>2800</v>
      </c>
      <c r="J14" s="0" t="n">
        <f aca="false">IF(AND(D14&gt;=DATE(YEAR(D14),3,15),D14&lt;=DATE(YEAR(D14),6,10)),1,0)</f>
        <v>0</v>
      </c>
      <c r="K14" s="0" t="e">
        <f aca="false">VLOOKUP(D14,Festival_List!$A$2:$B$100,2,0)</f>
        <v>#N/A</v>
      </c>
      <c r="L14" s="0" t="n">
        <f aca="false">ROUND(((F14+G14)-(D14+E14))*24,0)</f>
        <v>11</v>
      </c>
      <c r="M14" s="0" t="n">
        <f aca="false">IF(OR(WEEKDAY(D14)=1,WEEKDAY(D14)=7),1,0)</f>
        <v>1</v>
      </c>
      <c r="N14" s="0" t="str">
        <f aca="false">IF(AND(MONTH(D14)&gt;=3,MONTH(D14)&lt;=6),"Summer",IF(AND(MONTH(D14)&gt;=7,MONTH(D14)&lt;=9),"Monsoon","Winter"))</f>
        <v>Winter</v>
      </c>
      <c r="O14" s="0" t="str">
        <f aca="false">IF(AND(L14&gt;=22,L14&lt;=25,E14&gt;=TIME(18,0,0)),"24H Night", IF(AND(L14&gt;=22,L14&lt;=25,E14&lt;TIME(18,0,0)),"24H Day", IF(AND(L14&gt;=11,L14&lt;=13,E14&gt;=TIME(18,0,0)),"12H Night", IF(AND(L14&gt;=11,L14&lt;=13,E14&lt;TIME(18,0,0)),"12H Day", IF(AND(L14&lt;10,E14&gt;=TIME(18,0,0)),"Couple Night", "Couple Day")))))</f>
        <v>12H Day</v>
      </c>
      <c r="P14" s="0" t="n">
        <f aca="false">WEEKDAY(D14,2)</f>
        <v>6</v>
      </c>
      <c r="Q14" s="0" t="n">
        <f aca="false">MONTH(D14)</f>
        <v>12</v>
      </c>
      <c r="R14" s="0" t="str">
        <f aca="false">"Q"&amp;ROUNDUP(MONTH(D14)/3,0)</f>
        <v>Q4</v>
      </c>
    </row>
    <row r="15" customFormat="false" ht="13.8" hidden="false" customHeight="false" outlineLevel="0" collapsed="false">
      <c r="A15" s="7" t="s">
        <v>90</v>
      </c>
      <c r="B15" s="7" t="s">
        <v>82</v>
      </c>
      <c r="C15" s="7" t="s">
        <v>91</v>
      </c>
      <c r="D15" s="11" t="n">
        <v>45283</v>
      </c>
      <c r="E15" s="12" t="n">
        <v>0.791666666700625</v>
      </c>
      <c r="F15" s="11" t="n">
        <v>45284</v>
      </c>
      <c r="G15" s="12" t="n">
        <v>0.75</v>
      </c>
      <c r="H15" s="10" t="n">
        <v>45745.4014261574</v>
      </c>
      <c r="I15" s="7" t="n">
        <v>4500</v>
      </c>
      <c r="J15" s="0" t="n">
        <f aca="false">IF(AND(D15&gt;=DATE(YEAR(D15),3,15),D15&lt;=DATE(YEAR(D15),6,10)),1,0)</f>
        <v>0</v>
      </c>
      <c r="K15" s="0" t="e">
        <f aca="false">VLOOKUP(D15,Festival_List!$A$2:$B$100,2,0)</f>
        <v>#N/A</v>
      </c>
      <c r="L15" s="0" t="n">
        <f aca="false">ROUND(((F15+G15)-(D15+E15))*24,0)</f>
        <v>23</v>
      </c>
      <c r="M15" s="0" t="n">
        <f aca="false">IF(OR(WEEKDAY(D15)=1,WEEKDAY(D15)=7),1,0)</f>
        <v>1</v>
      </c>
      <c r="N15" s="0" t="str">
        <f aca="false">IF(AND(MONTH(D15)&gt;=3,MONTH(D15)&lt;=6),"Summer",IF(AND(MONTH(D15)&gt;=7,MONTH(D15)&lt;=9),"Monsoon","Winter"))</f>
        <v>Winter</v>
      </c>
      <c r="O15" s="0" t="str">
        <f aca="false">IF(AND(L15&gt;=22,L15&lt;=25,E15&gt;=TIME(18,0,0)),"24H Night", IF(AND(L15&gt;=22,L15&lt;=25,E15&lt;TIME(18,0,0)),"24H Day", IF(AND(L15&gt;=11,L15&lt;=13,E15&gt;=TIME(18,0,0)),"12H Night", IF(AND(L15&gt;=11,L15&lt;=13,E15&lt;TIME(18,0,0)),"12H Day", IF(AND(L15&lt;10,E15&gt;=TIME(18,0,0)),"Couple Night", "Couple Day")))))</f>
        <v>24H Night</v>
      </c>
      <c r="P15" s="0" t="n">
        <f aca="false">WEEKDAY(D15,2)</f>
        <v>6</v>
      </c>
      <c r="Q15" s="0" t="n">
        <f aca="false">MONTH(D15)</f>
        <v>12</v>
      </c>
      <c r="R15" s="0" t="str">
        <f aca="false">"Q"&amp;ROUNDUP(MONTH(D15)/3,0)</f>
        <v>Q4</v>
      </c>
    </row>
    <row r="16" customFormat="false" ht="13.8" hidden="false" customHeight="false" outlineLevel="0" collapsed="false">
      <c r="A16" s="7" t="s">
        <v>92</v>
      </c>
      <c r="B16" s="7" t="s">
        <v>93</v>
      </c>
      <c r="C16" s="7" t="s">
        <v>94</v>
      </c>
      <c r="D16" s="11" t="n">
        <v>45287</v>
      </c>
      <c r="E16" s="12" t="n">
        <v>0.25</v>
      </c>
      <c r="F16" s="11" t="n">
        <v>45287</v>
      </c>
      <c r="G16" s="12" t="n">
        <v>0.75</v>
      </c>
      <c r="H16" s="10" t="n">
        <v>45725.4677399306</v>
      </c>
      <c r="I16" s="7" t="n">
        <v>2500</v>
      </c>
      <c r="J16" s="0" t="n">
        <f aca="false">IF(AND(D16&gt;=DATE(YEAR(D16),3,15),D16&lt;=DATE(YEAR(D16),6,10)),1,0)</f>
        <v>0</v>
      </c>
      <c r="K16" s="0" t="e">
        <f aca="false">VLOOKUP(D16,Festival_List!$A$2:$B$100,2,0)</f>
        <v>#N/A</v>
      </c>
      <c r="L16" s="0" t="n">
        <f aca="false">ROUND(((F16+G16)-(D16+E16))*24,0)</f>
        <v>12</v>
      </c>
      <c r="M16" s="0" t="n">
        <f aca="false">IF(OR(WEEKDAY(D16)=1,WEEKDAY(D16)=7),1,0)</f>
        <v>0</v>
      </c>
      <c r="N16" s="0" t="str">
        <f aca="false">IF(AND(MONTH(D16)&gt;=3,MONTH(D16)&lt;=6),"Summer",IF(AND(MONTH(D16)&gt;=7,MONTH(D16)&lt;=9),"Monsoon","Winter"))</f>
        <v>Winter</v>
      </c>
      <c r="O16" s="0" t="str">
        <f aca="false">IF(AND(L16&gt;=22,L16&lt;=25,E16&gt;=TIME(18,0,0)),"24H Night", IF(AND(L16&gt;=22,L16&lt;=25,E16&lt;TIME(18,0,0)),"24H Day", IF(AND(L16&gt;=11,L16&lt;=13,E16&gt;=TIME(18,0,0)),"12H Night", IF(AND(L16&gt;=11,L16&lt;=13,E16&lt;TIME(18,0,0)),"12H Day", IF(AND(L16&lt;10,E16&gt;=TIME(18,0,0)),"Couple Night", "Couple Day")))))</f>
        <v>12H Day</v>
      </c>
      <c r="P16" s="0" t="n">
        <f aca="false">WEEKDAY(D16,2)</f>
        <v>3</v>
      </c>
      <c r="Q16" s="0" t="n">
        <f aca="false">MONTH(D16)</f>
        <v>12</v>
      </c>
      <c r="R16" s="0" t="str">
        <f aca="false">"Q"&amp;ROUNDUP(MONTH(D16)/3,0)</f>
        <v>Q4</v>
      </c>
    </row>
    <row r="17" customFormat="false" ht="26.85" hidden="false" customHeight="false" outlineLevel="0" collapsed="false">
      <c r="A17" s="7" t="s">
        <v>95</v>
      </c>
      <c r="B17" s="7" t="s">
        <v>96</v>
      </c>
      <c r="C17" s="13" t="s">
        <v>97</v>
      </c>
      <c r="D17" s="11" t="n">
        <v>45288</v>
      </c>
      <c r="E17" s="12" t="n">
        <v>0.833333333299375</v>
      </c>
      <c r="F17" s="11" t="n">
        <v>45289</v>
      </c>
      <c r="G17" s="12" t="n">
        <v>0.333333333299375</v>
      </c>
      <c r="H17" s="10" t="n">
        <v>45725.4678060185</v>
      </c>
      <c r="I17" s="7" t="n">
        <v>2500</v>
      </c>
      <c r="J17" s="0" t="n">
        <f aca="false">IF(AND(D17&gt;=DATE(YEAR(D17),3,15),D17&lt;=DATE(YEAR(D17),6,10)),1,0)</f>
        <v>0</v>
      </c>
      <c r="K17" s="0" t="e">
        <f aca="false">VLOOKUP(D17,Festival_List!$A$2:$B$100,2,0)</f>
        <v>#N/A</v>
      </c>
      <c r="L17" s="0" t="n">
        <f aca="false">ROUND(((F17+G17)-(D17+E17))*24,0)</f>
        <v>12</v>
      </c>
      <c r="M17" s="0" t="n">
        <f aca="false">IF(OR(WEEKDAY(D17)=1,WEEKDAY(D17)=7),1,0)</f>
        <v>0</v>
      </c>
      <c r="N17" s="0" t="str">
        <f aca="false">IF(AND(MONTH(D17)&gt;=3,MONTH(D17)&lt;=6),"Summer",IF(AND(MONTH(D17)&gt;=7,MONTH(D17)&lt;=9),"Monsoon","Winter"))</f>
        <v>Winter</v>
      </c>
      <c r="O17" s="0" t="str">
        <f aca="false">IF(AND(L17&gt;=22,L17&lt;=25,E17&gt;=TIME(18,0,0)),"24H Night", IF(AND(L17&gt;=22,L17&lt;=25,E17&lt;TIME(18,0,0)),"24H Day", IF(AND(L17&gt;=11,L17&lt;=13,E17&gt;=TIME(18,0,0)),"12H Night", IF(AND(L17&gt;=11,L17&lt;=13,E17&lt;TIME(18,0,0)),"12H Day", IF(AND(L17&lt;10,E17&gt;=TIME(18,0,0)),"Couple Night", "Couple Day")))))</f>
        <v>12H Night</v>
      </c>
      <c r="P17" s="0" t="n">
        <f aca="false">WEEKDAY(D17,2)</f>
        <v>4</v>
      </c>
      <c r="Q17" s="0" t="n">
        <f aca="false">MONTH(D17)</f>
        <v>12</v>
      </c>
      <c r="R17" s="0" t="str">
        <f aca="false">"Q"&amp;ROUNDUP(MONTH(D17)/3,0)</f>
        <v>Q4</v>
      </c>
    </row>
    <row r="18" customFormat="false" ht="13.8" hidden="false" customHeight="false" outlineLevel="0" collapsed="false">
      <c r="A18" s="7" t="s">
        <v>98</v>
      </c>
      <c r="B18" s="7" t="s">
        <v>99</v>
      </c>
      <c r="C18" s="7" t="s">
        <v>94</v>
      </c>
      <c r="D18" s="11" t="n">
        <v>45289</v>
      </c>
      <c r="E18" s="12" t="n">
        <v>0.333333333299375</v>
      </c>
      <c r="F18" s="11" t="n">
        <v>45289</v>
      </c>
      <c r="G18" s="12" t="n">
        <v>0.833333333299375</v>
      </c>
      <c r="H18" s="10" t="n">
        <v>45725.4679059028</v>
      </c>
      <c r="I18" s="7" t="n">
        <v>2500</v>
      </c>
      <c r="J18" s="0" t="n">
        <f aca="false">IF(AND(D18&gt;=DATE(YEAR(D18),3,15),D18&lt;=DATE(YEAR(D18),6,10)),1,0)</f>
        <v>0</v>
      </c>
      <c r="K18" s="0" t="e">
        <f aca="false">VLOOKUP(D18,Festival_List!$A$2:$B$100,2,0)</f>
        <v>#N/A</v>
      </c>
      <c r="L18" s="0" t="n">
        <f aca="false">ROUND(((F18+G18)-(D18+E18))*24,0)</f>
        <v>12</v>
      </c>
      <c r="M18" s="0" t="n">
        <f aca="false">IF(OR(WEEKDAY(D18)=1,WEEKDAY(D18)=7),1,0)</f>
        <v>0</v>
      </c>
      <c r="N18" s="0" t="str">
        <f aca="false">IF(AND(MONTH(D18)&gt;=3,MONTH(D18)&lt;=6),"Summer",IF(AND(MONTH(D18)&gt;=7,MONTH(D18)&lt;=9),"Monsoon","Winter"))</f>
        <v>Winter</v>
      </c>
      <c r="O18" s="0" t="str">
        <f aca="false">IF(AND(L18&gt;=22,L18&lt;=25,E18&gt;=TIME(18,0,0)),"24H Night", IF(AND(L18&gt;=22,L18&lt;=25,E18&lt;TIME(18,0,0)),"24H Day", IF(AND(L18&gt;=11,L18&lt;=13,E18&gt;=TIME(18,0,0)),"12H Night", IF(AND(L18&gt;=11,L18&lt;=13,E18&lt;TIME(18,0,0)),"12H Day", IF(AND(L18&lt;10,E18&gt;=TIME(18,0,0)),"Couple Night", "Couple Day")))))</f>
        <v>12H Day</v>
      </c>
      <c r="P18" s="0" t="n">
        <f aca="false">WEEKDAY(D18,2)</f>
        <v>5</v>
      </c>
      <c r="Q18" s="0" t="n">
        <f aca="false">MONTH(D18)</f>
        <v>12</v>
      </c>
      <c r="R18" s="0" t="str">
        <f aca="false">"Q"&amp;ROUNDUP(MONTH(D18)/3,0)</f>
        <v>Q4</v>
      </c>
    </row>
    <row r="19" customFormat="false" ht="39.55" hidden="false" customHeight="false" outlineLevel="0" collapsed="false">
      <c r="A19" s="7" t="s">
        <v>100</v>
      </c>
      <c r="B19" s="7" t="s">
        <v>101</v>
      </c>
      <c r="C19" s="13" t="s">
        <v>102</v>
      </c>
      <c r="D19" s="11" t="n">
        <v>45290</v>
      </c>
      <c r="E19" s="12" t="n">
        <v>0.541666666700625</v>
      </c>
      <c r="F19" s="11" t="n">
        <v>45290</v>
      </c>
      <c r="G19" s="12" t="n">
        <v>0.729166666700625</v>
      </c>
      <c r="H19" s="10" t="n">
        <v>45725.4679868056</v>
      </c>
      <c r="I19" s="7" t="n">
        <v>1500</v>
      </c>
      <c r="J19" s="0" t="n">
        <f aca="false">IF(AND(D19&gt;=DATE(YEAR(D19),3,15),D19&lt;=DATE(YEAR(D19),6,10)),1,0)</f>
        <v>0</v>
      </c>
      <c r="K19" s="0" t="e">
        <f aca="false">VLOOKUP(D19,Festival_List!$A$2:$B$100,2,0)</f>
        <v>#N/A</v>
      </c>
      <c r="L19" s="0" t="n">
        <f aca="false">ROUND(((F19+G19)-(D19+E19))*24,0)</f>
        <v>5</v>
      </c>
      <c r="M19" s="0" t="n">
        <f aca="false">IF(OR(WEEKDAY(D19)=1,WEEKDAY(D19)=7),1,0)</f>
        <v>1</v>
      </c>
      <c r="N19" s="0" t="str">
        <f aca="false">IF(AND(MONTH(D19)&gt;=3,MONTH(D19)&lt;=6),"Summer",IF(AND(MONTH(D19)&gt;=7,MONTH(D19)&lt;=9),"Monsoon","Winter"))</f>
        <v>Winter</v>
      </c>
      <c r="O19" s="0" t="str">
        <f aca="false">IF(AND(L19&gt;=22,L19&lt;=25,E19&gt;=TIME(18,0,0)),"24H Night", IF(AND(L19&gt;=22,L19&lt;=25,E19&lt;TIME(18,0,0)),"24H Day", IF(AND(L19&gt;=11,L19&lt;=13,E19&gt;=TIME(18,0,0)),"12H Night", IF(AND(L19&gt;=11,L19&lt;=13,E19&lt;TIME(18,0,0)),"12H Day", IF(AND(L19&lt;10,E19&gt;=TIME(18,0,0)),"Couple Night", "Couple Day")))))</f>
        <v>Couple Day</v>
      </c>
      <c r="P19" s="0" t="n">
        <f aca="false">WEEKDAY(D19,2)</f>
        <v>6</v>
      </c>
      <c r="Q19" s="0" t="n">
        <f aca="false">MONTH(D19)</f>
        <v>12</v>
      </c>
      <c r="R19" s="0" t="str">
        <f aca="false">"Q"&amp;ROUNDUP(MONTH(D19)/3,0)</f>
        <v>Q4</v>
      </c>
    </row>
    <row r="20" customFormat="false" ht="13.8" hidden="false" customHeight="false" outlineLevel="0" collapsed="false">
      <c r="A20" s="7" t="s">
        <v>103</v>
      </c>
      <c r="B20" s="7" t="s">
        <v>82</v>
      </c>
      <c r="C20" s="7" t="s">
        <v>104</v>
      </c>
      <c r="D20" s="11" t="n">
        <v>45293</v>
      </c>
      <c r="E20" s="12" t="n">
        <v>0.375</v>
      </c>
      <c r="F20" s="11" t="n">
        <v>45293</v>
      </c>
      <c r="G20" s="12" t="n">
        <v>0.5</v>
      </c>
      <c r="H20" s="10" t="n">
        <v>45725.4680472222</v>
      </c>
      <c r="I20" s="7" t="n">
        <v>1500</v>
      </c>
      <c r="J20" s="0" t="n">
        <f aca="false">IF(AND(D20&gt;=DATE(YEAR(D20),3,15),D20&lt;=DATE(YEAR(D20),6,10)),1,0)</f>
        <v>0</v>
      </c>
      <c r="K20" s="0" t="e">
        <f aca="false">VLOOKUP(D20,Festival_List!$A$2:$B$100,2,0)</f>
        <v>#N/A</v>
      </c>
      <c r="L20" s="0" t="n">
        <f aca="false">ROUND(((F20+G20)-(D20+E20))*24,0)</f>
        <v>3</v>
      </c>
      <c r="M20" s="0" t="n">
        <f aca="false">IF(OR(WEEKDAY(D20)=1,WEEKDAY(D20)=7),1,0)</f>
        <v>0</v>
      </c>
      <c r="N20" s="0" t="str">
        <f aca="false">IF(AND(MONTH(D20)&gt;=3,MONTH(D20)&lt;=6),"Summer",IF(AND(MONTH(D20)&gt;=7,MONTH(D20)&lt;=9),"Monsoon","Winter"))</f>
        <v>Winter</v>
      </c>
      <c r="O20" s="0" t="str">
        <f aca="false">IF(AND(L20&gt;=22,L20&lt;=25,E20&gt;=TIME(18,0,0)),"24H Night", IF(AND(L20&gt;=22,L20&lt;=25,E20&lt;TIME(18,0,0)),"24H Day", IF(AND(L20&gt;=11,L20&lt;=13,E20&gt;=TIME(18,0,0)),"12H Night", IF(AND(L20&gt;=11,L20&lt;=13,E20&lt;TIME(18,0,0)),"12H Day", IF(AND(L20&lt;10,E20&gt;=TIME(18,0,0)),"Couple Night", "Couple Day")))))</f>
        <v>Couple Day</v>
      </c>
      <c r="P20" s="0" t="n">
        <f aca="false">WEEKDAY(D20,2)</f>
        <v>2</v>
      </c>
      <c r="Q20" s="0" t="n">
        <f aca="false">MONTH(D20)</f>
        <v>1</v>
      </c>
      <c r="R20" s="0" t="str">
        <f aca="false">"Q"&amp;ROUNDUP(MONTH(D20)/3,0)</f>
        <v>Q1</v>
      </c>
    </row>
    <row r="21" customFormat="false" ht="13.8" hidden="false" customHeight="false" outlineLevel="0" collapsed="false">
      <c r="A21" s="7" t="s">
        <v>105</v>
      </c>
      <c r="B21" s="7" t="s">
        <v>106</v>
      </c>
      <c r="C21" s="7" t="s">
        <v>107</v>
      </c>
      <c r="D21" s="11" t="n">
        <v>45294</v>
      </c>
      <c r="E21" s="12" t="n">
        <v>0.5</v>
      </c>
      <c r="F21" s="11" t="n">
        <v>45296</v>
      </c>
      <c r="G21" s="12" t="n">
        <v>0.5</v>
      </c>
      <c r="H21" s="10" t="n">
        <v>45725.4681359954</v>
      </c>
      <c r="I21" s="7" t="n">
        <v>8500</v>
      </c>
      <c r="J21" s="0" t="n">
        <f aca="false">IF(AND(D21&gt;=DATE(YEAR(D21),3,15),D21&lt;=DATE(YEAR(D21),6,10)),1,0)</f>
        <v>0</v>
      </c>
      <c r="K21" s="0" t="e">
        <f aca="false">VLOOKUP(D21,Festival_List!$A$2:$B$100,2,0)</f>
        <v>#N/A</v>
      </c>
      <c r="L21" s="0" t="n">
        <f aca="false">ROUND(((F21+G21)-(D21+E21))*24,0)</f>
        <v>48</v>
      </c>
      <c r="M21" s="0" t="n">
        <f aca="false">IF(OR(WEEKDAY(D21)=1,WEEKDAY(D21)=7),1,0)</f>
        <v>0</v>
      </c>
      <c r="N21" s="0" t="str">
        <f aca="false">IF(AND(MONTH(D21)&gt;=3,MONTH(D21)&lt;=6),"Summer",IF(AND(MONTH(D21)&gt;=7,MONTH(D21)&lt;=9),"Monsoon","Winter"))</f>
        <v>Winter</v>
      </c>
      <c r="O21" s="0" t="str">
        <f aca="false">IF(AND(L21&gt;=22,L21&lt;=25,E21&gt;=TIME(18,0,0)),"24H Night", IF(AND(L21&gt;=22,L21&lt;=25,E21&lt;TIME(18,0,0)),"24H Day", IF(AND(L21&gt;=11,L21&lt;=13,E21&gt;=TIME(18,0,0)),"12H Night", IF(AND(L21&gt;=11,L21&lt;=13,E21&lt;TIME(18,0,0)),"12H Day", IF(AND(L21&lt;10,E21&gt;=TIME(18,0,0)),"Couple Night", "Couple Day")))))</f>
        <v>Couple Day</v>
      </c>
      <c r="P21" s="0" t="n">
        <f aca="false">WEEKDAY(D21,2)</f>
        <v>3</v>
      </c>
      <c r="Q21" s="0" t="n">
        <f aca="false">MONTH(D21)</f>
        <v>1</v>
      </c>
      <c r="R21" s="0" t="str">
        <f aca="false">"Q"&amp;ROUNDUP(MONTH(D21)/3,0)</f>
        <v>Q1</v>
      </c>
    </row>
    <row r="22" customFormat="false" ht="13.8" hidden="false" customHeight="false" outlineLevel="0" collapsed="false">
      <c r="A22" s="7" t="s">
        <v>108</v>
      </c>
      <c r="B22" s="7" t="s">
        <v>109</v>
      </c>
      <c r="C22" s="7" t="s">
        <v>110</v>
      </c>
      <c r="D22" s="11" t="n">
        <v>45296</v>
      </c>
      <c r="E22" s="12" t="n">
        <v>0.791666666700625</v>
      </c>
      <c r="F22" s="11" t="n">
        <v>45297</v>
      </c>
      <c r="G22" s="12" t="n">
        <v>0.75</v>
      </c>
      <c r="H22" s="10" t="n">
        <v>45745.4016173611</v>
      </c>
      <c r="I22" s="7" t="n">
        <v>3000</v>
      </c>
      <c r="J22" s="0" t="n">
        <f aca="false">IF(AND(D22&gt;=DATE(YEAR(D22),3,15),D22&lt;=DATE(YEAR(D22),6,10)),1,0)</f>
        <v>0</v>
      </c>
      <c r="K22" s="0" t="e">
        <f aca="false">VLOOKUP(D22,Festival_List!$A$2:$B$100,2,0)</f>
        <v>#N/A</v>
      </c>
      <c r="L22" s="0" t="n">
        <f aca="false">ROUND(((F22+G22)-(D22+E22))*24,0)</f>
        <v>23</v>
      </c>
      <c r="M22" s="0" t="n">
        <f aca="false">IF(OR(WEEKDAY(D22)=1,WEEKDAY(D22)=7),1,0)</f>
        <v>0</v>
      </c>
      <c r="N22" s="0" t="str">
        <f aca="false">IF(AND(MONTH(D22)&gt;=3,MONTH(D22)&lt;=6),"Summer",IF(AND(MONTH(D22)&gt;=7,MONTH(D22)&lt;=9),"Monsoon","Winter"))</f>
        <v>Winter</v>
      </c>
      <c r="O22" s="0" t="str">
        <f aca="false">IF(AND(L22&gt;=22,L22&lt;=25,E22&gt;=TIME(18,0,0)),"24H Night", IF(AND(L22&gt;=22,L22&lt;=25,E22&lt;TIME(18,0,0)),"24H Day", IF(AND(L22&gt;=11,L22&lt;=13,E22&gt;=TIME(18,0,0)),"12H Night", IF(AND(L22&gt;=11,L22&lt;=13,E22&lt;TIME(18,0,0)),"12H Day", IF(AND(L22&lt;10,E22&gt;=TIME(18,0,0)),"Couple Night", "Couple Day")))))</f>
        <v>24H Night</v>
      </c>
      <c r="P22" s="0" t="n">
        <f aca="false">WEEKDAY(D22,2)</f>
        <v>5</v>
      </c>
      <c r="Q22" s="0" t="n">
        <f aca="false">MONTH(D22)</f>
        <v>1</v>
      </c>
      <c r="R22" s="0" t="str">
        <f aca="false">"Q"&amp;ROUNDUP(MONTH(D22)/3,0)</f>
        <v>Q1</v>
      </c>
    </row>
    <row r="23" customFormat="false" ht="39.55" hidden="false" customHeight="false" outlineLevel="0" collapsed="false">
      <c r="A23" s="7" t="s">
        <v>111</v>
      </c>
      <c r="B23" s="7" t="s">
        <v>112</v>
      </c>
      <c r="C23" s="13" t="s">
        <v>113</v>
      </c>
      <c r="D23" s="11" t="n">
        <v>45297</v>
      </c>
      <c r="E23" s="12" t="n">
        <v>0.75</v>
      </c>
      <c r="F23" s="11" t="n">
        <v>45298</v>
      </c>
      <c r="G23" s="12" t="n">
        <v>0.25</v>
      </c>
      <c r="H23" s="10" t="n">
        <v>45725.4687961806</v>
      </c>
      <c r="I23" s="7" t="n">
        <v>3000</v>
      </c>
      <c r="J23" s="0" t="n">
        <f aca="false">IF(AND(D23&gt;=DATE(YEAR(D23),3,15),D23&lt;=DATE(YEAR(D23),6,10)),1,0)</f>
        <v>0</v>
      </c>
      <c r="K23" s="0" t="e">
        <f aca="false">VLOOKUP(D23,Festival_List!$A$2:$B$100,2,0)</f>
        <v>#N/A</v>
      </c>
      <c r="L23" s="0" t="n">
        <f aca="false">ROUND(((F23+G23)-(D23+E23))*24,0)</f>
        <v>12</v>
      </c>
      <c r="M23" s="0" t="n">
        <f aca="false">IF(OR(WEEKDAY(D23)=1,WEEKDAY(D23)=7),1,0)</f>
        <v>1</v>
      </c>
      <c r="N23" s="0" t="str">
        <f aca="false">IF(AND(MONTH(D23)&gt;=3,MONTH(D23)&lt;=6),"Summer",IF(AND(MONTH(D23)&gt;=7,MONTH(D23)&lt;=9),"Monsoon","Winter"))</f>
        <v>Winter</v>
      </c>
      <c r="O23" s="0" t="str">
        <f aca="false">IF(AND(L23&gt;=22,L23&lt;=25,E23&gt;=TIME(18,0,0)),"24H Night", IF(AND(L23&gt;=22,L23&lt;=25,E23&lt;TIME(18,0,0)),"24H Day", IF(AND(L23&gt;=11,L23&lt;=13,E23&gt;=TIME(18,0,0)),"12H Night", IF(AND(L23&gt;=11,L23&lt;=13,E23&lt;TIME(18,0,0)),"12H Day", IF(AND(L23&lt;10,E23&gt;=TIME(18,0,0)),"Couple Night", "Couple Day")))))</f>
        <v>12H Night</v>
      </c>
      <c r="P23" s="0" t="n">
        <f aca="false">WEEKDAY(D23,2)</f>
        <v>6</v>
      </c>
      <c r="Q23" s="0" t="n">
        <f aca="false">MONTH(D23)</f>
        <v>1</v>
      </c>
      <c r="R23" s="0" t="str">
        <f aca="false">"Q"&amp;ROUNDUP(MONTH(D23)/3,0)</f>
        <v>Q1</v>
      </c>
    </row>
    <row r="24" customFormat="false" ht="13.8" hidden="false" customHeight="false" outlineLevel="0" collapsed="false">
      <c r="A24" s="7" t="s">
        <v>114</v>
      </c>
      <c r="B24" s="7" t="s">
        <v>115</v>
      </c>
      <c r="C24" s="7" t="s">
        <v>94</v>
      </c>
      <c r="D24" s="11" t="n">
        <v>45299</v>
      </c>
      <c r="E24" s="12" t="n">
        <v>0.25</v>
      </c>
      <c r="F24" s="11" t="n">
        <v>45299</v>
      </c>
      <c r="G24" s="12" t="n">
        <v>0.75</v>
      </c>
      <c r="H24" s="10" t="n">
        <v>45725.4688996528</v>
      </c>
      <c r="I24" s="7" t="n">
        <v>2500</v>
      </c>
      <c r="J24" s="0" t="n">
        <f aca="false">IF(AND(D24&gt;=DATE(YEAR(D24),3,15),D24&lt;=DATE(YEAR(D24),6,10)),1,0)</f>
        <v>0</v>
      </c>
      <c r="K24" s="0" t="e">
        <f aca="false">VLOOKUP(D24,Festival_List!$A$2:$B$100,2,0)</f>
        <v>#N/A</v>
      </c>
      <c r="L24" s="0" t="n">
        <f aca="false">ROUND(((F24+G24)-(D24+E24))*24,0)</f>
        <v>12</v>
      </c>
      <c r="M24" s="0" t="n">
        <f aca="false">IF(OR(WEEKDAY(D24)=1,WEEKDAY(D24)=7),1,0)</f>
        <v>0</v>
      </c>
      <c r="N24" s="0" t="str">
        <f aca="false">IF(AND(MONTH(D24)&gt;=3,MONTH(D24)&lt;=6),"Summer",IF(AND(MONTH(D24)&gt;=7,MONTH(D24)&lt;=9),"Monsoon","Winter"))</f>
        <v>Winter</v>
      </c>
      <c r="O24" s="0" t="str">
        <f aca="false">IF(AND(L24&gt;=22,L24&lt;=25,E24&gt;=TIME(18,0,0)),"24H Night", IF(AND(L24&gt;=22,L24&lt;=25,E24&lt;TIME(18,0,0)),"24H Day", IF(AND(L24&gt;=11,L24&lt;=13,E24&gt;=TIME(18,0,0)),"12H Night", IF(AND(L24&gt;=11,L24&lt;=13,E24&lt;TIME(18,0,0)),"12H Day", IF(AND(L24&lt;10,E24&gt;=TIME(18,0,0)),"Couple Night", "Couple Day")))))</f>
        <v>12H Day</v>
      </c>
      <c r="P24" s="0" t="n">
        <f aca="false">WEEKDAY(D24,2)</f>
        <v>1</v>
      </c>
      <c r="Q24" s="0" t="n">
        <f aca="false">MONTH(D24)</f>
        <v>1</v>
      </c>
      <c r="R24" s="0" t="str">
        <f aca="false">"Q"&amp;ROUNDUP(MONTH(D24)/3,0)</f>
        <v>Q1</v>
      </c>
    </row>
    <row r="25" customFormat="false" ht="90.25" hidden="false" customHeight="false" outlineLevel="0" collapsed="false">
      <c r="A25" s="7" t="s">
        <v>116</v>
      </c>
      <c r="B25" s="7" t="s">
        <v>117</v>
      </c>
      <c r="C25" s="13" t="s">
        <v>118</v>
      </c>
      <c r="D25" s="11" t="n">
        <v>45300</v>
      </c>
      <c r="E25" s="12" t="n">
        <v>0.375</v>
      </c>
      <c r="F25" s="11" t="n">
        <v>45300</v>
      </c>
      <c r="G25" s="12" t="n">
        <v>0.75</v>
      </c>
      <c r="H25" s="10" t="n">
        <v>45300.4649706019</v>
      </c>
      <c r="I25" s="7" t="n">
        <v>2000</v>
      </c>
      <c r="J25" s="0" t="n">
        <f aca="false">IF(AND(D25&gt;=DATE(YEAR(D25),3,15),D25&lt;=DATE(YEAR(D25),6,10)),1,0)</f>
        <v>0</v>
      </c>
      <c r="K25" s="0" t="e">
        <f aca="false">VLOOKUP(D25,Festival_List!$A$2:$B$100,2,0)</f>
        <v>#N/A</v>
      </c>
      <c r="L25" s="0" t="n">
        <f aca="false">ROUND(((F25+G25)-(D25+E25))*24,0)</f>
        <v>9</v>
      </c>
      <c r="M25" s="0" t="n">
        <f aca="false">IF(OR(WEEKDAY(D25)=1,WEEKDAY(D25)=7),1,0)</f>
        <v>0</v>
      </c>
      <c r="N25" s="0" t="str">
        <f aca="false">IF(AND(MONTH(D25)&gt;=3,MONTH(D25)&lt;=6),"Summer",IF(AND(MONTH(D25)&gt;=7,MONTH(D25)&lt;=9),"Monsoon","Winter"))</f>
        <v>Winter</v>
      </c>
      <c r="O25" s="0" t="str">
        <f aca="false">IF(AND(L25&gt;=22,L25&lt;=25,E25&gt;=TIME(18,0,0)),"24H Night", IF(AND(L25&gt;=22,L25&lt;=25,E25&lt;TIME(18,0,0)),"24H Day", IF(AND(L25&gt;=11,L25&lt;=13,E25&gt;=TIME(18,0,0)),"12H Night", IF(AND(L25&gt;=11,L25&lt;=13,E25&lt;TIME(18,0,0)),"12H Day", IF(AND(L25&lt;10,E25&gt;=TIME(18,0,0)),"Couple Night", "Couple Day")))))</f>
        <v>Couple Day</v>
      </c>
      <c r="P25" s="0" t="n">
        <f aca="false">WEEKDAY(D25,2)</f>
        <v>2</v>
      </c>
      <c r="Q25" s="0" t="n">
        <f aca="false">MONTH(D25)</f>
        <v>1</v>
      </c>
      <c r="R25" s="0" t="str">
        <f aca="false">"Q"&amp;ROUNDUP(MONTH(D25)/3,0)</f>
        <v>Q1</v>
      </c>
    </row>
    <row r="26" customFormat="false" ht="166.4" hidden="false" customHeight="false" outlineLevel="0" collapsed="false">
      <c r="A26" s="7" t="s">
        <v>119</v>
      </c>
      <c r="B26" s="7" t="s">
        <v>120</v>
      </c>
      <c r="C26" s="13" t="s">
        <v>121</v>
      </c>
      <c r="D26" s="11" t="n">
        <v>45301</v>
      </c>
      <c r="E26" s="12" t="n">
        <v>0.375</v>
      </c>
      <c r="F26" s="11" t="n">
        <v>45301</v>
      </c>
      <c r="G26" s="12" t="n">
        <v>0.708333333299375</v>
      </c>
      <c r="H26" s="10" t="n">
        <v>45301.40750625</v>
      </c>
      <c r="I26" s="7" t="n">
        <v>2500</v>
      </c>
      <c r="J26" s="0" t="n">
        <f aca="false">IF(AND(D26&gt;=DATE(YEAR(D26),3,15),D26&lt;=DATE(YEAR(D26),6,10)),1,0)</f>
        <v>0</v>
      </c>
      <c r="K26" s="0" t="e">
        <f aca="false">VLOOKUP(D26,Festival_List!$A$2:$B$100,2,0)</f>
        <v>#N/A</v>
      </c>
      <c r="L26" s="0" t="n">
        <f aca="false">ROUND(((F26+G26)-(D26+E26))*24,0)</f>
        <v>8</v>
      </c>
      <c r="M26" s="0" t="n">
        <f aca="false">IF(OR(WEEKDAY(D26)=1,WEEKDAY(D26)=7),1,0)</f>
        <v>0</v>
      </c>
      <c r="N26" s="0" t="str">
        <f aca="false">IF(AND(MONTH(D26)&gt;=3,MONTH(D26)&lt;=6),"Summer",IF(AND(MONTH(D26)&gt;=7,MONTH(D26)&lt;=9),"Monsoon","Winter"))</f>
        <v>Winter</v>
      </c>
      <c r="O26" s="0" t="str">
        <f aca="false">IF(AND(L26&gt;=22,L26&lt;=25,E26&gt;=TIME(18,0,0)),"24H Night", IF(AND(L26&gt;=22,L26&lt;=25,E26&lt;TIME(18,0,0)),"24H Day", IF(AND(L26&gt;=11,L26&lt;=13,E26&gt;=TIME(18,0,0)),"12H Night", IF(AND(L26&gt;=11,L26&lt;=13,E26&lt;TIME(18,0,0)),"12H Day", IF(AND(L26&lt;10,E26&gt;=TIME(18,0,0)),"Couple Night", "Couple Day")))))</f>
        <v>Couple Day</v>
      </c>
      <c r="P26" s="0" t="n">
        <f aca="false">WEEKDAY(D26,2)</f>
        <v>3</v>
      </c>
      <c r="Q26" s="0" t="n">
        <f aca="false">MONTH(D26)</f>
        <v>1</v>
      </c>
      <c r="R26" s="0" t="str">
        <f aca="false">"Q"&amp;ROUNDUP(MONTH(D26)/3,0)</f>
        <v>Q1</v>
      </c>
    </row>
    <row r="27" customFormat="false" ht="179.1" hidden="false" customHeight="false" outlineLevel="0" collapsed="false">
      <c r="A27" s="7" t="s">
        <v>122</v>
      </c>
      <c r="B27" s="7" t="s">
        <v>123</v>
      </c>
      <c r="C27" s="13" t="s">
        <v>124</v>
      </c>
      <c r="D27" s="11" t="n">
        <v>45301</v>
      </c>
      <c r="E27" s="12" t="n">
        <v>0.791666666700625</v>
      </c>
      <c r="F27" s="11" t="n">
        <v>45302</v>
      </c>
      <c r="G27" s="12" t="n">
        <v>0.75</v>
      </c>
      <c r="H27" s="10" t="n">
        <v>45745.4017583333</v>
      </c>
      <c r="I27" s="7" t="n">
        <v>4000</v>
      </c>
      <c r="J27" s="0" t="n">
        <f aca="false">IF(AND(D27&gt;=DATE(YEAR(D27),3,15),D27&lt;=DATE(YEAR(D27),6,10)),1,0)</f>
        <v>0</v>
      </c>
      <c r="K27" s="0" t="e">
        <f aca="false">VLOOKUP(D27,Festival_List!$A$2:$B$100,2,0)</f>
        <v>#N/A</v>
      </c>
      <c r="L27" s="0" t="n">
        <f aca="false">ROUND(((F27+G27)-(D27+E27))*24,0)</f>
        <v>23</v>
      </c>
      <c r="M27" s="0" t="n">
        <f aca="false">IF(OR(WEEKDAY(D27)=1,WEEKDAY(D27)=7),1,0)</f>
        <v>0</v>
      </c>
      <c r="N27" s="0" t="str">
        <f aca="false">IF(AND(MONTH(D27)&gt;=3,MONTH(D27)&lt;=6),"Summer",IF(AND(MONTH(D27)&gt;=7,MONTH(D27)&lt;=9),"Monsoon","Winter"))</f>
        <v>Winter</v>
      </c>
      <c r="O27" s="0" t="str">
        <f aca="false">IF(AND(L27&gt;=22,L27&lt;=25,E27&gt;=TIME(18,0,0)),"24H Night", IF(AND(L27&gt;=22,L27&lt;=25,E27&lt;TIME(18,0,0)),"24H Day", IF(AND(L27&gt;=11,L27&lt;=13,E27&gt;=TIME(18,0,0)),"12H Night", IF(AND(L27&gt;=11,L27&lt;=13,E27&lt;TIME(18,0,0)),"12H Day", IF(AND(L27&lt;10,E27&gt;=TIME(18,0,0)),"Couple Night", "Couple Day")))))</f>
        <v>24H Night</v>
      </c>
      <c r="P27" s="0" t="n">
        <f aca="false">WEEKDAY(D27,2)</f>
        <v>3</v>
      </c>
      <c r="Q27" s="0" t="n">
        <f aca="false">MONTH(D27)</f>
        <v>1</v>
      </c>
      <c r="R27" s="0" t="str">
        <f aca="false">"Q"&amp;ROUNDUP(MONTH(D27)/3,0)</f>
        <v>Q1</v>
      </c>
    </row>
    <row r="28" customFormat="false" ht="166.4" hidden="false" customHeight="false" outlineLevel="0" collapsed="false">
      <c r="A28" s="7" t="s">
        <v>125</v>
      </c>
      <c r="B28" s="7" t="s">
        <v>126</v>
      </c>
      <c r="C28" s="13" t="s">
        <v>127</v>
      </c>
      <c r="D28" s="11" t="n">
        <v>45304</v>
      </c>
      <c r="E28" s="12" t="n">
        <v>0.75</v>
      </c>
      <c r="F28" s="11" t="n">
        <v>45305</v>
      </c>
      <c r="G28" s="12" t="n">
        <v>0.333333333299375</v>
      </c>
      <c r="H28" s="10" t="n">
        <v>45304.8043325231</v>
      </c>
      <c r="I28" s="7" t="n">
        <v>4500</v>
      </c>
      <c r="J28" s="0" t="n">
        <f aca="false">IF(AND(D28&gt;=DATE(YEAR(D28),3,15),D28&lt;=DATE(YEAR(D28),6,10)),1,0)</f>
        <v>0</v>
      </c>
      <c r="K28" s="0" t="e">
        <f aca="false">VLOOKUP(D28,Festival_List!$A$2:$B$100,2,0)</f>
        <v>#N/A</v>
      </c>
      <c r="L28" s="0" t="n">
        <f aca="false">ROUND(((F28+G28)-(D28+E28))*24,0)</f>
        <v>14</v>
      </c>
      <c r="M28" s="0" t="n">
        <f aca="false">IF(OR(WEEKDAY(D28)=1,WEEKDAY(D28)=7),1,0)</f>
        <v>1</v>
      </c>
      <c r="N28" s="0" t="str">
        <f aca="false">IF(AND(MONTH(D28)&gt;=3,MONTH(D28)&lt;=6),"Summer",IF(AND(MONTH(D28)&gt;=7,MONTH(D28)&lt;=9),"Monsoon","Winter"))</f>
        <v>Winter</v>
      </c>
      <c r="O28" s="0" t="str">
        <f aca="false">IF(AND(L28&gt;=22,L28&lt;=25,E28&gt;=TIME(18,0,0)),"24H Night", IF(AND(L28&gt;=22,L28&lt;=25,E28&lt;TIME(18,0,0)),"24H Day", IF(AND(L28&gt;=11,L28&lt;=13,E28&gt;=TIME(18,0,0)),"12H Night", IF(AND(L28&gt;=11,L28&lt;=13,E28&lt;TIME(18,0,0)),"12H Day", IF(AND(L28&lt;10,E28&gt;=TIME(18,0,0)),"Couple Night", "Couple Day")))))</f>
        <v>Couple Day</v>
      </c>
      <c r="P28" s="0" t="n">
        <f aca="false">WEEKDAY(D28,2)</f>
        <v>6</v>
      </c>
      <c r="Q28" s="0" t="n">
        <f aca="false">MONTH(D28)</f>
        <v>1</v>
      </c>
      <c r="R28" s="0" t="str">
        <f aca="false">"Q"&amp;ROUNDUP(MONTH(D28)/3,0)</f>
        <v>Q1</v>
      </c>
    </row>
    <row r="29" customFormat="false" ht="115.65" hidden="false" customHeight="false" outlineLevel="0" collapsed="false">
      <c r="A29" s="7" t="s">
        <v>128</v>
      </c>
      <c r="B29" s="7" t="s">
        <v>129</v>
      </c>
      <c r="C29" s="13" t="s">
        <v>130</v>
      </c>
      <c r="D29" s="11" t="n">
        <v>45305</v>
      </c>
      <c r="E29" s="12" t="n">
        <v>0.333333333299375</v>
      </c>
      <c r="F29" s="11" t="n">
        <v>45306</v>
      </c>
      <c r="G29" s="12" t="n">
        <v>0.833333333299375</v>
      </c>
      <c r="H29" s="10" t="n">
        <v>45305.452477662</v>
      </c>
      <c r="I29" s="7" t="n">
        <v>10000</v>
      </c>
      <c r="J29" s="0" t="n">
        <f aca="false">IF(AND(D29&gt;=DATE(YEAR(D29),3,15),D29&lt;=DATE(YEAR(D29),6,10)),1,0)</f>
        <v>0</v>
      </c>
      <c r="K29" s="0" t="str">
        <f aca="false">VLOOKUP(D29,Festival_List!$A$2:$B$100,2,0)</f>
        <v>Makar Sankranti</v>
      </c>
      <c r="L29" s="0" t="n">
        <f aca="false">ROUND(((F29+G29)-(D29+E29))*24,0)</f>
        <v>36</v>
      </c>
      <c r="M29" s="0" t="n">
        <f aca="false">IF(OR(WEEKDAY(D29)=1,WEEKDAY(D29)=7),1,0)</f>
        <v>1</v>
      </c>
      <c r="N29" s="0" t="str">
        <f aca="false">IF(AND(MONTH(D29)&gt;=3,MONTH(D29)&lt;=6),"Summer",IF(AND(MONTH(D29)&gt;=7,MONTH(D29)&lt;=9),"Monsoon","Winter"))</f>
        <v>Winter</v>
      </c>
      <c r="O29" s="0" t="str">
        <f aca="false">IF(AND(L29&gt;=22,L29&lt;=25,E29&gt;=TIME(18,0,0)),"24H Night", IF(AND(L29&gt;=22,L29&lt;=25,E29&lt;TIME(18,0,0)),"24H Day", IF(AND(L29&gt;=11,L29&lt;=13,E29&gt;=TIME(18,0,0)),"12H Night", IF(AND(L29&gt;=11,L29&lt;=13,E29&lt;TIME(18,0,0)),"12H Day", IF(AND(L29&lt;10,E29&gt;=TIME(18,0,0)),"Couple Night", "Couple Day")))))</f>
        <v>Couple Day</v>
      </c>
      <c r="P29" s="0" t="n">
        <f aca="false">WEEKDAY(D29,2)</f>
        <v>7</v>
      </c>
      <c r="Q29" s="0" t="n">
        <f aca="false">MONTH(D29)</f>
        <v>1</v>
      </c>
      <c r="R29" s="0" t="str">
        <f aca="false">"Q"&amp;ROUNDUP(MONTH(D29)/3,0)</f>
        <v>Q1</v>
      </c>
    </row>
    <row r="30" customFormat="false" ht="141" hidden="false" customHeight="false" outlineLevel="0" collapsed="false">
      <c r="A30" s="7" t="s">
        <v>131</v>
      </c>
      <c r="B30" s="7" t="s">
        <v>132</v>
      </c>
      <c r="C30" s="13" t="s">
        <v>133</v>
      </c>
      <c r="D30" s="11" t="n">
        <v>45308</v>
      </c>
      <c r="E30" s="12" t="n">
        <v>0.25</v>
      </c>
      <c r="F30" s="11" t="n">
        <v>45308</v>
      </c>
      <c r="G30" s="12" t="n">
        <v>0.75</v>
      </c>
      <c r="H30" s="10" t="n">
        <v>45308.43269375</v>
      </c>
      <c r="I30" s="7" t="n">
        <v>2200</v>
      </c>
      <c r="J30" s="0" t="n">
        <f aca="false">IF(AND(D30&gt;=DATE(YEAR(D30),3,15),D30&lt;=DATE(YEAR(D30),6,10)),1,0)</f>
        <v>0</v>
      </c>
      <c r="K30" s="0" t="e">
        <f aca="false">VLOOKUP(D30,Festival_List!$A$2:$B$100,2,0)</f>
        <v>#N/A</v>
      </c>
      <c r="L30" s="0" t="n">
        <f aca="false">ROUND(((F30+G30)-(D30+E30))*24,0)</f>
        <v>12</v>
      </c>
      <c r="M30" s="0" t="n">
        <f aca="false">IF(OR(WEEKDAY(D30)=1,WEEKDAY(D30)=7),1,0)</f>
        <v>0</v>
      </c>
      <c r="N30" s="0" t="str">
        <f aca="false">IF(AND(MONTH(D30)&gt;=3,MONTH(D30)&lt;=6),"Summer",IF(AND(MONTH(D30)&gt;=7,MONTH(D30)&lt;=9),"Monsoon","Winter"))</f>
        <v>Winter</v>
      </c>
      <c r="O30" s="0" t="str">
        <f aca="false">IF(AND(L30&gt;=22,L30&lt;=25,E30&gt;=TIME(18,0,0)),"24H Night", IF(AND(L30&gt;=22,L30&lt;=25,E30&lt;TIME(18,0,0)),"24H Day", IF(AND(L30&gt;=11,L30&lt;=13,E30&gt;=TIME(18,0,0)),"12H Night", IF(AND(L30&gt;=11,L30&lt;=13,E30&lt;TIME(18,0,0)),"12H Day", IF(AND(L30&lt;10,E30&gt;=TIME(18,0,0)),"Couple Night", "Couple Day")))))</f>
        <v>12H Day</v>
      </c>
      <c r="P30" s="0" t="n">
        <f aca="false">WEEKDAY(D30,2)</f>
        <v>3</v>
      </c>
      <c r="Q30" s="0" t="n">
        <f aca="false">MONTH(D30)</f>
        <v>1</v>
      </c>
      <c r="R30" s="0" t="str">
        <f aca="false">"Q"&amp;ROUNDUP(MONTH(D30)/3,0)</f>
        <v>Q1</v>
      </c>
    </row>
    <row r="31" customFormat="false" ht="115.65" hidden="false" customHeight="false" outlineLevel="0" collapsed="false">
      <c r="A31" s="7" t="s">
        <v>134</v>
      </c>
      <c r="B31" s="7" t="s">
        <v>135</v>
      </c>
      <c r="C31" s="13" t="s">
        <v>136</v>
      </c>
      <c r="D31" s="11" t="n">
        <v>45309</v>
      </c>
      <c r="E31" s="12" t="n">
        <v>0.416666666700625</v>
      </c>
      <c r="F31" s="11" t="n">
        <v>45309</v>
      </c>
      <c r="G31" s="12" t="n">
        <v>0.666666666700625</v>
      </c>
      <c r="H31" s="10" t="n">
        <v>45309.4159159722</v>
      </c>
      <c r="I31" s="7" t="n">
        <v>2200</v>
      </c>
      <c r="J31" s="0" t="n">
        <f aca="false">IF(AND(D31&gt;=DATE(YEAR(D31),3,15),D31&lt;=DATE(YEAR(D31),6,10)),1,0)</f>
        <v>0</v>
      </c>
      <c r="K31" s="0" t="e">
        <f aca="false">VLOOKUP(D31,Festival_List!$A$2:$B$100,2,0)</f>
        <v>#N/A</v>
      </c>
      <c r="L31" s="0" t="n">
        <f aca="false">ROUND(((F31+G31)-(D31+E31))*24,0)</f>
        <v>6</v>
      </c>
      <c r="M31" s="0" t="n">
        <f aca="false">IF(OR(WEEKDAY(D31)=1,WEEKDAY(D31)=7),1,0)</f>
        <v>0</v>
      </c>
      <c r="N31" s="0" t="str">
        <f aca="false">IF(AND(MONTH(D31)&gt;=3,MONTH(D31)&lt;=6),"Summer",IF(AND(MONTH(D31)&gt;=7,MONTH(D31)&lt;=9),"Monsoon","Winter"))</f>
        <v>Winter</v>
      </c>
      <c r="O31" s="0" t="str">
        <f aca="false">IF(AND(L31&gt;=22,L31&lt;=25,E31&gt;=TIME(18,0,0)),"24H Night", IF(AND(L31&gt;=22,L31&lt;=25,E31&lt;TIME(18,0,0)),"24H Day", IF(AND(L31&gt;=11,L31&lt;=13,E31&gt;=TIME(18,0,0)),"12H Night", IF(AND(L31&gt;=11,L31&lt;=13,E31&lt;TIME(18,0,0)),"12H Day", IF(AND(L31&lt;10,E31&gt;=TIME(18,0,0)),"Couple Night", "Couple Day")))))</f>
        <v>Couple Day</v>
      </c>
      <c r="P31" s="0" t="n">
        <f aca="false">WEEKDAY(D31,2)</f>
        <v>4</v>
      </c>
      <c r="Q31" s="0" t="n">
        <f aca="false">MONTH(D31)</f>
        <v>1</v>
      </c>
      <c r="R31" s="0" t="str">
        <f aca="false">"Q"&amp;ROUNDUP(MONTH(D31)/3,0)</f>
        <v>Q1</v>
      </c>
    </row>
    <row r="32" customFormat="false" ht="115.65" hidden="false" customHeight="false" outlineLevel="0" collapsed="false">
      <c r="A32" s="7" t="s">
        <v>137</v>
      </c>
      <c r="B32" s="7" t="s">
        <v>138</v>
      </c>
      <c r="C32" s="13" t="s">
        <v>139</v>
      </c>
      <c r="D32" s="11" t="n">
        <v>45312</v>
      </c>
      <c r="E32" s="12" t="n">
        <v>0.791666666700625</v>
      </c>
      <c r="F32" s="11" t="n">
        <v>45313</v>
      </c>
      <c r="G32" s="12" t="n">
        <v>0.75</v>
      </c>
      <c r="H32" s="10" t="n">
        <v>45745.4145200231</v>
      </c>
      <c r="I32" s="7" t="n">
        <v>3000</v>
      </c>
      <c r="J32" s="0" t="n">
        <f aca="false">IF(AND(D32&gt;=DATE(YEAR(D32),3,15),D32&lt;=DATE(YEAR(D32),6,10)),1,0)</f>
        <v>0</v>
      </c>
      <c r="K32" s="0" t="e">
        <f aca="false">VLOOKUP(D32,Festival_List!$A$2:$B$100,2,0)</f>
        <v>#N/A</v>
      </c>
      <c r="L32" s="0" t="n">
        <f aca="false">ROUND(((F32+G32)-(D32+E32))*24,0)</f>
        <v>23</v>
      </c>
      <c r="M32" s="0" t="n">
        <f aca="false">IF(OR(WEEKDAY(D32)=1,WEEKDAY(D32)=7),1,0)</f>
        <v>1</v>
      </c>
      <c r="N32" s="0" t="str">
        <f aca="false">IF(AND(MONTH(D32)&gt;=3,MONTH(D32)&lt;=6),"Summer",IF(AND(MONTH(D32)&gt;=7,MONTH(D32)&lt;=9),"Monsoon","Winter"))</f>
        <v>Winter</v>
      </c>
      <c r="O32" s="0" t="str">
        <f aca="false">IF(AND(L32&gt;=22,L32&lt;=25,E32&gt;=TIME(18,0,0)),"24H Night", IF(AND(L32&gt;=22,L32&lt;=25,E32&lt;TIME(18,0,0)),"24H Day", IF(AND(L32&gt;=11,L32&lt;=13,E32&gt;=TIME(18,0,0)),"12H Night", IF(AND(L32&gt;=11,L32&lt;=13,E32&lt;TIME(18,0,0)),"12H Day", IF(AND(L32&lt;10,E32&gt;=TIME(18,0,0)),"Couple Night", "Couple Day")))))</f>
        <v>24H Night</v>
      </c>
      <c r="P32" s="0" t="n">
        <f aca="false">WEEKDAY(D32,2)</f>
        <v>7</v>
      </c>
      <c r="Q32" s="0" t="n">
        <f aca="false">MONTH(D32)</f>
        <v>1</v>
      </c>
      <c r="R32" s="0" t="str">
        <f aca="false">"Q"&amp;ROUNDUP(MONTH(D32)/3,0)</f>
        <v>Q1</v>
      </c>
    </row>
    <row r="33" customFormat="false" ht="153.7" hidden="false" customHeight="false" outlineLevel="0" collapsed="false">
      <c r="A33" s="7" t="s">
        <v>140</v>
      </c>
      <c r="B33" s="7" t="s">
        <v>141</v>
      </c>
      <c r="C33" s="13" t="s">
        <v>142</v>
      </c>
      <c r="D33" s="11" t="n">
        <v>45313</v>
      </c>
      <c r="E33" s="12" t="n">
        <v>0.5</v>
      </c>
      <c r="F33" s="11" t="n">
        <v>45313</v>
      </c>
      <c r="G33" s="12" t="n">
        <v>0.75</v>
      </c>
      <c r="H33" s="10" t="n">
        <v>45313.5478369213</v>
      </c>
      <c r="I33" s="7" t="n">
        <v>2500</v>
      </c>
      <c r="J33" s="0" t="n">
        <f aca="false">IF(AND(D33&gt;=DATE(YEAR(D33),3,15),D33&lt;=DATE(YEAR(D33),6,10)),1,0)</f>
        <v>0</v>
      </c>
      <c r="K33" s="0" t="e">
        <f aca="false">VLOOKUP(D33,Festival_List!$A$2:$B$100,2,0)</f>
        <v>#N/A</v>
      </c>
      <c r="L33" s="0" t="n">
        <f aca="false">ROUND(((F33+G33)-(D33+E33))*24,0)</f>
        <v>6</v>
      </c>
      <c r="M33" s="0" t="n">
        <f aca="false">IF(OR(WEEKDAY(D33)=1,WEEKDAY(D33)=7),1,0)</f>
        <v>0</v>
      </c>
      <c r="N33" s="0" t="str">
        <f aca="false">IF(AND(MONTH(D33)&gt;=3,MONTH(D33)&lt;=6),"Summer",IF(AND(MONTH(D33)&gt;=7,MONTH(D33)&lt;=9),"Monsoon","Winter"))</f>
        <v>Winter</v>
      </c>
      <c r="O33" s="0" t="str">
        <f aca="false">IF(AND(L33&gt;=22,L33&lt;=25,E33&gt;=TIME(18,0,0)),"24H Night", IF(AND(L33&gt;=22,L33&lt;=25,E33&lt;TIME(18,0,0)),"24H Day", IF(AND(L33&gt;=11,L33&lt;=13,E33&gt;=TIME(18,0,0)),"12H Night", IF(AND(L33&gt;=11,L33&lt;=13,E33&lt;TIME(18,0,0)),"12H Day", IF(AND(L33&lt;10,E33&gt;=TIME(18,0,0)),"Couple Night", "Couple Day")))))</f>
        <v>Couple Day</v>
      </c>
      <c r="P33" s="0" t="n">
        <f aca="false">WEEKDAY(D33,2)</f>
        <v>1</v>
      </c>
      <c r="Q33" s="0" t="n">
        <f aca="false">MONTH(D33)</f>
        <v>1</v>
      </c>
      <c r="R33" s="0" t="str">
        <f aca="false">"Q"&amp;ROUNDUP(MONTH(D33)/3,0)</f>
        <v>Q1</v>
      </c>
    </row>
    <row r="34" customFormat="false" ht="90.25" hidden="false" customHeight="false" outlineLevel="0" collapsed="false">
      <c r="A34" s="7" t="s">
        <v>143</v>
      </c>
      <c r="B34" s="7" t="s">
        <v>99</v>
      </c>
      <c r="C34" s="13" t="s">
        <v>144</v>
      </c>
      <c r="D34" s="11" t="n">
        <v>45315</v>
      </c>
      <c r="E34" s="12" t="n">
        <v>0.25</v>
      </c>
      <c r="F34" s="11" t="n">
        <v>45315</v>
      </c>
      <c r="G34" s="12" t="n">
        <v>0.75</v>
      </c>
      <c r="H34" s="10" t="n">
        <v>45317.0154332176</v>
      </c>
      <c r="I34" s="7" t="n">
        <v>2200</v>
      </c>
      <c r="J34" s="0" t="n">
        <f aca="false">IF(AND(D34&gt;=DATE(YEAR(D34),3,15),D34&lt;=DATE(YEAR(D34),6,10)),1,0)</f>
        <v>0</v>
      </c>
      <c r="K34" s="0" t="e">
        <f aca="false">VLOOKUP(D34,Festival_List!$A$2:$B$100,2,0)</f>
        <v>#N/A</v>
      </c>
      <c r="L34" s="0" t="n">
        <f aca="false">ROUND(((F34+G34)-(D34+E34))*24,0)</f>
        <v>12</v>
      </c>
      <c r="M34" s="0" t="n">
        <f aca="false">IF(OR(WEEKDAY(D34)=1,WEEKDAY(D34)=7),1,0)</f>
        <v>0</v>
      </c>
      <c r="N34" s="0" t="str">
        <f aca="false">IF(AND(MONTH(D34)&gt;=3,MONTH(D34)&lt;=6),"Summer",IF(AND(MONTH(D34)&gt;=7,MONTH(D34)&lt;=9),"Monsoon","Winter"))</f>
        <v>Winter</v>
      </c>
      <c r="O34" s="0" t="str">
        <f aca="false">IF(AND(L34&gt;=22,L34&lt;=25,E34&gt;=TIME(18,0,0)),"24H Night", IF(AND(L34&gt;=22,L34&lt;=25,E34&lt;TIME(18,0,0)),"24H Day", IF(AND(L34&gt;=11,L34&lt;=13,E34&gt;=TIME(18,0,0)),"12H Night", IF(AND(L34&gt;=11,L34&lt;=13,E34&lt;TIME(18,0,0)),"12H Day", IF(AND(L34&lt;10,E34&gt;=TIME(18,0,0)),"Couple Night", "Couple Day")))))</f>
        <v>12H Day</v>
      </c>
      <c r="P34" s="0" t="n">
        <f aca="false">WEEKDAY(D34,2)</f>
        <v>3</v>
      </c>
      <c r="Q34" s="0" t="n">
        <f aca="false">MONTH(D34)</f>
        <v>1</v>
      </c>
      <c r="R34" s="0" t="str">
        <f aca="false">"Q"&amp;ROUNDUP(MONTH(D34)/3,0)</f>
        <v>Q1</v>
      </c>
    </row>
    <row r="35" customFormat="false" ht="102.95" hidden="false" customHeight="false" outlineLevel="0" collapsed="false">
      <c r="A35" s="7" t="s">
        <v>145</v>
      </c>
      <c r="B35" s="7" t="s">
        <v>146</v>
      </c>
      <c r="C35" s="13" t="s">
        <v>147</v>
      </c>
      <c r="D35" s="11" t="n">
        <v>45316</v>
      </c>
      <c r="E35" s="12" t="n">
        <v>0.375</v>
      </c>
      <c r="F35" s="11" t="n">
        <v>45316</v>
      </c>
      <c r="G35" s="12" t="n">
        <v>0.708333333299375</v>
      </c>
      <c r="H35" s="10" t="n">
        <v>45316.4219127315</v>
      </c>
      <c r="I35" s="7" t="n">
        <v>1500</v>
      </c>
      <c r="J35" s="0" t="n">
        <f aca="false">IF(AND(D35&gt;=DATE(YEAR(D35),3,15),D35&lt;=DATE(YEAR(D35),6,10)),1,0)</f>
        <v>0</v>
      </c>
      <c r="K35" s="0" t="e">
        <f aca="false">VLOOKUP(D35,Festival_List!$A$2:$B$100,2,0)</f>
        <v>#N/A</v>
      </c>
      <c r="L35" s="0" t="n">
        <f aca="false">ROUND(((F35+G35)-(D35+E35))*24,0)</f>
        <v>8</v>
      </c>
      <c r="M35" s="0" t="n">
        <f aca="false">IF(OR(WEEKDAY(D35)=1,WEEKDAY(D35)=7),1,0)</f>
        <v>0</v>
      </c>
      <c r="N35" s="0" t="str">
        <f aca="false">IF(AND(MONTH(D35)&gt;=3,MONTH(D35)&lt;=6),"Summer",IF(AND(MONTH(D35)&gt;=7,MONTH(D35)&lt;=9),"Monsoon","Winter"))</f>
        <v>Winter</v>
      </c>
      <c r="O35" s="0" t="str">
        <f aca="false">IF(AND(L35&gt;=22,L35&lt;=25,E35&gt;=TIME(18,0,0)),"24H Night", IF(AND(L35&gt;=22,L35&lt;=25,E35&lt;TIME(18,0,0)),"24H Day", IF(AND(L35&gt;=11,L35&lt;=13,E35&gt;=TIME(18,0,0)),"12H Night", IF(AND(L35&gt;=11,L35&lt;=13,E35&lt;TIME(18,0,0)),"12H Day", IF(AND(L35&lt;10,E35&gt;=TIME(18,0,0)),"Couple Night", "Couple Day")))))</f>
        <v>Couple Day</v>
      </c>
      <c r="P35" s="0" t="n">
        <f aca="false">WEEKDAY(D35,2)</f>
        <v>4</v>
      </c>
      <c r="Q35" s="0" t="n">
        <f aca="false">MONTH(D35)</f>
        <v>1</v>
      </c>
      <c r="R35" s="0" t="str">
        <f aca="false">"Q"&amp;ROUNDUP(MONTH(D35)/3,0)</f>
        <v>Q1</v>
      </c>
    </row>
    <row r="36" customFormat="false" ht="90.25" hidden="false" customHeight="false" outlineLevel="0" collapsed="false">
      <c r="A36" s="7" t="s">
        <v>148</v>
      </c>
      <c r="B36" s="7" t="s">
        <v>149</v>
      </c>
      <c r="C36" s="13" t="s">
        <v>150</v>
      </c>
      <c r="D36" s="11" t="n">
        <v>45317</v>
      </c>
      <c r="E36" s="12" t="n">
        <v>0.791666666700625</v>
      </c>
      <c r="F36" s="11" t="n">
        <v>45318</v>
      </c>
      <c r="G36" s="12" t="n">
        <v>0.75</v>
      </c>
      <c r="H36" s="10" t="n">
        <v>45745.402496875</v>
      </c>
      <c r="I36" s="7" t="n">
        <v>3500</v>
      </c>
      <c r="J36" s="0" t="n">
        <f aca="false">IF(AND(D36&gt;=DATE(YEAR(D36),3,15),D36&lt;=DATE(YEAR(D36),6,10)),1,0)</f>
        <v>0</v>
      </c>
      <c r="K36" s="0" t="str">
        <f aca="false">VLOOKUP(D36,Festival_List!$A$2:$B$100,2,0)</f>
        <v>Republic Day</v>
      </c>
      <c r="L36" s="0" t="n">
        <f aca="false">ROUND(((F36+G36)-(D36+E36))*24,0)</f>
        <v>23</v>
      </c>
      <c r="M36" s="0" t="n">
        <f aca="false">IF(OR(WEEKDAY(D36)=1,WEEKDAY(D36)=7),1,0)</f>
        <v>0</v>
      </c>
      <c r="N36" s="0" t="str">
        <f aca="false">IF(AND(MONTH(D36)&gt;=3,MONTH(D36)&lt;=6),"Summer",IF(AND(MONTH(D36)&gt;=7,MONTH(D36)&lt;=9),"Monsoon","Winter"))</f>
        <v>Winter</v>
      </c>
      <c r="O36" s="0" t="str">
        <f aca="false">IF(AND(L36&gt;=22,L36&lt;=25,E36&gt;=TIME(18,0,0)),"24H Night", IF(AND(L36&gt;=22,L36&lt;=25,E36&lt;TIME(18,0,0)),"24H Day", IF(AND(L36&gt;=11,L36&lt;=13,E36&gt;=TIME(18,0,0)),"12H Night", IF(AND(L36&gt;=11,L36&lt;=13,E36&lt;TIME(18,0,0)),"12H Day", IF(AND(L36&lt;10,E36&gt;=TIME(18,0,0)),"Couple Night", "Couple Day")))))</f>
        <v>24H Night</v>
      </c>
      <c r="P36" s="0" t="n">
        <f aca="false">WEEKDAY(D36,2)</f>
        <v>5</v>
      </c>
      <c r="Q36" s="0" t="n">
        <f aca="false">MONTH(D36)</f>
        <v>1</v>
      </c>
      <c r="R36" s="0" t="str">
        <f aca="false">"Q"&amp;ROUNDUP(MONTH(D36)/3,0)</f>
        <v>Q1</v>
      </c>
    </row>
    <row r="37" customFormat="false" ht="166.4" hidden="false" customHeight="false" outlineLevel="0" collapsed="false">
      <c r="A37" s="7" t="s">
        <v>151</v>
      </c>
      <c r="B37" s="7" t="s">
        <v>152</v>
      </c>
      <c r="C37" s="13" t="s">
        <v>153</v>
      </c>
      <c r="D37" s="11" t="n">
        <v>45318</v>
      </c>
      <c r="E37" s="12" t="n">
        <v>0.791666666700625</v>
      </c>
      <c r="F37" s="11" t="n">
        <v>45319</v>
      </c>
      <c r="G37" s="12" t="n">
        <v>0.75</v>
      </c>
      <c r="H37" s="10" t="n">
        <v>45745.4023800926</v>
      </c>
      <c r="I37" s="7" t="n">
        <v>6000</v>
      </c>
      <c r="J37" s="0" t="n">
        <f aca="false">IF(AND(D37&gt;=DATE(YEAR(D37),3,15),D37&lt;=DATE(YEAR(D37),6,10)),1,0)</f>
        <v>0</v>
      </c>
      <c r="K37" s="0" t="e">
        <f aca="false">VLOOKUP(D37,Festival_List!$A$2:$B$100,2,0)</f>
        <v>#N/A</v>
      </c>
      <c r="L37" s="0" t="n">
        <f aca="false">ROUND(((F37+G37)-(D37+E37))*24,0)</f>
        <v>23</v>
      </c>
      <c r="M37" s="0" t="n">
        <f aca="false">IF(OR(WEEKDAY(D37)=1,WEEKDAY(D37)=7),1,0)</f>
        <v>1</v>
      </c>
      <c r="N37" s="0" t="str">
        <f aca="false">IF(AND(MONTH(D37)&gt;=3,MONTH(D37)&lt;=6),"Summer",IF(AND(MONTH(D37)&gt;=7,MONTH(D37)&lt;=9),"Monsoon","Winter"))</f>
        <v>Winter</v>
      </c>
      <c r="O37" s="0" t="str">
        <f aca="false">IF(AND(L37&gt;=22,L37&lt;=25,E37&gt;=TIME(18,0,0)),"24H Night", IF(AND(L37&gt;=22,L37&lt;=25,E37&lt;TIME(18,0,0)),"24H Day", IF(AND(L37&gt;=11,L37&lt;=13,E37&gt;=TIME(18,0,0)),"12H Night", IF(AND(L37&gt;=11,L37&lt;=13,E37&lt;TIME(18,0,0)),"12H Day", IF(AND(L37&lt;10,E37&gt;=TIME(18,0,0)),"Couple Night", "Couple Day")))))</f>
        <v>24H Night</v>
      </c>
      <c r="P37" s="0" t="n">
        <f aca="false">WEEKDAY(D37,2)</f>
        <v>6</v>
      </c>
      <c r="Q37" s="0" t="n">
        <f aca="false">MONTH(D37)</f>
        <v>1</v>
      </c>
      <c r="R37" s="0" t="str">
        <f aca="false">"Q"&amp;ROUNDUP(MONTH(D37)/3,0)</f>
        <v>Q1</v>
      </c>
    </row>
    <row r="38" customFormat="false" ht="115.65" hidden="false" customHeight="false" outlineLevel="0" collapsed="false">
      <c r="A38" s="7" t="s">
        <v>154</v>
      </c>
      <c r="B38" s="7" t="s">
        <v>155</v>
      </c>
      <c r="C38" s="13" t="s">
        <v>156</v>
      </c>
      <c r="D38" s="11" t="n">
        <v>45321</v>
      </c>
      <c r="E38" s="12" t="n">
        <v>0.75</v>
      </c>
      <c r="F38" s="11" t="n">
        <v>45324</v>
      </c>
      <c r="G38" s="12" t="n">
        <v>0.75</v>
      </c>
      <c r="H38" s="10" t="n">
        <v>45321.9423570602</v>
      </c>
      <c r="I38" s="7" t="n">
        <v>8000</v>
      </c>
      <c r="J38" s="0" t="n">
        <f aca="false">IF(AND(D38&gt;=DATE(YEAR(D38),3,15),D38&lt;=DATE(YEAR(D38),6,10)),1,0)</f>
        <v>0</v>
      </c>
      <c r="K38" s="0" t="e">
        <f aca="false">VLOOKUP(D38,Festival_List!$A$2:$B$100,2,0)</f>
        <v>#N/A</v>
      </c>
      <c r="L38" s="0" t="n">
        <f aca="false">ROUND(((F38+G38)-(D38+E38))*24,0)</f>
        <v>72</v>
      </c>
      <c r="M38" s="0" t="n">
        <f aca="false">IF(OR(WEEKDAY(D38)=1,WEEKDAY(D38)=7),1,0)</f>
        <v>0</v>
      </c>
      <c r="N38" s="0" t="str">
        <f aca="false">IF(AND(MONTH(D38)&gt;=3,MONTH(D38)&lt;=6),"Summer",IF(AND(MONTH(D38)&gt;=7,MONTH(D38)&lt;=9),"Monsoon","Winter"))</f>
        <v>Winter</v>
      </c>
      <c r="O38" s="0" t="str">
        <f aca="false">IF(AND(L38&gt;=22,L38&lt;=25,E38&gt;=TIME(18,0,0)),"24H Night", IF(AND(L38&gt;=22,L38&lt;=25,E38&lt;TIME(18,0,0)),"24H Day", IF(AND(L38&gt;=11,L38&lt;=13,E38&gt;=TIME(18,0,0)),"12H Night", IF(AND(L38&gt;=11,L38&lt;=13,E38&lt;TIME(18,0,0)),"12H Day", IF(AND(L38&lt;10,E38&gt;=TIME(18,0,0)),"Couple Night", "Couple Day")))))</f>
        <v>Couple Day</v>
      </c>
      <c r="P38" s="0" t="n">
        <f aca="false">WEEKDAY(D38,2)</f>
        <v>2</v>
      </c>
      <c r="Q38" s="0" t="n">
        <f aca="false">MONTH(D38)</f>
        <v>1</v>
      </c>
      <c r="R38" s="0" t="str">
        <f aca="false">"Q"&amp;ROUNDUP(MONTH(D38)/3,0)</f>
        <v>Q1</v>
      </c>
    </row>
    <row r="39" customFormat="false" ht="26.85" hidden="false" customHeight="false" outlineLevel="0" collapsed="false">
      <c r="A39" s="7" t="s">
        <v>157</v>
      </c>
      <c r="B39" s="7" t="s">
        <v>158</v>
      </c>
      <c r="C39" s="13" t="s">
        <v>159</v>
      </c>
      <c r="D39" s="11" t="n">
        <v>45324</v>
      </c>
      <c r="E39" s="12" t="n">
        <v>0.791666666700625</v>
      </c>
      <c r="F39" s="11" t="n">
        <v>45325</v>
      </c>
      <c r="G39" s="12" t="n">
        <v>0.75</v>
      </c>
      <c r="H39" s="10" t="n">
        <v>45745.4026081019</v>
      </c>
      <c r="I39" s="7" t="n">
        <v>0</v>
      </c>
      <c r="J39" s="0" t="n">
        <f aca="false">IF(AND(D39&gt;=DATE(YEAR(D39),3,15),D39&lt;=DATE(YEAR(D39),6,10)),1,0)</f>
        <v>0</v>
      </c>
      <c r="K39" s="0" t="e">
        <f aca="false">VLOOKUP(D39,Festival_List!$A$2:$B$100,2,0)</f>
        <v>#N/A</v>
      </c>
      <c r="L39" s="0" t="n">
        <f aca="false">ROUND(((F39+G39)-(D39+E39))*24,0)</f>
        <v>23</v>
      </c>
      <c r="M39" s="0" t="n">
        <f aca="false">IF(OR(WEEKDAY(D39)=1,WEEKDAY(D39)=7),1,0)</f>
        <v>0</v>
      </c>
      <c r="N39" s="0" t="str">
        <f aca="false">IF(AND(MONTH(D39)&gt;=3,MONTH(D39)&lt;=6),"Summer",IF(AND(MONTH(D39)&gt;=7,MONTH(D39)&lt;=9),"Monsoon","Winter"))</f>
        <v>Winter</v>
      </c>
      <c r="O39" s="0" t="str">
        <f aca="false">IF(AND(L39&gt;=22,L39&lt;=25,E39&gt;=TIME(18,0,0)),"24H Night", IF(AND(L39&gt;=22,L39&lt;=25,E39&lt;TIME(18,0,0)),"24H Day", IF(AND(L39&gt;=11,L39&lt;=13,E39&gt;=TIME(18,0,0)),"12H Night", IF(AND(L39&gt;=11,L39&lt;=13,E39&lt;TIME(18,0,0)),"12H Day", IF(AND(L39&lt;10,E39&gt;=TIME(18,0,0)),"Couple Night", "Couple Day")))))</f>
        <v>24H Night</v>
      </c>
      <c r="P39" s="0" t="n">
        <f aca="false">WEEKDAY(D39,2)</f>
        <v>5</v>
      </c>
      <c r="Q39" s="0" t="n">
        <f aca="false">MONTH(D39)</f>
        <v>2</v>
      </c>
      <c r="R39" s="0" t="str">
        <f aca="false">"Q"&amp;ROUNDUP(MONTH(D39)/3,0)</f>
        <v>Q1</v>
      </c>
    </row>
    <row r="40" customFormat="false" ht="102.95" hidden="false" customHeight="false" outlineLevel="0" collapsed="false">
      <c r="A40" s="7" t="s">
        <v>160</v>
      </c>
      <c r="B40" s="7" t="s">
        <v>161</v>
      </c>
      <c r="C40" s="13" t="s">
        <v>162</v>
      </c>
      <c r="D40" s="11" t="n">
        <v>45325</v>
      </c>
      <c r="E40" s="12" t="n">
        <v>0.833333333299375</v>
      </c>
      <c r="F40" s="11" t="n">
        <v>45326</v>
      </c>
      <c r="G40" s="12" t="n">
        <v>0.333333333299375</v>
      </c>
      <c r="H40" s="10" t="n">
        <v>45745.4070420139</v>
      </c>
      <c r="I40" s="7" t="n">
        <v>3000</v>
      </c>
      <c r="J40" s="0" t="n">
        <f aca="false">IF(AND(D40&gt;=DATE(YEAR(D40),3,15),D40&lt;=DATE(YEAR(D40),6,10)),1,0)</f>
        <v>0</v>
      </c>
      <c r="K40" s="0" t="e">
        <f aca="false">VLOOKUP(D40,Festival_List!$A$2:$B$100,2,0)</f>
        <v>#N/A</v>
      </c>
      <c r="L40" s="0" t="n">
        <f aca="false">ROUND(((F40+G40)-(D40+E40))*24,0)</f>
        <v>12</v>
      </c>
      <c r="M40" s="0" t="n">
        <f aca="false">IF(OR(WEEKDAY(D40)=1,WEEKDAY(D40)=7),1,0)</f>
        <v>1</v>
      </c>
      <c r="N40" s="0" t="str">
        <f aca="false">IF(AND(MONTH(D40)&gt;=3,MONTH(D40)&lt;=6),"Summer",IF(AND(MONTH(D40)&gt;=7,MONTH(D40)&lt;=9),"Monsoon","Winter"))</f>
        <v>Winter</v>
      </c>
      <c r="O40" s="0" t="str">
        <f aca="false">IF(AND(L40&gt;=22,L40&lt;=25,E40&gt;=TIME(18,0,0)),"24H Night", IF(AND(L40&gt;=22,L40&lt;=25,E40&lt;TIME(18,0,0)),"24H Day", IF(AND(L40&gt;=11,L40&lt;=13,E40&gt;=TIME(18,0,0)),"12H Night", IF(AND(L40&gt;=11,L40&lt;=13,E40&lt;TIME(18,0,0)),"12H Day", IF(AND(L40&lt;10,E40&gt;=TIME(18,0,0)),"Couple Night", "Couple Day")))))</f>
        <v>12H Night</v>
      </c>
      <c r="P40" s="0" t="n">
        <f aca="false">WEEKDAY(D40,2)</f>
        <v>6</v>
      </c>
      <c r="Q40" s="0" t="n">
        <f aca="false">MONTH(D40)</f>
        <v>2</v>
      </c>
      <c r="R40" s="0" t="str">
        <f aca="false">"Q"&amp;ROUNDUP(MONTH(D40)/3,0)</f>
        <v>Q1</v>
      </c>
    </row>
    <row r="41" customFormat="false" ht="141" hidden="false" customHeight="false" outlineLevel="0" collapsed="false">
      <c r="A41" s="7" t="s">
        <v>163</v>
      </c>
      <c r="B41" s="7" t="s">
        <v>164</v>
      </c>
      <c r="C41" s="13" t="s">
        <v>165</v>
      </c>
      <c r="D41" s="11" t="n">
        <v>45326</v>
      </c>
      <c r="E41" s="12" t="n">
        <v>0.416666666700625</v>
      </c>
      <c r="F41" s="11" t="n">
        <v>45326</v>
      </c>
      <c r="G41" s="12" t="n">
        <v>0.916666666700625</v>
      </c>
      <c r="H41" s="10" t="n">
        <v>45326.4037476852</v>
      </c>
      <c r="I41" s="7" t="n">
        <v>3300</v>
      </c>
      <c r="J41" s="0" t="n">
        <f aca="false">IF(AND(D41&gt;=DATE(YEAR(D41),3,15),D41&lt;=DATE(YEAR(D41),6,10)),1,0)</f>
        <v>0</v>
      </c>
      <c r="K41" s="0" t="e">
        <f aca="false">VLOOKUP(D41,Festival_List!$A$2:$B$100,2,0)</f>
        <v>#N/A</v>
      </c>
      <c r="L41" s="0" t="n">
        <f aca="false">ROUND(((F41+G41)-(D41+E41))*24,0)</f>
        <v>12</v>
      </c>
      <c r="M41" s="0" t="n">
        <f aca="false">IF(OR(WEEKDAY(D41)=1,WEEKDAY(D41)=7),1,0)</f>
        <v>1</v>
      </c>
      <c r="N41" s="0" t="str">
        <f aca="false">IF(AND(MONTH(D41)&gt;=3,MONTH(D41)&lt;=6),"Summer",IF(AND(MONTH(D41)&gt;=7,MONTH(D41)&lt;=9),"Monsoon","Winter"))</f>
        <v>Winter</v>
      </c>
      <c r="O41" s="0" t="str">
        <f aca="false">IF(AND(L41&gt;=22,L41&lt;=25,E41&gt;=TIME(18,0,0)),"24H Night", IF(AND(L41&gt;=22,L41&lt;=25,E41&lt;TIME(18,0,0)),"24H Day", IF(AND(L41&gt;=11,L41&lt;=13,E41&gt;=TIME(18,0,0)),"12H Night", IF(AND(L41&gt;=11,L41&lt;=13,E41&lt;TIME(18,0,0)),"12H Day", IF(AND(L41&lt;10,E41&gt;=TIME(18,0,0)),"Couple Night", "Couple Day")))))</f>
        <v>12H Day</v>
      </c>
      <c r="P41" s="0" t="n">
        <f aca="false">WEEKDAY(D41,2)</f>
        <v>7</v>
      </c>
      <c r="Q41" s="0" t="n">
        <f aca="false">MONTH(D41)</f>
        <v>2</v>
      </c>
      <c r="R41" s="0" t="str">
        <f aca="false">"Q"&amp;ROUNDUP(MONTH(D41)/3,0)</f>
        <v>Q1</v>
      </c>
    </row>
    <row r="42" customFormat="false" ht="77.6" hidden="false" customHeight="false" outlineLevel="0" collapsed="false">
      <c r="A42" s="7" t="s">
        <v>166</v>
      </c>
      <c r="B42" s="7" t="s">
        <v>167</v>
      </c>
      <c r="C42" s="13" t="s">
        <v>168</v>
      </c>
      <c r="D42" s="11" t="n">
        <v>45328</v>
      </c>
      <c r="E42" s="12" t="n">
        <v>0.333333333299375</v>
      </c>
      <c r="F42" s="11" t="n">
        <v>45328</v>
      </c>
      <c r="G42" s="12" t="n">
        <v>0.833333333299375</v>
      </c>
      <c r="H42" s="10" t="n">
        <v>45328.4473443287</v>
      </c>
      <c r="I42" s="7" t="n">
        <v>2500</v>
      </c>
      <c r="J42" s="0" t="n">
        <f aca="false">IF(AND(D42&gt;=DATE(YEAR(D42),3,15),D42&lt;=DATE(YEAR(D42),6,10)),1,0)</f>
        <v>0</v>
      </c>
      <c r="K42" s="0" t="e">
        <f aca="false">VLOOKUP(D42,Festival_List!$A$2:$B$100,2,0)</f>
        <v>#N/A</v>
      </c>
      <c r="L42" s="0" t="n">
        <f aca="false">ROUND(((F42+G42)-(D42+E42))*24,0)</f>
        <v>12</v>
      </c>
      <c r="M42" s="0" t="n">
        <f aca="false">IF(OR(WEEKDAY(D42)=1,WEEKDAY(D42)=7),1,0)</f>
        <v>0</v>
      </c>
      <c r="N42" s="0" t="str">
        <f aca="false">IF(AND(MONTH(D42)&gt;=3,MONTH(D42)&lt;=6),"Summer",IF(AND(MONTH(D42)&gt;=7,MONTH(D42)&lt;=9),"Monsoon","Winter"))</f>
        <v>Winter</v>
      </c>
      <c r="O42" s="0" t="str">
        <f aca="false">IF(AND(L42&gt;=22,L42&lt;=25,E42&gt;=TIME(18,0,0)),"24H Night", IF(AND(L42&gt;=22,L42&lt;=25,E42&lt;TIME(18,0,0)),"24H Day", IF(AND(L42&gt;=11,L42&lt;=13,E42&gt;=TIME(18,0,0)),"12H Night", IF(AND(L42&gt;=11,L42&lt;=13,E42&lt;TIME(18,0,0)),"12H Day", IF(AND(L42&lt;10,E42&gt;=TIME(18,0,0)),"Couple Night", "Couple Day")))))</f>
        <v>12H Day</v>
      </c>
      <c r="P42" s="0" t="n">
        <f aca="false">WEEKDAY(D42,2)</f>
        <v>2</v>
      </c>
      <c r="Q42" s="0" t="n">
        <f aca="false">MONTH(D42)</f>
        <v>2</v>
      </c>
      <c r="R42" s="0" t="str">
        <f aca="false">"Q"&amp;ROUNDUP(MONTH(D42)/3,0)</f>
        <v>Q1</v>
      </c>
    </row>
    <row r="43" customFormat="false" ht="102.95" hidden="false" customHeight="false" outlineLevel="0" collapsed="false">
      <c r="A43" s="7" t="s">
        <v>169</v>
      </c>
      <c r="B43" s="7" t="s">
        <v>170</v>
      </c>
      <c r="C43" s="13" t="s">
        <v>171</v>
      </c>
      <c r="D43" s="11" t="n">
        <v>45328</v>
      </c>
      <c r="E43" s="12" t="n">
        <v>0.875</v>
      </c>
      <c r="F43" s="11" t="n">
        <v>45329</v>
      </c>
      <c r="G43" s="12" t="n">
        <v>0.354166666700625</v>
      </c>
      <c r="H43" s="10" t="n">
        <v>45330.4061548611</v>
      </c>
      <c r="I43" s="7" t="n">
        <v>2200</v>
      </c>
      <c r="J43" s="0" t="n">
        <f aca="false">IF(AND(D43&gt;=DATE(YEAR(D43),3,15),D43&lt;=DATE(YEAR(D43),6,10)),1,0)</f>
        <v>0</v>
      </c>
      <c r="K43" s="0" t="e">
        <f aca="false">VLOOKUP(D43,Festival_List!$A$2:$B$100,2,0)</f>
        <v>#N/A</v>
      </c>
      <c r="L43" s="0" t="n">
        <f aca="false">ROUND(((F43+G43)-(D43+E43))*24,0)</f>
        <v>12</v>
      </c>
      <c r="M43" s="0" t="n">
        <f aca="false">IF(OR(WEEKDAY(D43)=1,WEEKDAY(D43)=7),1,0)</f>
        <v>0</v>
      </c>
      <c r="N43" s="0" t="str">
        <f aca="false">IF(AND(MONTH(D43)&gt;=3,MONTH(D43)&lt;=6),"Summer",IF(AND(MONTH(D43)&gt;=7,MONTH(D43)&lt;=9),"Monsoon","Winter"))</f>
        <v>Winter</v>
      </c>
      <c r="O43" s="0" t="str">
        <f aca="false">IF(AND(L43&gt;=22,L43&lt;=25,E43&gt;=TIME(18,0,0)),"24H Night", IF(AND(L43&gt;=22,L43&lt;=25,E43&lt;TIME(18,0,0)),"24H Day", IF(AND(L43&gt;=11,L43&lt;=13,E43&gt;=TIME(18,0,0)),"12H Night", IF(AND(L43&gt;=11,L43&lt;=13,E43&lt;TIME(18,0,0)),"12H Day", IF(AND(L43&lt;10,E43&gt;=TIME(18,0,0)),"Couple Night", "Couple Day")))))</f>
        <v>12H Night</v>
      </c>
      <c r="P43" s="0" t="n">
        <f aca="false">WEEKDAY(D43,2)</f>
        <v>2</v>
      </c>
      <c r="Q43" s="0" t="n">
        <f aca="false">MONTH(D43)</f>
        <v>2</v>
      </c>
      <c r="R43" s="0" t="str">
        <f aca="false">"Q"&amp;ROUNDUP(MONTH(D43)/3,0)</f>
        <v>Q1</v>
      </c>
    </row>
    <row r="44" customFormat="false" ht="128.35" hidden="false" customHeight="false" outlineLevel="0" collapsed="false">
      <c r="A44" s="7" t="s">
        <v>172</v>
      </c>
      <c r="B44" s="7" t="s">
        <v>173</v>
      </c>
      <c r="C44" s="13" t="s">
        <v>174</v>
      </c>
      <c r="D44" s="11" t="n">
        <v>45329</v>
      </c>
      <c r="E44" s="12" t="n">
        <v>0.520833333299375</v>
      </c>
      <c r="F44" s="11" t="n">
        <v>45329</v>
      </c>
      <c r="G44" s="12" t="n">
        <v>0.666666666700625</v>
      </c>
      <c r="H44" s="10" t="n">
        <v>45330.4060596065</v>
      </c>
      <c r="I44" s="7" t="n">
        <v>2000</v>
      </c>
      <c r="J44" s="0" t="n">
        <f aca="false">IF(AND(D44&gt;=DATE(YEAR(D44),3,15),D44&lt;=DATE(YEAR(D44),6,10)),1,0)</f>
        <v>0</v>
      </c>
      <c r="K44" s="0" t="e">
        <f aca="false">VLOOKUP(D44,Festival_List!$A$2:$B$100,2,0)</f>
        <v>#N/A</v>
      </c>
      <c r="L44" s="0" t="n">
        <f aca="false">ROUND(((F44+G44)-(D44+E44))*24,0)</f>
        <v>4</v>
      </c>
      <c r="M44" s="0" t="n">
        <f aca="false">IF(OR(WEEKDAY(D44)=1,WEEKDAY(D44)=7),1,0)</f>
        <v>0</v>
      </c>
      <c r="N44" s="0" t="str">
        <f aca="false">IF(AND(MONTH(D44)&gt;=3,MONTH(D44)&lt;=6),"Summer",IF(AND(MONTH(D44)&gt;=7,MONTH(D44)&lt;=9),"Monsoon","Winter"))</f>
        <v>Winter</v>
      </c>
      <c r="O44" s="0" t="str">
        <f aca="false">IF(AND(L44&gt;=22,L44&lt;=25,E44&gt;=TIME(18,0,0)),"24H Night", IF(AND(L44&gt;=22,L44&lt;=25,E44&lt;TIME(18,0,0)),"24H Day", IF(AND(L44&gt;=11,L44&lt;=13,E44&gt;=TIME(18,0,0)),"12H Night", IF(AND(L44&gt;=11,L44&lt;=13,E44&lt;TIME(18,0,0)),"12H Day", IF(AND(L44&lt;10,E44&gt;=TIME(18,0,0)),"Couple Night", "Couple Day")))))</f>
        <v>Couple Day</v>
      </c>
      <c r="P44" s="0" t="n">
        <f aca="false">WEEKDAY(D44,2)</f>
        <v>3</v>
      </c>
      <c r="Q44" s="0" t="n">
        <f aca="false">MONTH(D44)</f>
        <v>2</v>
      </c>
      <c r="R44" s="0" t="str">
        <f aca="false">"Q"&amp;ROUNDUP(MONTH(D44)/3,0)</f>
        <v>Q1</v>
      </c>
    </row>
    <row r="45" customFormat="false" ht="90.25" hidden="false" customHeight="false" outlineLevel="0" collapsed="false">
      <c r="A45" s="7" t="s">
        <v>175</v>
      </c>
      <c r="B45" s="7" t="s">
        <v>176</v>
      </c>
      <c r="C45" s="13" t="s">
        <v>177</v>
      </c>
      <c r="D45" s="11" t="n">
        <v>45330</v>
      </c>
      <c r="E45" s="12" t="n">
        <v>0.375</v>
      </c>
      <c r="F45" s="11" t="n">
        <v>45330</v>
      </c>
      <c r="G45" s="12" t="n">
        <v>0.625</v>
      </c>
      <c r="H45" s="10" t="n">
        <v>45330.4059059028</v>
      </c>
      <c r="I45" s="7" t="n">
        <v>2000</v>
      </c>
      <c r="J45" s="0" t="n">
        <f aca="false">IF(AND(D45&gt;=DATE(YEAR(D45),3,15),D45&lt;=DATE(YEAR(D45),6,10)),1,0)</f>
        <v>0</v>
      </c>
      <c r="K45" s="0" t="e">
        <f aca="false">VLOOKUP(D45,Festival_List!$A$2:$B$100,2,0)</f>
        <v>#N/A</v>
      </c>
      <c r="L45" s="0" t="n">
        <f aca="false">ROUND(((F45+G45)-(D45+E45))*24,0)</f>
        <v>6</v>
      </c>
      <c r="M45" s="0" t="n">
        <f aca="false">IF(OR(WEEKDAY(D45)=1,WEEKDAY(D45)=7),1,0)</f>
        <v>0</v>
      </c>
      <c r="N45" s="0" t="str">
        <f aca="false">IF(AND(MONTH(D45)&gt;=3,MONTH(D45)&lt;=6),"Summer",IF(AND(MONTH(D45)&gt;=7,MONTH(D45)&lt;=9),"Monsoon","Winter"))</f>
        <v>Winter</v>
      </c>
      <c r="O45" s="0" t="str">
        <f aca="false">IF(AND(L45&gt;=22,L45&lt;=25,E45&gt;=TIME(18,0,0)),"24H Night", IF(AND(L45&gt;=22,L45&lt;=25,E45&lt;TIME(18,0,0)),"24H Day", IF(AND(L45&gt;=11,L45&lt;=13,E45&gt;=TIME(18,0,0)),"12H Night", IF(AND(L45&gt;=11,L45&lt;=13,E45&lt;TIME(18,0,0)),"12H Day", IF(AND(L45&lt;10,E45&gt;=TIME(18,0,0)),"Couple Night", "Couple Day")))))</f>
        <v>Couple Day</v>
      </c>
      <c r="P45" s="0" t="n">
        <f aca="false">WEEKDAY(D45,2)</f>
        <v>4</v>
      </c>
      <c r="Q45" s="0" t="n">
        <f aca="false">MONTH(D45)</f>
        <v>2</v>
      </c>
      <c r="R45" s="0" t="str">
        <f aca="false">"Q"&amp;ROUNDUP(MONTH(D45)/3,0)</f>
        <v>Q1</v>
      </c>
    </row>
    <row r="46" customFormat="false" ht="115.65" hidden="false" customHeight="false" outlineLevel="0" collapsed="false">
      <c r="A46" s="7" t="s">
        <v>178</v>
      </c>
      <c r="B46" s="7" t="s">
        <v>179</v>
      </c>
      <c r="C46" s="13" t="s">
        <v>180</v>
      </c>
      <c r="D46" s="11" t="n">
        <v>45331</v>
      </c>
      <c r="E46" s="12" t="n">
        <v>0.333333333299375</v>
      </c>
      <c r="F46" s="11" t="n">
        <v>45331</v>
      </c>
      <c r="G46" s="12" t="n">
        <v>0.708333333299375</v>
      </c>
      <c r="H46" s="10" t="n">
        <v>45330.7591900463</v>
      </c>
      <c r="I46" s="7" t="n">
        <v>2000</v>
      </c>
      <c r="J46" s="0" t="n">
        <f aca="false">IF(AND(D46&gt;=DATE(YEAR(D46),3,15),D46&lt;=DATE(YEAR(D46),6,10)),1,0)</f>
        <v>0</v>
      </c>
      <c r="K46" s="0" t="e">
        <f aca="false">VLOOKUP(D46,Festival_List!$A$2:$B$100,2,0)</f>
        <v>#N/A</v>
      </c>
      <c r="L46" s="0" t="n">
        <f aca="false">ROUND(((F46+G46)-(D46+E46))*24,0)</f>
        <v>9</v>
      </c>
      <c r="M46" s="0" t="n">
        <f aca="false">IF(OR(WEEKDAY(D46)=1,WEEKDAY(D46)=7),1,0)</f>
        <v>0</v>
      </c>
      <c r="N46" s="0" t="str">
        <f aca="false">IF(AND(MONTH(D46)&gt;=3,MONTH(D46)&lt;=6),"Summer",IF(AND(MONTH(D46)&gt;=7,MONTH(D46)&lt;=9),"Monsoon","Winter"))</f>
        <v>Winter</v>
      </c>
      <c r="O46" s="0" t="str">
        <f aca="false">IF(AND(L46&gt;=22,L46&lt;=25,E46&gt;=TIME(18,0,0)),"24H Night", IF(AND(L46&gt;=22,L46&lt;=25,E46&lt;TIME(18,0,0)),"24H Day", IF(AND(L46&gt;=11,L46&lt;=13,E46&gt;=TIME(18,0,0)),"12H Night", IF(AND(L46&gt;=11,L46&lt;=13,E46&lt;TIME(18,0,0)),"12H Day", IF(AND(L46&lt;10,E46&gt;=TIME(18,0,0)),"Couple Night", "Couple Day")))))</f>
        <v>Couple Day</v>
      </c>
      <c r="P46" s="0" t="n">
        <f aca="false">WEEKDAY(D46,2)</f>
        <v>5</v>
      </c>
      <c r="Q46" s="0" t="n">
        <f aca="false">MONTH(D46)</f>
        <v>2</v>
      </c>
      <c r="R46" s="0" t="str">
        <f aca="false">"Q"&amp;ROUNDUP(MONTH(D46)/3,0)</f>
        <v>Q1</v>
      </c>
    </row>
    <row r="47" customFormat="false" ht="90.25" hidden="false" customHeight="false" outlineLevel="0" collapsed="false">
      <c r="A47" s="7" t="s">
        <v>181</v>
      </c>
      <c r="B47" s="7" t="s">
        <v>182</v>
      </c>
      <c r="C47" s="13" t="s">
        <v>183</v>
      </c>
      <c r="D47" s="11" t="n">
        <v>45332</v>
      </c>
      <c r="E47" s="12" t="n">
        <v>0.791666666700625</v>
      </c>
      <c r="F47" s="11" t="n">
        <v>45333</v>
      </c>
      <c r="G47" s="12" t="n">
        <v>0.75</v>
      </c>
      <c r="H47" s="10" t="n">
        <v>45745.4077912037</v>
      </c>
      <c r="I47" s="7" t="n">
        <v>4500</v>
      </c>
      <c r="J47" s="0" t="n">
        <f aca="false">IF(AND(D47&gt;=DATE(YEAR(D47),3,15),D47&lt;=DATE(YEAR(D47),6,10)),1,0)</f>
        <v>0</v>
      </c>
      <c r="K47" s="0" t="e">
        <f aca="false">VLOOKUP(D47,Festival_List!$A$2:$B$100,2,0)</f>
        <v>#N/A</v>
      </c>
      <c r="L47" s="0" t="n">
        <f aca="false">ROUND(((F47+G47)-(D47+E47))*24,0)</f>
        <v>23</v>
      </c>
      <c r="M47" s="0" t="n">
        <f aca="false">IF(OR(WEEKDAY(D47)=1,WEEKDAY(D47)=7),1,0)</f>
        <v>1</v>
      </c>
      <c r="N47" s="0" t="str">
        <f aca="false">IF(AND(MONTH(D47)&gt;=3,MONTH(D47)&lt;=6),"Summer",IF(AND(MONTH(D47)&gt;=7,MONTH(D47)&lt;=9),"Monsoon","Winter"))</f>
        <v>Winter</v>
      </c>
      <c r="O47" s="0" t="str">
        <f aca="false">IF(AND(L47&gt;=22,L47&lt;=25,E47&gt;=TIME(18,0,0)),"24H Night", IF(AND(L47&gt;=22,L47&lt;=25,E47&lt;TIME(18,0,0)),"24H Day", IF(AND(L47&gt;=11,L47&lt;=13,E47&gt;=TIME(18,0,0)),"12H Night", IF(AND(L47&gt;=11,L47&lt;=13,E47&lt;TIME(18,0,0)),"12H Day", IF(AND(L47&lt;10,E47&gt;=TIME(18,0,0)),"Couple Night", "Couple Day")))))</f>
        <v>24H Night</v>
      </c>
      <c r="P47" s="0" t="n">
        <f aca="false">WEEKDAY(D47,2)</f>
        <v>6</v>
      </c>
      <c r="Q47" s="0" t="n">
        <f aca="false">MONTH(D47)</f>
        <v>2</v>
      </c>
      <c r="R47" s="0" t="str">
        <f aca="false">"Q"&amp;ROUNDUP(MONTH(D47)/3,0)</f>
        <v>Q1</v>
      </c>
    </row>
    <row r="48" customFormat="false" ht="13.8" hidden="false" customHeight="false" outlineLevel="0" collapsed="false">
      <c r="A48" s="7" t="s">
        <v>184</v>
      </c>
      <c r="B48" s="7" t="s">
        <v>185</v>
      </c>
      <c r="C48" s="7" t="s">
        <v>186</v>
      </c>
      <c r="D48" s="11" t="n">
        <v>45334</v>
      </c>
      <c r="E48" s="12" t="n">
        <v>0.791666666700625</v>
      </c>
      <c r="F48" s="11" t="n">
        <v>45336</v>
      </c>
      <c r="G48" s="12" t="n">
        <v>0.75</v>
      </c>
      <c r="H48" s="10" t="n">
        <v>45745.4093042824</v>
      </c>
      <c r="I48" s="7" t="n">
        <v>7000</v>
      </c>
      <c r="J48" s="0" t="n">
        <f aca="false">IF(AND(D48&gt;=DATE(YEAR(D48),3,15),D48&lt;=DATE(YEAR(D48),6,10)),1,0)</f>
        <v>0</v>
      </c>
      <c r="K48" s="0" t="e">
        <f aca="false">VLOOKUP(D48,Festival_List!$A$2:$B$100,2,0)</f>
        <v>#N/A</v>
      </c>
      <c r="L48" s="0" t="n">
        <f aca="false">ROUND(((F48+G48)-(D48+E48))*24,0)</f>
        <v>47</v>
      </c>
      <c r="M48" s="0" t="n">
        <f aca="false">IF(OR(WEEKDAY(D48)=1,WEEKDAY(D48)=7),1,0)</f>
        <v>0</v>
      </c>
      <c r="N48" s="0" t="str">
        <f aca="false">IF(AND(MONTH(D48)&gt;=3,MONTH(D48)&lt;=6),"Summer",IF(AND(MONTH(D48)&gt;=7,MONTH(D48)&lt;=9),"Monsoon","Winter"))</f>
        <v>Winter</v>
      </c>
      <c r="O48" s="0" t="str">
        <f aca="false">IF(AND(L48&gt;=22,L48&lt;=25,E48&gt;=TIME(18,0,0)),"24H Night", IF(AND(L48&gt;=22,L48&lt;=25,E48&lt;TIME(18,0,0)),"24H Day", IF(AND(L48&gt;=11,L48&lt;=13,E48&gt;=TIME(18,0,0)),"12H Night", IF(AND(L48&gt;=11,L48&lt;=13,E48&lt;TIME(18,0,0)),"12H Day", IF(AND(L48&lt;10,E48&gt;=TIME(18,0,0)),"Couple Night", "Couple Day")))))</f>
        <v>Couple Day</v>
      </c>
      <c r="P48" s="0" t="n">
        <f aca="false">WEEKDAY(D48,2)</f>
        <v>1</v>
      </c>
      <c r="Q48" s="0" t="n">
        <f aca="false">MONTH(D48)</f>
        <v>2</v>
      </c>
      <c r="R48" s="0" t="str">
        <f aca="false">"Q"&amp;ROUNDUP(MONTH(D48)/3,0)</f>
        <v>Q1</v>
      </c>
    </row>
    <row r="49" customFormat="false" ht="128.35" hidden="false" customHeight="false" outlineLevel="0" collapsed="false">
      <c r="A49" s="7" t="s">
        <v>187</v>
      </c>
      <c r="B49" s="7" t="s">
        <v>188</v>
      </c>
      <c r="C49" s="13" t="s">
        <v>189</v>
      </c>
      <c r="D49" s="11" t="n">
        <v>45337</v>
      </c>
      <c r="E49" s="12" t="n">
        <v>0.25</v>
      </c>
      <c r="F49" s="11" t="n">
        <v>45337</v>
      </c>
      <c r="G49" s="12" t="n">
        <v>0.75</v>
      </c>
      <c r="H49" s="10" t="n">
        <v>45337.3890451389</v>
      </c>
      <c r="I49" s="7" t="n">
        <v>2500</v>
      </c>
      <c r="J49" s="0" t="n">
        <f aca="false">IF(AND(D49&gt;=DATE(YEAR(D49),3,15),D49&lt;=DATE(YEAR(D49),6,10)),1,0)</f>
        <v>0</v>
      </c>
      <c r="K49" s="0" t="e">
        <f aca="false">VLOOKUP(D49,Festival_List!$A$2:$B$100,2,0)</f>
        <v>#N/A</v>
      </c>
      <c r="L49" s="0" t="n">
        <f aca="false">ROUND(((F49+G49)-(D49+E49))*24,0)</f>
        <v>12</v>
      </c>
      <c r="M49" s="0" t="n">
        <f aca="false">IF(OR(WEEKDAY(D49)=1,WEEKDAY(D49)=7),1,0)</f>
        <v>0</v>
      </c>
      <c r="N49" s="0" t="str">
        <f aca="false">IF(AND(MONTH(D49)&gt;=3,MONTH(D49)&lt;=6),"Summer",IF(AND(MONTH(D49)&gt;=7,MONTH(D49)&lt;=9),"Monsoon","Winter"))</f>
        <v>Winter</v>
      </c>
      <c r="O49" s="0" t="str">
        <f aca="false">IF(AND(L49&gt;=22,L49&lt;=25,E49&gt;=TIME(18,0,0)),"24H Night", IF(AND(L49&gt;=22,L49&lt;=25,E49&lt;TIME(18,0,0)),"24H Day", IF(AND(L49&gt;=11,L49&lt;=13,E49&gt;=TIME(18,0,0)),"12H Night", IF(AND(L49&gt;=11,L49&lt;=13,E49&lt;TIME(18,0,0)),"12H Day", IF(AND(L49&lt;10,E49&gt;=TIME(18,0,0)),"Couple Night", "Couple Day")))))</f>
        <v>12H Day</v>
      </c>
      <c r="P49" s="0" t="n">
        <f aca="false">WEEKDAY(D49,2)</f>
        <v>4</v>
      </c>
      <c r="Q49" s="0" t="n">
        <f aca="false">MONTH(D49)</f>
        <v>2</v>
      </c>
      <c r="R49" s="0" t="str">
        <f aca="false">"Q"&amp;ROUNDUP(MONTH(D49)/3,0)</f>
        <v>Q1</v>
      </c>
    </row>
    <row r="50" customFormat="false" ht="90.25" hidden="false" customHeight="false" outlineLevel="0" collapsed="false">
      <c r="A50" s="7" t="s">
        <v>190</v>
      </c>
      <c r="B50" s="7" t="s">
        <v>191</v>
      </c>
      <c r="C50" s="13" t="s">
        <v>192</v>
      </c>
      <c r="D50" s="11" t="n">
        <v>45338</v>
      </c>
      <c r="E50" s="12" t="n">
        <v>0.416666666700625</v>
      </c>
      <c r="F50" s="11" t="n">
        <v>45338</v>
      </c>
      <c r="G50" s="12" t="n">
        <v>0.75</v>
      </c>
      <c r="H50" s="10" t="n">
        <v>45336.8053143519</v>
      </c>
      <c r="I50" s="7" t="n">
        <v>2700</v>
      </c>
      <c r="J50" s="0" t="n">
        <f aca="false">IF(AND(D50&gt;=DATE(YEAR(D50),3,15),D50&lt;=DATE(YEAR(D50),6,10)),1,0)</f>
        <v>0</v>
      </c>
      <c r="K50" s="0" t="e">
        <f aca="false">VLOOKUP(D50,Festival_List!$A$2:$B$100,2,0)</f>
        <v>#N/A</v>
      </c>
      <c r="L50" s="0" t="n">
        <f aca="false">ROUND(((F50+G50)-(D50+E50))*24,0)</f>
        <v>8</v>
      </c>
      <c r="M50" s="0" t="n">
        <f aca="false">IF(OR(WEEKDAY(D50)=1,WEEKDAY(D50)=7),1,0)</f>
        <v>0</v>
      </c>
      <c r="N50" s="0" t="str">
        <f aca="false">IF(AND(MONTH(D50)&gt;=3,MONTH(D50)&lt;=6),"Summer",IF(AND(MONTH(D50)&gt;=7,MONTH(D50)&lt;=9),"Monsoon","Winter"))</f>
        <v>Winter</v>
      </c>
      <c r="O50" s="0" t="str">
        <f aca="false">IF(AND(L50&gt;=22,L50&lt;=25,E50&gt;=TIME(18,0,0)),"24H Night", IF(AND(L50&gt;=22,L50&lt;=25,E50&lt;TIME(18,0,0)),"24H Day", IF(AND(L50&gt;=11,L50&lt;=13,E50&gt;=TIME(18,0,0)),"12H Night", IF(AND(L50&gt;=11,L50&lt;=13,E50&lt;TIME(18,0,0)),"12H Day", IF(AND(L50&lt;10,E50&gt;=TIME(18,0,0)),"Couple Night", "Couple Day")))))</f>
        <v>Couple Day</v>
      </c>
      <c r="P50" s="0" t="n">
        <f aca="false">WEEKDAY(D50,2)</f>
        <v>5</v>
      </c>
      <c r="Q50" s="0" t="n">
        <f aca="false">MONTH(D50)</f>
        <v>2</v>
      </c>
      <c r="R50" s="0" t="str">
        <f aca="false">"Q"&amp;ROUNDUP(MONTH(D50)/3,0)</f>
        <v>Q1</v>
      </c>
    </row>
    <row r="51" customFormat="false" ht="102.95" hidden="false" customHeight="false" outlineLevel="0" collapsed="false">
      <c r="A51" s="7" t="s">
        <v>193</v>
      </c>
      <c r="B51" s="7" t="s">
        <v>194</v>
      </c>
      <c r="C51" s="13" t="s">
        <v>195</v>
      </c>
      <c r="D51" s="11" t="n">
        <v>45339</v>
      </c>
      <c r="E51" s="12" t="n">
        <v>0.791666666700625</v>
      </c>
      <c r="F51" s="11" t="n">
        <v>45340</v>
      </c>
      <c r="G51" s="12" t="n">
        <v>0.75</v>
      </c>
      <c r="H51" s="10" t="n">
        <v>45745.4030108796</v>
      </c>
      <c r="I51" s="7" t="n">
        <v>6000</v>
      </c>
      <c r="J51" s="0" t="n">
        <f aca="false">IF(AND(D51&gt;=DATE(YEAR(D51),3,15),D51&lt;=DATE(YEAR(D51),6,10)),1,0)</f>
        <v>0</v>
      </c>
      <c r="K51" s="0" t="e">
        <f aca="false">VLOOKUP(D51,Festival_List!$A$2:$B$100,2,0)</f>
        <v>#N/A</v>
      </c>
      <c r="L51" s="0" t="n">
        <f aca="false">ROUND(((F51+G51)-(D51+E51))*24,0)</f>
        <v>23</v>
      </c>
      <c r="M51" s="0" t="n">
        <f aca="false">IF(OR(WEEKDAY(D51)=1,WEEKDAY(D51)=7),1,0)</f>
        <v>1</v>
      </c>
      <c r="N51" s="0" t="str">
        <f aca="false">IF(AND(MONTH(D51)&gt;=3,MONTH(D51)&lt;=6),"Summer",IF(AND(MONTH(D51)&gt;=7,MONTH(D51)&lt;=9),"Monsoon","Winter"))</f>
        <v>Winter</v>
      </c>
      <c r="O51" s="0" t="str">
        <f aca="false">IF(AND(L51&gt;=22,L51&lt;=25,E51&gt;=TIME(18,0,0)),"24H Night", IF(AND(L51&gt;=22,L51&lt;=25,E51&lt;TIME(18,0,0)),"24H Day", IF(AND(L51&gt;=11,L51&lt;=13,E51&gt;=TIME(18,0,0)),"12H Night", IF(AND(L51&gt;=11,L51&lt;=13,E51&lt;TIME(18,0,0)),"12H Day", IF(AND(L51&lt;10,E51&gt;=TIME(18,0,0)),"Couple Night", "Couple Day")))))</f>
        <v>24H Night</v>
      </c>
      <c r="P51" s="0" t="n">
        <f aca="false">WEEKDAY(D51,2)</f>
        <v>6</v>
      </c>
      <c r="Q51" s="0" t="n">
        <f aca="false">MONTH(D51)</f>
        <v>2</v>
      </c>
      <c r="R51" s="0" t="str">
        <f aca="false">"Q"&amp;ROUNDUP(MONTH(D51)/3,0)</f>
        <v>Q1</v>
      </c>
    </row>
    <row r="52" customFormat="false" ht="115.65" hidden="false" customHeight="false" outlineLevel="0" collapsed="false">
      <c r="A52" s="7" t="s">
        <v>196</v>
      </c>
      <c r="B52" s="7" t="s">
        <v>197</v>
      </c>
      <c r="C52" s="13" t="s">
        <v>198</v>
      </c>
      <c r="D52" s="11" t="n">
        <v>45342</v>
      </c>
      <c r="E52" s="12" t="n">
        <v>0.416666666700625</v>
      </c>
      <c r="F52" s="11" t="n">
        <v>45342</v>
      </c>
      <c r="G52" s="12" t="n">
        <v>0.75</v>
      </c>
      <c r="H52" s="10" t="n">
        <v>45342.3942488426</v>
      </c>
      <c r="I52" s="7" t="n">
        <v>2000</v>
      </c>
      <c r="J52" s="0" t="n">
        <f aca="false">IF(AND(D52&gt;=DATE(YEAR(D52),3,15),D52&lt;=DATE(YEAR(D52),6,10)),1,0)</f>
        <v>0</v>
      </c>
      <c r="K52" s="0" t="e">
        <f aca="false">VLOOKUP(D52,Festival_List!$A$2:$B$100,2,0)</f>
        <v>#N/A</v>
      </c>
      <c r="L52" s="0" t="n">
        <f aca="false">ROUND(((F52+G52)-(D52+E52))*24,0)</f>
        <v>8</v>
      </c>
      <c r="M52" s="0" t="n">
        <f aca="false">IF(OR(WEEKDAY(D52)=1,WEEKDAY(D52)=7),1,0)</f>
        <v>0</v>
      </c>
      <c r="N52" s="0" t="str">
        <f aca="false">IF(AND(MONTH(D52)&gt;=3,MONTH(D52)&lt;=6),"Summer",IF(AND(MONTH(D52)&gt;=7,MONTH(D52)&lt;=9),"Monsoon","Winter"))</f>
        <v>Winter</v>
      </c>
      <c r="O52" s="0" t="str">
        <f aca="false">IF(AND(L52&gt;=22,L52&lt;=25,E52&gt;=TIME(18,0,0)),"24H Night", IF(AND(L52&gt;=22,L52&lt;=25,E52&lt;TIME(18,0,0)),"24H Day", IF(AND(L52&gt;=11,L52&lt;=13,E52&gt;=TIME(18,0,0)),"12H Night", IF(AND(L52&gt;=11,L52&lt;=13,E52&lt;TIME(18,0,0)),"12H Day", IF(AND(L52&lt;10,E52&gt;=TIME(18,0,0)),"Couple Night", "Couple Day")))))</f>
        <v>Couple Day</v>
      </c>
      <c r="P52" s="0" t="n">
        <f aca="false">WEEKDAY(D52,2)</f>
        <v>2</v>
      </c>
      <c r="Q52" s="0" t="n">
        <f aca="false">MONTH(D52)</f>
        <v>2</v>
      </c>
      <c r="R52" s="0" t="str">
        <f aca="false">"Q"&amp;ROUNDUP(MONTH(D52)/3,0)</f>
        <v>Q1</v>
      </c>
    </row>
    <row r="53" customFormat="false" ht="90.25" hidden="false" customHeight="false" outlineLevel="0" collapsed="false">
      <c r="A53" s="7" t="s">
        <v>199</v>
      </c>
      <c r="B53" s="7" t="s">
        <v>200</v>
      </c>
      <c r="C53" s="13" t="s">
        <v>201</v>
      </c>
      <c r="D53" s="11" t="n">
        <v>45343</v>
      </c>
      <c r="E53" s="12" t="n">
        <v>0.25</v>
      </c>
      <c r="F53" s="11" t="n">
        <v>45343</v>
      </c>
      <c r="G53" s="12" t="n">
        <v>0.75</v>
      </c>
      <c r="H53" s="10" t="n">
        <v>45340.6441849537</v>
      </c>
      <c r="I53" s="7" t="n">
        <v>1700</v>
      </c>
      <c r="J53" s="0" t="n">
        <f aca="false">IF(AND(D53&gt;=DATE(YEAR(D53),3,15),D53&lt;=DATE(YEAR(D53),6,10)),1,0)</f>
        <v>0</v>
      </c>
      <c r="K53" s="0" t="e">
        <f aca="false">VLOOKUP(D53,Festival_List!$A$2:$B$100,2,0)</f>
        <v>#N/A</v>
      </c>
      <c r="L53" s="0" t="n">
        <f aca="false">ROUND(((F53+G53)-(D53+E53))*24,0)</f>
        <v>12</v>
      </c>
      <c r="M53" s="0" t="n">
        <f aca="false">IF(OR(WEEKDAY(D53)=1,WEEKDAY(D53)=7),1,0)</f>
        <v>0</v>
      </c>
      <c r="N53" s="0" t="str">
        <f aca="false">IF(AND(MONTH(D53)&gt;=3,MONTH(D53)&lt;=6),"Summer",IF(AND(MONTH(D53)&gt;=7,MONTH(D53)&lt;=9),"Monsoon","Winter"))</f>
        <v>Winter</v>
      </c>
      <c r="O53" s="0" t="str">
        <f aca="false">IF(AND(L53&gt;=22,L53&lt;=25,E53&gt;=TIME(18,0,0)),"24H Night", IF(AND(L53&gt;=22,L53&lt;=25,E53&lt;TIME(18,0,0)),"24H Day", IF(AND(L53&gt;=11,L53&lt;=13,E53&gt;=TIME(18,0,0)),"12H Night", IF(AND(L53&gt;=11,L53&lt;=13,E53&lt;TIME(18,0,0)),"12H Day", IF(AND(L53&lt;10,E53&gt;=TIME(18,0,0)),"Couple Night", "Couple Day")))))</f>
        <v>12H Day</v>
      </c>
      <c r="P53" s="0" t="n">
        <f aca="false">WEEKDAY(D53,2)</f>
        <v>3</v>
      </c>
      <c r="Q53" s="0" t="n">
        <f aca="false">MONTH(D53)</f>
        <v>2</v>
      </c>
      <c r="R53" s="0" t="str">
        <f aca="false">"Q"&amp;ROUNDUP(MONTH(D53)/3,0)</f>
        <v>Q1</v>
      </c>
    </row>
    <row r="54" customFormat="false" ht="102.95" hidden="false" customHeight="false" outlineLevel="0" collapsed="false">
      <c r="A54" s="7" t="s">
        <v>202</v>
      </c>
      <c r="B54" s="7" t="s">
        <v>203</v>
      </c>
      <c r="C54" s="13" t="s">
        <v>204</v>
      </c>
      <c r="D54" s="11" t="n">
        <v>45343</v>
      </c>
      <c r="E54" s="12" t="n">
        <v>0.791666666700625</v>
      </c>
      <c r="F54" s="11" t="n">
        <v>45344</v>
      </c>
      <c r="G54" s="12" t="n">
        <v>0.708333333299375</v>
      </c>
      <c r="H54" s="10" t="n">
        <v>45342.7021876157</v>
      </c>
      <c r="I54" s="7" t="n">
        <v>3000</v>
      </c>
      <c r="J54" s="0" t="n">
        <f aca="false">IF(AND(D54&gt;=DATE(YEAR(D54),3,15),D54&lt;=DATE(YEAR(D54),6,10)),1,0)</f>
        <v>0</v>
      </c>
      <c r="K54" s="0" t="e">
        <f aca="false">VLOOKUP(D54,Festival_List!$A$2:$B$100,2,0)</f>
        <v>#N/A</v>
      </c>
      <c r="L54" s="0" t="n">
        <f aca="false">ROUND(((F54+G54)-(D54+E54))*24,0)</f>
        <v>22</v>
      </c>
      <c r="M54" s="0" t="n">
        <f aca="false">IF(OR(WEEKDAY(D54)=1,WEEKDAY(D54)=7),1,0)</f>
        <v>0</v>
      </c>
      <c r="N54" s="0" t="str">
        <f aca="false">IF(AND(MONTH(D54)&gt;=3,MONTH(D54)&lt;=6),"Summer",IF(AND(MONTH(D54)&gt;=7,MONTH(D54)&lt;=9),"Monsoon","Winter"))</f>
        <v>Winter</v>
      </c>
      <c r="O54" s="0" t="str">
        <f aca="false">IF(AND(L54&gt;=22,L54&lt;=25,E54&gt;=TIME(18,0,0)),"24H Night", IF(AND(L54&gt;=22,L54&lt;=25,E54&lt;TIME(18,0,0)),"24H Day", IF(AND(L54&gt;=11,L54&lt;=13,E54&gt;=TIME(18,0,0)),"12H Night", IF(AND(L54&gt;=11,L54&lt;=13,E54&lt;TIME(18,0,0)),"12H Day", IF(AND(L54&lt;10,E54&gt;=TIME(18,0,0)),"Couple Night", "Couple Day")))))</f>
        <v>24H Night</v>
      </c>
      <c r="P54" s="0" t="n">
        <f aca="false">WEEKDAY(D54,2)</f>
        <v>3</v>
      </c>
      <c r="Q54" s="0" t="n">
        <f aca="false">MONTH(D54)</f>
        <v>2</v>
      </c>
      <c r="R54" s="0" t="str">
        <f aca="false">"Q"&amp;ROUNDUP(MONTH(D54)/3,0)</f>
        <v>Q1</v>
      </c>
    </row>
    <row r="55" customFormat="false" ht="115.65" hidden="false" customHeight="false" outlineLevel="0" collapsed="false">
      <c r="A55" s="7" t="s">
        <v>205</v>
      </c>
      <c r="B55" s="7" t="s">
        <v>206</v>
      </c>
      <c r="C55" s="13" t="s">
        <v>207</v>
      </c>
      <c r="D55" s="11" t="n">
        <v>45344</v>
      </c>
      <c r="E55" s="12" t="n">
        <v>0.75</v>
      </c>
      <c r="F55" s="11" t="n">
        <v>45345</v>
      </c>
      <c r="G55" s="12" t="n">
        <v>0.75</v>
      </c>
      <c r="H55" s="10" t="n">
        <v>45712.0406708333</v>
      </c>
      <c r="I55" s="7" t="n">
        <v>4000</v>
      </c>
      <c r="J55" s="0" t="n">
        <f aca="false">IF(AND(D55&gt;=DATE(YEAR(D55),3,15),D55&lt;=DATE(YEAR(D55),6,10)),1,0)</f>
        <v>0</v>
      </c>
      <c r="K55" s="0" t="e">
        <f aca="false">VLOOKUP(D55,Festival_List!$A$2:$B$100,2,0)</f>
        <v>#N/A</v>
      </c>
      <c r="L55" s="0" t="n">
        <f aca="false">ROUND(((F55+G55)-(D55+E55))*24,0)</f>
        <v>24</v>
      </c>
      <c r="M55" s="0" t="n">
        <f aca="false">IF(OR(WEEKDAY(D55)=1,WEEKDAY(D55)=7),1,0)</f>
        <v>0</v>
      </c>
      <c r="N55" s="0" t="str">
        <f aca="false">IF(AND(MONTH(D55)&gt;=3,MONTH(D55)&lt;=6),"Summer",IF(AND(MONTH(D55)&gt;=7,MONTH(D55)&lt;=9),"Monsoon","Winter"))</f>
        <v>Winter</v>
      </c>
      <c r="O55" s="0" t="str">
        <f aca="false">IF(AND(L55&gt;=22,L55&lt;=25,E55&gt;=TIME(18,0,0)),"24H Night", IF(AND(L55&gt;=22,L55&lt;=25,E55&lt;TIME(18,0,0)),"24H Day", IF(AND(L55&gt;=11,L55&lt;=13,E55&gt;=TIME(18,0,0)),"12H Night", IF(AND(L55&gt;=11,L55&lt;=13,E55&lt;TIME(18,0,0)),"12H Day", IF(AND(L55&lt;10,E55&gt;=TIME(18,0,0)),"Couple Night", "Couple Day")))))</f>
        <v>24H Night</v>
      </c>
      <c r="P55" s="0" t="n">
        <f aca="false">WEEKDAY(D55,2)</f>
        <v>4</v>
      </c>
      <c r="Q55" s="0" t="n">
        <f aca="false">MONTH(D55)</f>
        <v>2</v>
      </c>
      <c r="R55" s="0" t="str">
        <f aca="false">"Q"&amp;ROUNDUP(MONTH(D55)/3,0)</f>
        <v>Q1</v>
      </c>
    </row>
    <row r="56" customFormat="false" ht="102.95" hidden="false" customHeight="false" outlineLevel="0" collapsed="false">
      <c r="A56" s="7" t="s">
        <v>208</v>
      </c>
      <c r="B56" s="7" t="s">
        <v>209</v>
      </c>
      <c r="C56" s="13" t="s">
        <v>210</v>
      </c>
      <c r="D56" s="11" t="n">
        <v>45346</v>
      </c>
      <c r="E56" s="12" t="n">
        <v>0.75</v>
      </c>
      <c r="F56" s="11" t="n">
        <v>45347</v>
      </c>
      <c r="G56" s="12" t="n">
        <v>0.75</v>
      </c>
      <c r="H56" s="10" t="n">
        <v>45724.4493097222</v>
      </c>
      <c r="I56" s="7" t="n">
        <v>5000</v>
      </c>
      <c r="J56" s="0" t="n">
        <f aca="false">IF(AND(D56&gt;=DATE(YEAR(D56),3,15),D56&lt;=DATE(YEAR(D56),6,10)),1,0)</f>
        <v>0</v>
      </c>
      <c r="K56" s="0" t="e">
        <f aca="false">VLOOKUP(D56,Festival_List!$A$2:$B$100,2,0)</f>
        <v>#N/A</v>
      </c>
      <c r="L56" s="0" t="n">
        <f aca="false">ROUND(((F56+G56)-(D56+E56))*24,0)</f>
        <v>24</v>
      </c>
      <c r="M56" s="0" t="n">
        <f aca="false">IF(OR(WEEKDAY(D56)=1,WEEKDAY(D56)=7),1,0)</f>
        <v>1</v>
      </c>
      <c r="N56" s="0" t="str">
        <f aca="false">IF(AND(MONTH(D56)&gt;=3,MONTH(D56)&lt;=6),"Summer",IF(AND(MONTH(D56)&gt;=7,MONTH(D56)&lt;=9),"Monsoon","Winter"))</f>
        <v>Winter</v>
      </c>
      <c r="O56" s="0" t="str">
        <f aca="false">IF(AND(L56&gt;=22,L56&lt;=25,E56&gt;=TIME(18,0,0)),"24H Night", IF(AND(L56&gt;=22,L56&lt;=25,E56&lt;TIME(18,0,0)),"24H Day", IF(AND(L56&gt;=11,L56&lt;=13,E56&gt;=TIME(18,0,0)),"12H Night", IF(AND(L56&gt;=11,L56&lt;=13,E56&lt;TIME(18,0,0)),"12H Day", IF(AND(L56&lt;10,E56&gt;=TIME(18,0,0)),"Couple Night", "Couple Day")))))</f>
        <v>24H Night</v>
      </c>
      <c r="P56" s="0" t="n">
        <f aca="false">WEEKDAY(D56,2)</f>
        <v>6</v>
      </c>
      <c r="Q56" s="0" t="n">
        <f aca="false">MONTH(D56)</f>
        <v>2</v>
      </c>
      <c r="R56" s="0" t="str">
        <f aca="false">"Q"&amp;ROUNDUP(MONTH(D56)/3,0)</f>
        <v>Q1</v>
      </c>
    </row>
    <row r="57" customFormat="false" ht="90.25" hidden="false" customHeight="false" outlineLevel="0" collapsed="false">
      <c r="A57" s="7" t="s">
        <v>211</v>
      </c>
      <c r="B57" s="7" t="s">
        <v>212</v>
      </c>
      <c r="C57" s="13" t="s">
        <v>213</v>
      </c>
      <c r="D57" s="11" t="n">
        <v>45348</v>
      </c>
      <c r="E57" s="12" t="n">
        <v>0.25</v>
      </c>
      <c r="F57" s="11" t="n">
        <v>45348</v>
      </c>
      <c r="G57" s="12" t="n">
        <v>0.75</v>
      </c>
      <c r="H57" s="10" t="n">
        <v>45342.4595405093</v>
      </c>
      <c r="I57" s="7" t="n">
        <v>2000</v>
      </c>
      <c r="J57" s="0" t="n">
        <f aca="false">IF(AND(D57&gt;=DATE(YEAR(D57),3,15),D57&lt;=DATE(YEAR(D57),6,10)),1,0)</f>
        <v>0</v>
      </c>
      <c r="K57" s="0" t="e">
        <f aca="false">VLOOKUP(D57,Festival_List!$A$2:$B$100,2,0)</f>
        <v>#N/A</v>
      </c>
      <c r="L57" s="0" t="n">
        <f aca="false">ROUND(((F57+G57)-(D57+E57))*24,0)</f>
        <v>12</v>
      </c>
      <c r="M57" s="0" t="n">
        <f aca="false">IF(OR(WEEKDAY(D57)=1,WEEKDAY(D57)=7),1,0)</f>
        <v>0</v>
      </c>
      <c r="N57" s="0" t="str">
        <f aca="false">IF(AND(MONTH(D57)&gt;=3,MONTH(D57)&lt;=6),"Summer",IF(AND(MONTH(D57)&gt;=7,MONTH(D57)&lt;=9),"Monsoon","Winter"))</f>
        <v>Winter</v>
      </c>
      <c r="O57" s="0" t="str">
        <f aca="false">IF(AND(L57&gt;=22,L57&lt;=25,E57&gt;=TIME(18,0,0)),"24H Night", IF(AND(L57&gt;=22,L57&lt;=25,E57&lt;TIME(18,0,0)),"24H Day", IF(AND(L57&gt;=11,L57&lt;=13,E57&gt;=TIME(18,0,0)),"12H Night", IF(AND(L57&gt;=11,L57&lt;=13,E57&lt;TIME(18,0,0)),"12H Day", IF(AND(L57&lt;10,E57&gt;=TIME(18,0,0)),"Couple Night", "Couple Day")))))</f>
        <v>12H Day</v>
      </c>
      <c r="P57" s="0" t="n">
        <f aca="false">WEEKDAY(D57,2)</f>
        <v>1</v>
      </c>
      <c r="Q57" s="0" t="n">
        <f aca="false">MONTH(D57)</f>
        <v>2</v>
      </c>
      <c r="R57" s="0" t="str">
        <f aca="false">"Q"&amp;ROUNDUP(MONTH(D57)/3,0)</f>
        <v>Q1</v>
      </c>
    </row>
    <row r="58" customFormat="false" ht="102.95" hidden="false" customHeight="false" outlineLevel="0" collapsed="false">
      <c r="A58" s="7" t="s">
        <v>214</v>
      </c>
      <c r="B58" s="7" t="s">
        <v>215</v>
      </c>
      <c r="C58" s="13" t="s">
        <v>216</v>
      </c>
      <c r="D58" s="11" t="n">
        <v>45351</v>
      </c>
      <c r="E58" s="12" t="n">
        <v>0.25</v>
      </c>
      <c r="F58" s="11" t="n">
        <v>45351</v>
      </c>
      <c r="G58" s="12" t="n">
        <v>0.75</v>
      </c>
      <c r="H58" s="10" t="n">
        <v>45349.7619479167</v>
      </c>
      <c r="I58" s="7" t="n">
        <v>1700</v>
      </c>
      <c r="J58" s="0" t="n">
        <f aca="false">IF(AND(D58&gt;=DATE(YEAR(D58),3,15),D58&lt;=DATE(YEAR(D58),6,10)),1,0)</f>
        <v>0</v>
      </c>
      <c r="K58" s="0" t="e">
        <f aca="false">VLOOKUP(D58,Festival_List!$A$2:$B$100,2,0)</f>
        <v>#N/A</v>
      </c>
      <c r="L58" s="0" t="n">
        <f aca="false">ROUND(((F58+G58)-(D58+E58))*24,0)</f>
        <v>12</v>
      </c>
      <c r="M58" s="0" t="n">
        <f aca="false">IF(OR(WEEKDAY(D58)=1,WEEKDAY(D58)=7),1,0)</f>
        <v>0</v>
      </c>
      <c r="N58" s="0" t="str">
        <f aca="false">IF(AND(MONTH(D58)&gt;=3,MONTH(D58)&lt;=6),"Summer",IF(AND(MONTH(D58)&gt;=7,MONTH(D58)&lt;=9),"Monsoon","Winter"))</f>
        <v>Winter</v>
      </c>
      <c r="O58" s="0" t="str">
        <f aca="false">IF(AND(L58&gt;=22,L58&lt;=25,E58&gt;=TIME(18,0,0)),"24H Night", IF(AND(L58&gt;=22,L58&lt;=25,E58&lt;TIME(18,0,0)),"24H Day", IF(AND(L58&gt;=11,L58&lt;=13,E58&gt;=TIME(18,0,0)),"12H Night", IF(AND(L58&gt;=11,L58&lt;=13,E58&lt;TIME(18,0,0)),"12H Day", IF(AND(L58&lt;10,E58&gt;=TIME(18,0,0)),"Couple Night", "Couple Day")))))</f>
        <v>12H Day</v>
      </c>
      <c r="P58" s="0" t="n">
        <f aca="false">WEEKDAY(D58,2)</f>
        <v>4</v>
      </c>
      <c r="Q58" s="0" t="n">
        <f aca="false">MONTH(D58)</f>
        <v>2</v>
      </c>
      <c r="R58" s="0" t="str">
        <f aca="false">"Q"&amp;ROUNDUP(MONTH(D58)/3,0)</f>
        <v>Q1</v>
      </c>
    </row>
    <row r="59" customFormat="false" ht="102.95" hidden="false" customHeight="false" outlineLevel="0" collapsed="false">
      <c r="A59" s="7" t="s">
        <v>217</v>
      </c>
      <c r="B59" s="7" t="s">
        <v>218</v>
      </c>
      <c r="C59" s="13" t="s">
        <v>219</v>
      </c>
      <c r="D59" s="11" t="n">
        <v>45351</v>
      </c>
      <c r="E59" s="12" t="n">
        <v>0.916666666700625</v>
      </c>
      <c r="F59" s="11" t="n">
        <v>45352</v>
      </c>
      <c r="G59" s="12" t="n">
        <v>0.416666666700625</v>
      </c>
      <c r="H59" s="10" t="n">
        <v>45724.4493097222</v>
      </c>
      <c r="I59" s="7" t="n">
        <v>2000</v>
      </c>
      <c r="J59" s="0" t="n">
        <f aca="false">IF(AND(D59&gt;=DATE(YEAR(D59),3,15),D59&lt;=DATE(YEAR(D59),6,10)),1,0)</f>
        <v>0</v>
      </c>
      <c r="K59" s="0" t="e">
        <f aca="false">VLOOKUP(D59,Festival_List!$A$2:$B$100,2,0)</f>
        <v>#N/A</v>
      </c>
      <c r="L59" s="0" t="n">
        <f aca="false">ROUND(((F59+G59)-(D59+E59))*24,0)</f>
        <v>12</v>
      </c>
      <c r="M59" s="0" t="n">
        <f aca="false">IF(OR(WEEKDAY(D59)=1,WEEKDAY(D59)=7),1,0)</f>
        <v>0</v>
      </c>
      <c r="N59" s="0" t="str">
        <f aca="false">IF(AND(MONTH(D59)&gt;=3,MONTH(D59)&lt;=6),"Summer",IF(AND(MONTH(D59)&gt;=7,MONTH(D59)&lt;=9),"Monsoon","Winter"))</f>
        <v>Winter</v>
      </c>
      <c r="O59" s="0" t="str">
        <f aca="false">IF(AND(L59&gt;=22,L59&lt;=25,E59&gt;=TIME(18,0,0)),"24H Night", IF(AND(L59&gt;=22,L59&lt;=25,E59&lt;TIME(18,0,0)),"24H Day", IF(AND(L59&gt;=11,L59&lt;=13,E59&gt;=TIME(18,0,0)),"12H Night", IF(AND(L59&gt;=11,L59&lt;=13,E59&lt;TIME(18,0,0)),"12H Day", IF(AND(L59&lt;10,E59&gt;=TIME(18,0,0)),"Couple Night", "Couple Day")))))</f>
        <v>12H Night</v>
      </c>
      <c r="P59" s="0" t="n">
        <f aca="false">WEEKDAY(D59,2)</f>
        <v>4</v>
      </c>
      <c r="Q59" s="0" t="n">
        <f aca="false">MONTH(D59)</f>
        <v>2</v>
      </c>
      <c r="R59" s="0" t="str">
        <f aca="false">"Q"&amp;ROUNDUP(MONTH(D59)/3,0)</f>
        <v>Q1</v>
      </c>
    </row>
    <row r="60" customFormat="false" ht="102.95" hidden="false" customHeight="false" outlineLevel="0" collapsed="false">
      <c r="A60" s="7" t="s">
        <v>220</v>
      </c>
      <c r="B60" s="7" t="s">
        <v>221</v>
      </c>
      <c r="C60" s="13" t="s">
        <v>222</v>
      </c>
      <c r="D60" s="11" t="n">
        <v>45352</v>
      </c>
      <c r="E60" s="12" t="n">
        <v>0.291666666700625</v>
      </c>
      <c r="F60" s="11" t="n">
        <v>45353</v>
      </c>
      <c r="G60" s="12" t="n">
        <v>0.25</v>
      </c>
      <c r="H60" s="10" t="n">
        <v>45745.4103376157</v>
      </c>
      <c r="I60" s="7" t="n">
        <v>3200</v>
      </c>
      <c r="J60" s="0" t="n">
        <f aca="false">IF(AND(D60&gt;=DATE(YEAR(D60),3,15),D60&lt;=DATE(YEAR(D60),6,10)),1,0)</f>
        <v>0</v>
      </c>
      <c r="K60" s="0" t="e">
        <f aca="false">VLOOKUP(D60,Festival_List!$A$2:$B$100,2,0)</f>
        <v>#N/A</v>
      </c>
      <c r="L60" s="0" t="n">
        <f aca="false">ROUND(((F60+G60)-(D60+E60))*24,0)</f>
        <v>23</v>
      </c>
      <c r="M60" s="0" t="n">
        <f aca="false">IF(OR(WEEKDAY(D60)=1,WEEKDAY(D60)=7),1,0)</f>
        <v>0</v>
      </c>
      <c r="N60" s="0" t="str">
        <f aca="false">IF(AND(MONTH(D60)&gt;=3,MONTH(D60)&lt;=6),"Summer",IF(AND(MONTH(D60)&gt;=7,MONTH(D60)&lt;=9),"Monsoon","Winter"))</f>
        <v>Summer</v>
      </c>
      <c r="O60" s="0" t="str">
        <f aca="false">IF(AND(L60&gt;=22,L60&lt;=25,E60&gt;=TIME(18,0,0)),"24H Night", IF(AND(L60&gt;=22,L60&lt;=25,E60&lt;TIME(18,0,0)),"24H Day", IF(AND(L60&gt;=11,L60&lt;=13,E60&gt;=TIME(18,0,0)),"12H Night", IF(AND(L60&gt;=11,L60&lt;=13,E60&lt;TIME(18,0,0)),"12H Day", IF(AND(L60&lt;10,E60&gt;=TIME(18,0,0)),"Couple Night", "Couple Day")))))</f>
        <v>24H Day</v>
      </c>
      <c r="P60" s="0" t="n">
        <f aca="false">WEEKDAY(D60,2)</f>
        <v>5</v>
      </c>
      <c r="Q60" s="0" t="n">
        <f aca="false">MONTH(D60)</f>
        <v>3</v>
      </c>
      <c r="R60" s="0" t="str">
        <f aca="false">"Q"&amp;ROUNDUP(MONTH(D60)/3,0)</f>
        <v>Q1</v>
      </c>
    </row>
    <row r="61" customFormat="false" ht="102.95" hidden="false" customHeight="false" outlineLevel="0" collapsed="false">
      <c r="A61" s="7" t="s">
        <v>223</v>
      </c>
      <c r="B61" s="7" t="s">
        <v>224</v>
      </c>
      <c r="C61" s="13" t="s">
        <v>225</v>
      </c>
      <c r="D61" s="11" t="n">
        <v>45353</v>
      </c>
      <c r="E61" s="12" t="n">
        <v>0.291666666700625</v>
      </c>
      <c r="F61" s="11" t="n">
        <v>45353</v>
      </c>
      <c r="G61" s="12" t="n">
        <v>0.791666666700625</v>
      </c>
      <c r="H61" s="10" t="n">
        <v>45352.4357357639</v>
      </c>
      <c r="I61" s="7" t="n">
        <v>3500</v>
      </c>
      <c r="J61" s="0" t="n">
        <f aca="false">IF(AND(D61&gt;=DATE(YEAR(D61),3,15),D61&lt;=DATE(YEAR(D61),6,10)),1,0)</f>
        <v>0</v>
      </c>
      <c r="K61" s="0" t="e">
        <f aca="false">VLOOKUP(D61,Festival_List!$A$2:$B$100,2,0)</f>
        <v>#N/A</v>
      </c>
      <c r="L61" s="0" t="n">
        <f aca="false">ROUND(((F61+G61)-(D61+E61))*24,0)</f>
        <v>12</v>
      </c>
      <c r="M61" s="0" t="n">
        <f aca="false">IF(OR(WEEKDAY(D61)=1,WEEKDAY(D61)=7),1,0)</f>
        <v>1</v>
      </c>
      <c r="N61" s="0" t="str">
        <f aca="false">IF(AND(MONTH(D61)&gt;=3,MONTH(D61)&lt;=6),"Summer",IF(AND(MONTH(D61)&gt;=7,MONTH(D61)&lt;=9),"Monsoon","Winter"))</f>
        <v>Summer</v>
      </c>
      <c r="O61" s="0" t="str">
        <f aca="false">IF(AND(L61&gt;=22,L61&lt;=25,E61&gt;=TIME(18,0,0)),"24H Night", IF(AND(L61&gt;=22,L61&lt;=25,E61&lt;TIME(18,0,0)),"24H Day", IF(AND(L61&gt;=11,L61&lt;=13,E61&gt;=TIME(18,0,0)),"12H Night", IF(AND(L61&gt;=11,L61&lt;=13,E61&lt;TIME(18,0,0)),"12H Day", IF(AND(L61&lt;10,E61&gt;=TIME(18,0,0)),"Couple Night", "Couple Day")))))</f>
        <v>12H Day</v>
      </c>
      <c r="P61" s="0" t="n">
        <f aca="false">WEEKDAY(D61,2)</f>
        <v>6</v>
      </c>
      <c r="Q61" s="0" t="n">
        <f aca="false">MONTH(D61)</f>
        <v>3</v>
      </c>
      <c r="R61" s="0" t="str">
        <f aca="false">"Q"&amp;ROUNDUP(MONTH(D61)/3,0)</f>
        <v>Q1</v>
      </c>
    </row>
    <row r="62" customFormat="false" ht="102.95" hidden="false" customHeight="false" outlineLevel="0" collapsed="false">
      <c r="A62" s="7" t="s">
        <v>226</v>
      </c>
      <c r="B62" s="7" t="s">
        <v>227</v>
      </c>
      <c r="C62" s="13" t="s">
        <v>228</v>
      </c>
      <c r="D62" s="11" t="n">
        <v>45353</v>
      </c>
      <c r="E62" s="12" t="n">
        <v>0.791666666700625</v>
      </c>
      <c r="F62" s="11" t="n">
        <v>45354</v>
      </c>
      <c r="G62" s="12" t="n">
        <v>0.770833333299375</v>
      </c>
      <c r="H62" s="10" t="n">
        <v>45351.5814064815</v>
      </c>
      <c r="I62" s="7" t="n">
        <v>5500</v>
      </c>
      <c r="J62" s="0" t="n">
        <f aca="false">IF(AND(D62&gt;=DATE(YEAR(D62),3,15),D62&lt;=DATE(YEAR(D62),6,10)),1,0)</f>
        <v>0</v>
      </c>
      <c r="K62" s="0" t="e">
        <f aca="false">VLOOKUP(D62,Festival_List!$A$2:$B$100,2,0)</f>
        <v>#N/A</v>
      </c>
      <c r="L62" s="0" t="n">
        <f aca="false">ROUND(((F62+G62)-(D62+E62))*24,0)</f>
        <v>23</v>
      </c>
      <c r="M62" s="0" t="n">
        <f aca="false">IF(OR(WEEKDAY(D62)=1,WEEKDAY(D62)=7),1,0)</f>
        <v>1</v>
      </c>
      <c r="N62" s="0" t="str">
        <f aca="false">IF(AND(MONTH(D62)&gt;=3,MONTH(D62)&lt;=6),"Summer",IF(AND(MONTH(D62)&gt;=7,MONTH(D62)&lt;=9),"Monsoon","Winter"))</f>
        <v>Summer</v>
      </c>
      <c r="O62" s="0" t="str">
        <f aca="false">IF(AND(L62&gt;=22,L62&lt;=25,E62&gt;=TIME(18,0,0)),"24H Night", IF(AND(L62&gt;=22,L62&lt;=25,E62&lt;TIME(18,0,0)),"24H Day", IF(AND(L62&gt;=11,L62&lt;=13,E62&gt;=TIME(18,0,0)),"12H Night", IF(AND(L62&gt;=11,L62&lt;=13,E62&lt;TIME(18,0,0)),"12H Day", IF(AND(L62&lt;10,E62&gt;=TIME(18,0,0)),"Couple Night", "Couple Day")))))</f>
        <v>24H Night</v>
      </c>
      <c r="P62" s="0" t="n">
        <f aca="false">WEEKDAY(D62,2)</f>
        <v>6</v>
      </c>
      <c r="Q62" s="0" t="n">
        <f aca="false">MONTH(D62)</f>
        <v>3</v>
      </c>
      <c r="R62" s="0" t="str">
        <f aca="false">"Q"&amp;ROUNDUP(MONTH(D62)/3,0)</f>
        <v>Q1</v>
      </c>
    </row>
    <row r="63" customFormat="false" ht="102.95" hidden="false" customHeight="false" outlineLevel="0" collapsed="false">
      <c r="A63" s="7" t="s">
        <v>229</v>
      </c>
      <c r="B63" s="7" t="s">
        <v>230</v>
      </c>
      <c r="C63" s="13" t="s">
        <v>231</v>
      </c>
      <c r="D63" s="11" t="n">
        <v>45354</v>
      </c>
      <c r="E63" s="12" t="n">
        <v>0.833333333299375</v>
      </c>
      <c r="F63" s="11" t="n">
        <v>45355</v>
      </c>
      <c r="G63" s="12" t="n">
        <v>0.8125</v>
      </c>
      <c r="H63" s="10" t="n">
        <v>45724.4493097222</v>
      </c>
      <c r="I63" s="7" t="n">
        <v>4500</v>
      </c>
      <c r="J63" s="0" t="n">
        <f aca="false">IF(AND(D63&gt;=DATE(YEAR(D63),3,15),D63&lt;=DATE(YEAR(D63),6,10)),1,0)</f>
        <v>0</v>
      </c>
      <c r="K63" s="0" t="e">
        <f aca="false">VLOOKUP(D63,Festival_List!$A$2:$B$100,2,0)</f>
        <v>#N/A</v>
      </c>
      <c r="L63" s="0" t="n">
        <f aca="false">ROUND(((F63+G63)-(D63+E63))*24,0)</f>
        <v>24</v>
      </c>
      <c r="M63" s="0" t="n">
        <f aca="false">IF(OR(WEEKDAY(D63)=1,WEEKDAY(D63)=7),1,0)</f>
        <v>1</v>
      </c>
      <c r="N63" s="0" t="str">
        <f aca="false">IF(AND(MONTH(D63)&gt;=3,MONTH(D63)&lt;=6),"Summer",IF(AND(MONTH(D63)&gt;=7,MONTH(D63)&lt;=9),"Monsoon","Winter"))</f>
        <v>Summer</v>
      </c>
      <c r="O63" s="0" t="str">
        <f aca="false">IF(AND(L63&gt;=22,L63&lt;=25,E63&gt;=TIME(18,0,0)),"24H Night", IF(AND(L63&gt;=22,L63&lt;=25,E63&lt;TIME(18,0,0)),"24H Day", IF(AND(L63&gt;=11,L63&lt;=13,E63&gt;=TIME(18,0,0)),"12H Night", IF(AND(L63&gt;=11,L63&lt;=13,E63&lt;TIME(18,0,0)),"12H Day", IF(AND(L63&lt;10,E63&gt;=TIME(18,0,0)),"Couple Night", "Couple Day")))))</f>
        <v>24H Night</v>
      </c>
      <c r="P63" s="0" t="n">
        <f aca="false">WEEKDAY(D63,2)</f>
        <v>7</v>
      </c>
      <c r="Q63" s="0" t="n">
        <f aca="false">MONTH(D63)</f>
        <v>3</v>
      </c>
      <c r="R63" s="0" t="str">
        <f aca="false">"Q"&amp;ROUNDUP(MONTH(D63)/3,0)</f>
        <v>Q1</v>
      </c>
    </row>
    <row r="64" customFormat="false" ht="115.65" hidden="false" customHeight="false" outlineLevel="0" collapsed="false">
      <c r="A64" s="7" t="s">
        <v>232</v>
      </c>
      <c r="B64" s="7" t="s">
        <v>233</v>
      </c>
      <c r="C64" s="13" t="s">
        <v>234</v>
      </c>
      <c r="D64" s="11" t="n">
        <v>45356</v>
      </c>
      <c r="E64" s="12" t="n">
        <v>0.25</v>
      </c>
      <c r="F64" s="11" t="n">
        <v>45356</v>
      </c>
      <c r="G64" s="12" t="n">
        <v>0.75</v>
      </c>
      <c r="H64" s="10" t="n">
        <v>45354.4391601852</v>
      </c>
      <c r="I64" s="7" t="n">
        <v>3000</v>
      </c>
      <c r="J64" s="0" t="n">
        <f aca="false">IF(AND(D64&gt;=DATE(YEAR(D64),3,15),D64&lt;=DATE(YEAR(D64),6,10)),1,0)</f>
        <v>0</v>
      </c>
      <c r="K64" s="0" t="e">
        <f aca="false">VLOOKUP(D64,Festival_List!$A$2:$B$100,2,0)</f>
        <v>#N/A</v>
      </c>
      <c r="L64" s="0" t="n">
        <f aca="false">ROUND(((F64+G64)-(D64+E64))*24,0)</f>
        <v>12</v>
      </c>
      <c r="M64" s="0" t="n">
        <f aca="false">IF(OR(WEEKDAY(D64)=1,WEEKDAY(D64)=7),1,0)</f>
        <v>0</v>
      </c>
      <c r="N64" s="0" t="str">
        <f aca="false">IF(AND(MONTH(D64)&gt;=3,MONTH(D64)&lt;=6),"Summer",IF(AND(MONTH(D64)&gt;=7,MONTH(D64)&lt;=9),"Monsoon","Winter"))</f>
        <v>Summer</v>
      </c>
      <c r="O64" s="0" t="str">
        <f aca="false">IF(AND(L64&gt;=22,L64&lt;=25,E64&gt;=TIME(18,0,0)),"24H Night", IF(AND(L64&gt;=22,L64&lt;=25,E64&lt;TIME(18,0,0)),"24H Day", IF(AND(L64&gt;=11,L64&lt;=13,E64&gt;=TIME(18,0,0)),"12H Night", IF(AND(L64&gt;=11,L64&lt;=13,E64&lt;TIME(18,0,0)),"12H Day", IF(AND(L64&lt;10,E64&gt;=TIME(18,0,0)),"Couple Night", "Couple Day")))))</f>
        <v>12H Day</v>
      </c>
      <c r="P64" s="0" t="n">
        <f aca="false">WEEKDAY(D64,2)</f>
        <v>2</v>
      </c>
      <c r="Q64" s="0" t="n">
        <f aca="false">MONTH(D64)</f>
        <v>3</v>
      </c>
      <c r="R64" s="0" t="str">
        <f aca="false">"Q"&amp;ROUNDUP(MONTH(D64)/3,0)</f>
        <v>Q1</v>
      </c>
    </row>
    <row r="65" customFormat="false" ht="102.95" hidden="false" customHeight="false" outlineLevel="0" collapsed="false">
      <c r="A65" s="7" t="s">
        <v>235</v>
      </c>
      <c r="B65" s="7" t="s">
        <v>236</v>
      </c>
      <c r="C65" s="13" t="s">
        <v>237</v>
      </c>
      <c r="D65" s="11" t="n">
        <v>45360</v>
      </c>
      <c r="E65" s="12" t="n">
        <v>0.770833333299375</v>
      </c>
      <c r="F65" s="11" t="n">
        <v>45361</v>
      </c>
      <c r="G65" s="12" t="n">
        <v>0.75</v>
      </c>
      <c r="H65" s="10" t="n">
        <v>45360.7990578704</v>
      </c>
      <c r="I65" s="7" t="n">
        <v>5500</v>
      </c>
      <c r="J65" s="0" t="n">
        <f aca="false">IF(AND(D65&gt;=DATE(YEAR(D65),3,15),D65&lt;=DATE(YEAR(D65),6,10)),1,0)</f>
        <v>0</v>
      </c>
      <c r="K65" s="0" t="e">
        <f aca="false">VLOOKUP(D65,Festival_List!$A$2:$B$100,2,0)</f>
        <v>#N/A</v>
      </c>
      <c r="L65" s="0" t="n">
        <f aca="false">ROUND(((F65+G65)-(D65+E65))*24,0)</f>
        <v>24</v>
      </c>
      <c r="M65" s="0" t="n">
        <f aca="false">IF(OR(WEEKDAY(D65)=1,WEEKDAY(D65)=7),1,0)</f>
        <v>1</v>
      </c>
      <c r="N65" s="0" t="str">
        <f aca="false">IF(AND(MONTH(D65)&gt;=3,MONTH(D65)&lt;=6),"Summer",IF(AND(MONTH(D65)&gt;=7,MONTH(D65)&lt;=9),"Monsoon","Winter"))</f>
        <v>Summer</v>
      </c>
      <c r="O65" s="0" t="str">
        <f aca="false">IF(AND(L65&gt;=22,L65&lt;=25,E65&gt;=TIME(18,0,0)),"24H Night", IF(AND(L65&gt;=22,L65&lt;=25,E65&lt;TIME(18,0,0)),"24H Day", IF(AND(L65&gt;=11,L65&lt;=13,E65&gt;=TIME(18,0,0)),"12H Night", IF(AND(L65&gt;=11,L65&lt;=13,E65&lt;TIME(18,0,0)),"12H Day", IF(AND(L65&lt;10,E65&gt;=TIME(18,0,0)),"Couple Night", "Couple Day")))))</f>
        <v>24H Night</v>
      </c>
      <c r="P65" s="0" t="n">
        <f aca="false">WEEKDAY(D65,2)</f>
        <v>6</v>
      </c>
      <c r="Q65" s="0" t="n">
        <f aca="false">MONTH(D65)</f>
        <v>3</v>
      </c>
      <c r="R65" s="0" t="str">
        <f aca="false">"Q"&amp;ROUNDUP(MONTH(D65)/3,0)</f>
        <v>Q1</v>
      </c>
    </row>
    <row r="66" customFormat="false" ht="115.65" hidden="false" customHeight="false" outlineLevel="0" collapsed="false">
      <c r="A66" s="7" t="s">
        <v>238</v>
      </c>
      <c r="B66" s="7" t="s">
        <v>239</v>
      </c>
      <c r="C66" s="13" t="s">
        <v>240</v>
      </c>
      <c r="D66" s="11" t="n">
        <v>45365</v>
      </c>
      <c r="E66" s="12" t="n">
        <v>0.25</v>
      </c>
      <c r="F66" s="11" t="n">
        <v>45365</v>
      </c>
      <c r="G66" s="12" t="n">
        <v>0.75</v>
      </c>
      <c r="H66" s="10" t="n">
        <v>45739.0565193287</v>
      </c>
      <c r="I66" s="7" t="n">
        <v>3000</v>
      </c>
      <c r="J66" s="0" t="n">
        <f aca="false">IF(AND(D66&gt;=DATE(YEAR(D66),3,15),D66&lt;=DATE(YEAR(D66),6,10)),1,0)</f>
        <v>0</v>
      </c>
      <c r="K66" s="0" t="e">
        <f aca="false">VLOOKUP(D66,Festival_List!$A$2:$B$100,2,0)</f>
        <v>#N/A</v>
      </c>
      <c r="L66" s="0" t="n">
        <f aca="false">ROUND(((F66+G66)-(D66+E66))*24,0)</f>
        <v>12</v>
      </c>
      <c r="M66" s="0" t="n">
        <f aca="false">IF(OR(WEEKDAY(D66)=1,WEEKDAY(D66)=7),1,0)</f>
        <v>0</v>
      </c>
      <c r="N66" s="0" t="str">
        <f aca="false">IF(AND(MONTH(D66)&gt;=3,MONTH(D66)&lt;=6),"Summer",IF(AND(MONTH(D66)&gt;=7,MONTH(D66)&lt;=9),"Monsoon","Winter"))</f>
        <v>Summer</v>
      </c>
      <c r="O66" s="0" t="str">
        <f aca="false">IF(AND(L66&gt;=22,L66&lt;=25,E66&gt;=TIME(18,0,0)),"24H Night", IF(AND(L66&gt;=22,L66&lt;=25,E66&lt;TIME(18,0,0)),"24H Day", IF(AND(L66&gt;=11,L66&lt;=13,E66&gt;=TIME(18,0,0)),"12H Night", IF(AND(L66&gt;=11,L66&lt;=13,E66&lt;TIME(18,0,0)),"12H Day", IF(AND(L66&lt;10,E66&gt;=TIME(18,0,0)),"Couple Night", "Couple Day")))))</f>
        <v>12H Day</v>
      </c>
      <c r="P66" s="0" t="n">
        <f aca="false">WEEKDAY(D66,2)</f>
        <v>4</v>
      </c>
      <c r="Q66" s="0" t="n">
        <f aca="false">MONTH(D66)</f>
        <v>3</v>
      </c>
      <c r="R66" s="0" t="str">
        <f aca="false">"Q"&amp;ROUNDUP(MONTH(D66)/3,0)</f>
        <v>Q1</v>
      </c>
    </row>
    <row r="67" customFormat="false" ht="115.65" hidden="false" customHeight="false" outlineLevel="0" collapsed="false">
      <c r="A67" s="7" t="s">
        <v>241</v>
      </c>
      <c r="B67" s="7" t="s">
        <v>242</v>
      </c>
      <c r="C67" s="13" t="s">
        <v>243</v>
      </c>
      <c r="D67" s="11" t="n">
        <v>45366</v>
      </c>
      <c r="E67" s="12" t="n">
        <v>0.416666666700625</v>
      </c>
      <c r="F67" s="11" t="n">
        <v>45366</v>
      </c>
      <c r="G67" s="12" t="n">
        <v>0.708333333299375</v>
      </c>
      <c r="H67" s="10" t="n">
        <v>45364.6279806713</v>
      </c>
      <c r="I67" s="7" t="n">
        <v>3000</v>
      </c>
      <c r="J67" s="0" t="n">
        <f aca="false">IF(AND(D67&gt;=DATE(YEAR(D67),3,15),D67&lt;=DATE(YEAR(D67),6,10)),1,0)</f>
        <v>1</v>
      </c>
      <c r="K67" s="0" t="e">
        <f aca="false">VLOOKUP(D67,Festival_List!$A$2:$B$100,2,0)</f>
        <v>#N/A</v>
      </c>
      <c r="L67" s="0" t="n">
        <f aca="false">ROUND(((F67+G67)-(D67+E67))*24,0)</f>
        <v>7</v>
      </c>
      <c r="M67" s="0" t="n">
        <f aca="false">IF(OR(WEEKDAY(D67)=1,WEEKDAY(D67)=7),1,0)</f>
        <v>0</v>
      </c>
      <c r="N67" s="0" t="str">
        <f aca="false">IF(AND(MONTH(D67)&gt;=3,MONTH(D67)&lt;=6),"Summer",IF(AND(MONTH(D67)&gt;=7,MONTH(D67)&lt;=9),"Monsoon","Winter"))</f>
        <v>Summer</v>
      </c>
      <c r="O67" s="0" t="str">
        <f aca="false">IF(AND(L67&gt;=22,L67&lt;=25,E67&gt;=TIME(18,0,0)),"24H Night", IF(AND(L67&gt;=22,L67&lt;=25,E67&lt;TIME(18,0,0)),"24H Day", IF(AND(L67&gt;=11,L67&lt;=13,E67&gt;=TIME(18,0,0)),"12H Night", IF(AND(L67&gt;=11,L67&lt;=13,E67&lt;TIME(18,0,0)),"12H Day", IF(AND(L67&lt;10,E67&gt;=TIME(18,0,0)),"Couple Night", "Couple Day")))))</f>
        <v>Couple Day</v>
      </c>
      <c r="P67" s="0" t="n">
        <f aca="false">WEEKDAY(D67,2)</f>
        <v>5</v>
      </c>
      <c r="Q67" s="0" t="n">
        <f aca="false">MONTH(D67)</f>
        <v>3</v>
      </c>
      <c r="R67" s="0" t="str">
        <f aca="false">"Q"&amp;ROUNDUP(MONTH(D67)/3,0)</f>
        <v>Q1</v>
      </c>
    </row>
    <row r="68" customFormat="false" ht="115.65" hidden="false" customHeight="false" outlineLevel="0" collapsed="false">
      <c r="A68" s="7" t="s">
        <v>244</v>
      </c>
      <c r="B68" s="7" t="s">
        <v>245</v>
      </c>
      <c r="C68" s="13" t="s">
        <v>246</v>
      </c>
      <c r="D68" s="11" t="n">
        <v>45366</v>
      </c>
      <c r="E68" s="12" t="n">
        <v>0.75</v>
      </c>
      <c r="F68" s="11" t="n">
        <v>45367</v>
      </c>
      <c r="G68" s="12" t="n">
        <v>0.75</v>
      </c>
      <c r="H68" s="10" t="n">
        <v>45364.9774334491</v>
      </c>
      <c r="I68" s="7" t="n">
        <v>4500</v>
      </c>
      <c r="J68" s="0" t="n">
        <f aca="false">IF(AND(D68&gt;=DATE(YEAR(D68),3,15),D68&lt;=DATE(YEAR(D68),6,10)),1,0)</f>
        <v>1</v>
      </c>
      <c r="K68" s="0" t="e">
        <f aca="false">VLOOKUP(D68,Festival_List!$A$2:$B$100,2,0)</f>
        <v>#N/A</v>
      </c>
      <c r="L68" s="0" t="n">
        <f aca="false">ROUND(((F68+G68)-(D68+E68))*24,0)</f>
        <v>24</v>
      </c>
      <c r="M68" s="0" t="n">
        <f aca="false">IF(OR(WEEKDAY(D68)=1,WEEKDAY(D68)=7),1,0)</f>
        <v>0</v>
      </c>
      <c r="N68" s="0" t="str">
        <f aca="false">IF(AND(MONTH(D68)&gt;=3,MONTH(D68)&lt;=6),"Summer",IF(AND(MONTH(D68)&gt;=7,MONTH(D68)&lt;=9),"Monsoon","Winter"))</f>
        <v>Summer</v>
      </c>
      <c r="O68" s="0" t="str">
        <f aca="false">IF(AND(L68&gt;=22,L68&lt;=25,E68&gt;=TIME(18,0,0)),"24H Night", IF(AND(L68&gt;=22,L68&lt;=25,E68&lt;TIME(18,0,0)),"24H Day", IF(AND(L68&gt;=11,L68&lt;=13,E68&gt;=TIME(18,0,0)),"12H Night", IF(AND(L68&gt;=11,L68&lt;=13,E68&lt;TIME(18,0,0)),"12H Day", IF(AND(L68&lt;10,E68&gt;=TIME(18,0,0)),"Couple Night", "Couple Day")))))</f>
        <v>24H Night</v>
      </c>
      <c r="P68" s="0" t="n">
        <f aca="false">WEEKDAY(D68,2)</f>
        <v>5</v>
      </c>
      <c r="Q68" s="0" t="n">
        <f aca="false">MONTH(D68)</f>
        <v>3</v>
      </c>
      <c r="R68" s="0" t="str">
        <f aca="false">"Q"&amp;ROUNDUP(MONTH(D68)/3,0)</f>
        <v>Q1</v>
      </c>
    </row>
    <row r="69" customFormat="false" ht="115.65" hidden="false" customHeight="false" outlineLevel="0" collapsed="false">
      <c r="A69" s="7" t="s">
        <v>247</v>
      </c>
      <c r="B69" s="7" t="s">
        <v>248</v>
      </c>
      <c r="C69" s="13" t="s">
        <v>249</v>
      </c>
      <c r="D69" s="11" t="n">
        <v>45367</v>
      </c>
      <c r="E69" s="12" t="n">
        <v>0.75</v>
      </c>
      <c r="F69" s="11" t="n">
        <v>45368</v>
      </c>
      <c r="G69" s="12" t="n">
        <v>0.739583333299375</v>
      </c>
      <c r="H69" s="10" t="n">
        <v>45739.0565193287</v>
      </c>
      <c r="I69" s="7" t="n">
        <v>6000</v>
      </c>
      <c r="J69" s="0" t="n">
        <f aca="false">IF(AND(D69&gt;=DATE(YEAR(D69),3,15),D69&lt;=DATE(YEAR(D69),6,10)),1,0)</f>
        <v>1</v>
      </c>
      <c r="K69" s="0" t="e">
        <f aca="false">VLOOKUP(D69,Festival_List!$A$2:$B$100,2,0)</f>
        <v>#N/A</v>
      </c>
      <c r="L69" s="0" t="n">
        <f aca="false">ROUND(((F69+G69)-(D69+E69))*24,0)</f>
        <v>24</v>
      </c>
      <c r="M69" s="0" t="n">
        <f aca="false">IF(OR(WEEKDAY(D69)=1,WEEKDAY(D69)=7),1,0)</f>
        <v>1</v>
      </c>
      <c r="N69" s="0" t="str">
        <f aca="false">IF(AND(MONTH(D69)&gt;=3,MONTH(D69)&lt;=6),"Summer",IF(AND(MONTH(D69)&gt;=7,MONTH(D69)&lt;=9),"Monsoon","Winter"))</f>
        <v>Summer</v>
      </c>
      <c r="O69" s="0" t="str">
        <f aca="false">IF(AND(L69&gt;=22,L69&lt;=25,E69&gt;=TIME(18,0,0)),"24H Night", IF(AND(L69&gt;=22,L69&lt;=25,E69&lt;TIME(18,0,0)),"24H Day", IF(AND(L69&gt;=11,L69&lt;=13,E69&gt;=TIME(18,0,0)),"12H Night", IF(AND(L69&gt;=11,L69&lt;=13,E69&lt;TIME(18,0,0)),"12H Day", IF(AND(L69&lt;10,E69&gt;=TIME(18,0,0)),"Couple Night", "Couple Day")))))</f>
        <v>24H Night</v>
      </c>
      <c r="P69" s="0" t="n">
        <f aca="false">WEEKDAY(D69,2)</f>
        <v>6</v>
      </c>
      <c r="Q69" s="0" t="n">
        <f aca="false">MONTH(D69)</f>
        <v>3</v>
      </c>
      <c r="R69" s="0" t="str">
        <f aca="false">"Q"&amp;ROUNDUP(MONTH(D69)/3,0)</f>
        <v>Q1</v>
      </c>
    </row>
    <row r="70" customFormat="false" ht="90.25" hidden="false" customHeight="false" outlineLevel="0" collapsed="false">
      <c r="A70" s="7" t="s">
        <v>250</v>
      </c>
      <c r="B70" s="7" t="s">
        <v>251</v>
      </c>
      <c r="C70" s="13" t="s">
        <v>252</v>
      </c>
      <c r="D70" s="11" t="n">
        <v>45368</v>
      </c>
      <c r="E70" s="12" t="n">
        <v>0.958333333299375</v>
      </c>
      <c r="F70" s="11" t="n">
        <v>45369</v>
      </c>
      <c r="G70" s="12" t="n">
        <v>0.999305555596945</v>
      </c>
      <c r="H70" s="10" t="n">
        <v>45368.889571412</v>
      </c>
      <c r="I70" s="7" t="n">
        <v>4000</v>
      </c>
      <c r="J70" s="0" t="n">
        <f aca="false">IF(AND(D70&gt;=DATE(YEAR(D70),3,15),D70&lt;=DATE(YEAR(D70),6,10)),1,0)</f>
        <v>1</v>
      </c>
      <c r="K70" s="0" t="e">
        <f aca="false">VLOOKUP(D70,Festival_List!$A$2:$B$100,2,0)</f>
        <v>#N/A</v>
      </c>
      <c r="L70" s="0" t="n">
        <f aca="false">ROUND(((F70+G70)-(D70+E70))*24,0)</f>
        <v>25</v>
      </c>
      <c r="M70" s="0" t="n">
        <f aca="false">IF(OR(WEEKDAY(D70)=1,WEEKDAY(D70)=7),1,0)</f>
        <v>1</v>
      </c>
      <c r="N70" s="0" t="str">
        <f aca="false">IF(AND(MONTH(D70)&gt;=3,MONTH(D70)&lt;=6),"Summer",IF(AND(MONTH(D70)&gt;=7,MONTH(D70)&lt;=9),"Monsoon","Winter"))</f>
        <v>Summer</v>
      </c>
      <c r="O70" s="0" t="str">
        <f aca="false">IF(AND(L70&gt;=22,L70&lt;=25,E70&gt;=TIME(18,0,0)),"24H Night", IF(AND(L70&gt;=22,L70&lt;=25,E70&lt;TIME(18,0,0)),"24H Day", IF(AND(L70&gt;=11,L70&lt;=13,E70&gt;=TIME(18,0,0)),"12H Night", IF(AND(L70&gt;=11,L70&lt;=13,E70&lt;TIME(18,0,0)),"12H Day", IF(AND(L70&lt;10,E70&gt;=TIME(18,0,0)),"Couple Night", "Couple Day")))))</f>
        <v>24H Night</v>
      </c>
      <c r="P70" s="0" t="n">
        <f aca="false">WEEKDAY(D70,2)</f>
        <v>7</v>
      </c>
      <c r="Q70" s="0" t="n">
        <f aca="false">MONTH(D70)</f>
        <v>3</v>
      </c>
      <c r="R70" s="0" t="str">
        <f aca="false">"Q"&amp;ROUNDUP(MONTH(D70)/3,0)</f>
        <v>Q1</v>
      </c>
    </row>
    <row r="71" customFormat="false" ht="128.35" hidden="false" customHeight="false" outlineLevel="0" collapsed="false">
      <c r="A71" s="7" t="s">
        <v>253</v>
      </c>
      <c r="B71" s="7" t="s">
        <v>254</v>
      </c>
      <c r="C71" s="13" t="s">
        <v>255</v>
      </c>
      <c r="D71" s="11" t="n">
        <v>45370</v>
      </c>
      <c r="E71" s="12" t="n">
        <v>0.375</v>
      </c>
      <c r="F71" s="11" t="n">
        <v>45370</v>
      </c>
      <c r="G71" s="12" t="n">
        <v>0.75</v>
      </c>
      <c r="H71" s="10" t="n">
        <v>45739.0565193287</v>
      </c>
      <c r="I71" s="7" t="n">
        <v>2250</v>
      </c>
      <c r="J71" s="0" t="n">
        <f aca="false">IF(AND(D71&gt;=DATE(YEAR(D71),3,15),D71&lt;=DATE(YEAR(D71),6,10)),1,0)</f>
        <v>1</v>
      </c>
      <c r="K71" s="0" t="e">
        <f aca="false">VLOOKUP(D71,Festival_List!$A$2:$B$100,2,0)</f>
        <v>#N/A</v>
      </c>
      <c r="L71" s="0" t="n">
        <f aca="false">ROUND(((F71+G71)-(D71+E71))*24,0)</f>
        <v>9</v>
      </c>
      <c r="M71" s="0" t="n">
        <f aca="false">IF(OR(WEEKDAY(D71)=1,WEEKDAY(D71)=7),1,0)</f>
        <v>0</v>
      </c>
      <c r="N71" s="0" t="str">
        <f aca="false">IF(AND(MONTH(D71)&gt;=3,MONTH(D71)&lt;=6),"Summer",IF(AND(MONTH(D71)&gt;=7,MONTH(D71)&lt;=9),"Monsoon","Winter"))</f>
        <v>Summer</v>
      </c>
      <c r="O71" s="0" t="str">
        <f aca="false">IF(AND(L71&gt;=22,L71&lt;=25,E71&gt;=TIME(18,0,0)),"24H Night", IF(AND(L71&gt;=22,L71&lt;=25,E71&lt;TIME(18,0,0)),"24H Day", IF(AND(L71&gt;=11,L71&lt;=13,E71&gt;=TIME(18,0,0)),"12H Night", IF(AND(L71&gt;=11,L71&lt;=13,E71&lt;TIME(18,0,0)),"12H Day", IF(AND(L71&lt;10,E71&gt;=TIME(18,0,0)),"Couple Night", "Couple Day")))))</f>
        <v>Couple Day</v>
      </c>
      <c r="P71" s="0" t="n">
        <f aca="false">WEEKDAY(D71,2)</f>
        <v>2</v>
      </c>
      <c r="Q71" s="0" t="n">
        <f aca="false">MONTH(D71)</f>
        <v>3</v>
      </c>
      <c r="R71" s="0" t="str">
        <f aca="false">"Q"&amp;ROUNDUP(MONTH(D71)/3,0)</f>
        <v>Q1</v>
      </c>
    </row>
    <row r="72" customFormat="false" ht="90.25" hidden="false" customHeight="false" outlineLevel="0" collapsed="false">
      <c r="A72" s="7" t="s">
        <v>256</v>
      </c>
      <c r="B72" s="7" t="s">
        <v>257</v>
      </c>
      <c r="C72" s="13" t="s">
        <v>258</v>
      </c>
      <c r="D72" s="11" t="n">
        <v>45371</v>
      </c>
      <c r="E72" s="12" t="n">
        <v>0.75</v>
      </c>
      <c r="F72" s="11" t="n">
        <v>45372</v>
      </c>
      <c r="G72" s="12" t="n">
        <v>0.75</v>
      </c>
      <c r="H72" s="10" t="n">
        <v>45739.0565193287</v>
      </c>
      <c r="I72" s="7" t="n">
        <v>4000</v>
      </c>
      <c r="J72" s="0" t="n">
        <f aca="false">IF(AND(D72&gt;=DATE(YEAR(D72),3,15),D72&lt;=DATE(YEAR(D72),6,10)),1,0)</f>
        <v>1</v>
      </c>
      <c r="K72" s="0" t="e">
        <f aca="false">VLOOKUP(D72,Festival_List!$A$2:$B$100,2,0)</f>
        <v>#N/A</v>
      </c>
      <c r="L72" s="0" t="n">
        <f aca="false">ROUND(((F72+G72)-(D72+E72))*24,0)</f>
        <v>24</v>
      </c>
      <c r="M72" s="0" t="n">
        <f aca="false">IF(OR(WEEKDAY(D72)=1,WEEKDAY(D72)=7),1,0)</f>
        <v>0</v>
      </c>
      <c r="N72" s="0" t="str">
        <f aca="false">IF(AND(MONTH(D72)&gt;=3,MONTH(D72)&lt;=6),"Summer",IF(AND(MONTH(D72)&gt;=7,MONTH(D72)&lt;=9),"Monsoon","Winter"))</f>
        <v>Summer</v>
      </c>
      <c r="O72" s="0" t="str">
        <f aca="false">IF(AND(L72&gt;=22,L72&lt;=25,E72&gt;=TIME(18,0,0)),"24H Night", IF(AND(L72&gt;=22,L72&lt;=25,E72&lt;TIME(18,0,0)),"24H Day", IF(AND(L72&gt;=11,L72&lt;=13,E72&gt;=TIME(18,0,0)),"12H Night", IF(AND(L72&gt;=11,L72&lt;=13,E72&lt;TIME(18,0,0)),"12H Day", IF(AND(L72&lt;10,E72&gt;=TIME(18,0,0)),"Couple Night", "Couple Day")))))</f>
        <v>24H Night</v>
      </c>
      <c r="P72" s="0" t="n">
        <f aca="false">WEEKDAY(D72,2)</f>
        <v>3</v>
      </c>
      <c r="Q72" s="0" t="n">
        <f aca="false">MONTH(D72)</f>
        <v>3</v>
      </c>
      <c r="R72" s="0" t="str">
        <f aca="false">"Q"&amp;ROUNDUP(MONTH(D72)/3,0)</f>
        <v>Q1</v>
      </c>
    </row>
    <row r="73" customFormat="false" ht="77.6" hidden="false" customHeight="false" outlineLevel="0" collapsed="false">
      <c r="A73" s="7" t="s">
        <v>259</v>
      </c>
      <c r="B73" s="7" t="s">
        <v>260</v>
      </c>
      <c r="C73" s="13" t="s">
        <v>261</v>
      </c>
      <c r="D73" s="11" t="n">
        <v>45373</v>
      </c>
      <c r="E73" s="12" t="n">
        <v>0.4375</v>
      </c>
      <c r="F73" s="11" t="n">
        <v>45374</v>
      </c>
      <c r="G73" s="12" t="n">
        <v>0.4375</v>
      </c>
      <c r="H73" s="10" t="n">
        <v>45753.2896971065</v>
      </c>
      <c r="I73" s="7" t="n">
        <v>6000</v>
      </c>
      <c r="J73" s="0" t="n">
        <f aca="false">IF(AND(D73&gt;=DATE(YEAR(D73),3,15),D73&lt;=DATE(YEAR(D73),6,10)),1,0)</f>
        <v>1</v>
      </c>
      <c r="K73" s="0" t="e">
        <f aca="false">VLOOKUP(D73,Festival_List!$A$2:$B$100,2,0)</f>
        <v>#N/A</v>
      </c>
      <c r="L73" s="0" t="n">
        <f aca="false">ROUND(((F73+G73)-(D73+E73))*24,0)</f>
        <v>24</v>
      </c>
      <c r="M73" s="0" t="n">
        <f aca="false">IF(OR(WEEKDAY(D73)=1,WEEKDAY(D73)=7),1,0)</f>
        <v>0</v>
      </c>
      <c r="N73" s="0" t="str">
        <f aca="false">IF(AND(MONTH(D73)&gt;=3,MONTH(D73)&lt;=6),"Summer",IF(AND(MONTH(D73)&gt;=7,MONTH(D73)&lt;=9),"Monsoon","Winter"))</f>
        <v>Summer</v>
      </c>
      <c r="O73" s="0" t="str">
        <f aca="false">IF(AND(L73&gt;=22,L73&lt;=25,E73&gt;=TIME(18,0,0)),"24H Night", IF(AND(L73&gt;=22,L73&lt;=25,E73&lt;TIME(18,0,0)),"24H Day", IF(AND(L73&gt;=11,L73&lt;=13,E73&gt;=TIME(18,0,0)),"12H Night", IF(AND(L73&gt;=11,L73&lt;=13,E73&lt;TIME(18,0,0)),"12H Day", IF(AND(L73&lt;10,E73&gt;=TIME(18,0,0)),"Couple Night", "Couple Day")))))</f>
        <v>24H Day</v>
      </c>
      <c r="P73" s="0" t="n">
        <f aca="false">WEEKDAY(D73,2)</f>
        <v>5</v>
      </c>
      <c r="Q73" s="0" t="n">
        <f aca="false">MONTH(D73)</f>
        <v>3</v>
      </c>
      <c r="R73" s="0" t="str">
        <f aca="false">"Q"&amp;ROUNDUP(MONTH(D73)/3,0)</f>
        <v>Q1</v>
      </c>
    </row>
    <row r="74" customFormat="false" ht="90.25" hidden="false" customHeight="false" outlineLevel="0" collapsed="false">
      <c r="A74" s="7" t="s">
        <v>262</v>
      </c>
      <c r="B74" s="7" t="s">
        <v>263</v>
      </c>
      <c r="C74" s="13" t="s">
        <v>264</v>
      </c>
      <c r="D74" s="11" t="n">
        <v>45374</v>
      </c>
      <c r="E74" s="12" t="n">
        <v>0.458333333299375</v>
      </c>
      <c r="F74" s="11" t="n">
        <v>45374</v>
      </c>
      <c r="G74" s="12" t="n">
        <v>0.708333333299375</v>
      </c>
      <c r="H74" s="10" t="n">
        <v>45370.5548295139</v>
      </c>
      <c r="I74" s="7" t="n">
        <v>2200</v>
      </c>
      <c r="J74" s="0" t="n">
        <f aca="false">IF(AND(D74&gt;=DATE(YEAR(D74),3,15),D74&lt;=DATE(YEAR(D74),6,10)),1,0)</f>
        <v>1</v>
      </c>
      <c r="K74" s="0" t="e">
        <f aca="false">VLOOKUP(D74,Festival_List!$A$2:$B$100,2,0)</f>
        <v>#N/A</v>
      </c>
      <c r="L74" s="0" t="n">
        <f aca="false">ROUND(((F74+G74)-(D74+E74))*24,0)</f>
        <v>6</v>
      </c>
      <c r="M74" s="0" t="n">
        <f aca="false">IF(OR(WEEKDAY(D74)=1,WEEKDAY(D74)=7),1,0)</f>
        <v>1</v>
      </c>
      <c r="N74" s="0" t="str">
        <f aca="false">IF(AND(MONTH(D74)&gt;=3,MONTH(D74)&lt;=6),"Summer",IF(AND(MONTH(D74)&gt;=7,MONTH(D74)&lt;=9),"Monsoon","Winter"))</f>
        <v>Summer</v>
      </c>
      <c r="O74" s="0" t="str">
        <f aca="false">IF(AND(L74&gt;=22,L74&lt;=25,E74&gt;=TIME(18,0,0)),"24H Night", IF(AND(L74&gt;=22,L74&lt;=25,E74&lt;TIME(18,0,0)),"24H Day", IF(AND(L74&gt;=11,L74&lt;=13,E74&gt;=TIME(18,0,0)),"12H Night", IF(AND(L74&gt;=11,L74&lt;=13,E74&lt;TIME(18,0,0)),"12H Day", IF(AND(L74&lt;10,E74&gt;=TIME(18,0,0)),"Couple Night", "Couple Day")))))</f>
        <v>Couple Day</v>
      </c>
      <c r="P74" s="0" t="n">
        <f aca="false">WEEKDAY(D74,2)</f>
        <v>6</v>
      </c>
      <c r="Q74" s="0" t="n">
        <f aca="false">MONTH(D74)</f>
        <v>3</v>
      </c>
      <c r="R74" s="0" t="str">
        <f aca="false">"Q"&amp;ROUNDUP(MONTH(D74)/3,0)</f>
        <v>Q1</v>
      </c>
    </row>
    <row r="75" customFormat="false" ht="115.65" hidden="false" customHeight="false" outlineLevel="0" collapsed="false">
      <c r="A75" s="7" t="s">
        <v>265</v>
      </c>
      <c r="B75" s="7" t="s">
        <v>266</v>
      </c>
      <c r="C75" s="13" t="s">
        <v>267</v>
      </c>
      <c r="D75" s="11" t="n">
        <v>45374</v>
      </c>
      <c r="E75" s="12" t="n">
        <v>0.75</v>
      </c>
      <c r="F75" s="11" t="n">
        <v>45375</v>
      </c>
      <c r="G75" s="12" t="n">
        <v>0.75</v>
      </c>
      <c r="H75" s="10" t="n">
        <v>45753.2896971065</v>
      </c>
      <c r="I75" s="7" t="n">
        <v>9000</v>
      </c>
      <c r="J75" s="0" t="n">
        <f aca="false">IF(AND(D75&gt;=DATE(YEAR(D75),3,15),D75&lt;=DATE(YEAR(D75),6,10)),1,0)</f>
        <v>1</v>
      </c>
      <c r="K75" s="0" t="e">
        <f aca="false">VLOOKUP(D75,Festival_List!$A$2:$B$100,2,0)</f>
        <v>#N/A</v>
      </c>
      <c r="L75" s="0" t="n">
        <f aca="false">ROUND(((F75+G75)-(D75+E75))*24,0)</f>
        <v>24</v>
      </c>
      <c r="M75" s="0" t="n">
        <f aca="false">IF(OR(WEEKDAY(D75)=1,WEEKDAY(D75)=7),1,0)</f>
        <v>1</v>
      </c>
      <c r="N75" s="0" t="str">
        <f aca="false">IF(AND(MONTH(D75)&gt;=3,MONTH(D75)&lt;=6),"Summer",IF(AND(MONTH(D75)&gt;=7,MONTH(D75)&lt;=9),"Monsoon","Winter"))</f>
        <v>Summer</v>
      </c>
      <c r="O75" s="0" t="str">
        <f aca="false">IF(AND(L75&gt;=22,L75&lt;=25,E75&gt;=TIME(18,0,0)),"24H Night", IF(AND(L75&gt;=22,L75&lt;=25,E75&lt;TIME(18,0,0)),"24H Day", IF(AND(L75&gt;=11,L75&lt;=13,E75&gt;=TIME(18,0,0)),"12H Night", IF(AND(L75&gt;=11,L75&lt;=13,E75&lt;TIME(18,0,0)),"12H Day", IF(AND(L75&lt;10,E75&gt;=TIME(18,0,0)),"Couple Night", "Couple Day")))))</f>
        <v>24H Night</v>
      </c>
      <c r="P75" s="0" t="n">
        <f aca="false">WEEKDAY(D75,2)</f>
        <v>6</v>
      </c>
      <c r="Q75" s="0" t="n">
        <f aca="false">MONTH(D75)</f>
        <v>3</v>
      </c>
      <c r="R75" s="0" t="str">
        <f aca="false">"Q"&amp;ROUNDUP(MONTH(D75)/3,0)</f>
        <v>Q1</v>
      </c>
    </row>
    <row r="76" customFormat="false" ht="115.65" hidden="false" customHeight="false" outlineLevel="0" collapsed="false">
      <c r="A76" s="7" t="s">
        <v>268</v>
      </c>
      <c r="B76" s="7" t="s">
        <v>269</v>
      </c>
      <c r="C76" s="13" t="s">
        <v>270</v>
      </c>
      <c r="D76" s="11" t="n">
        <v>45375</v>
      </c>
      <c r="E76" s="12" t="n">
        <v>0.75</v>
      </c>
      <c r="F76" s="11" t="n">
        <v>45376</v>
      </c>
      <c r="G76" s="12" t="n">
        <v>0.75</v>
      </c>
      <c r="H76" s="10" t="n">
        <v>45725.4754793982</v>
      </c>
      <c r="I76" s="7" t="n">
        <v>18000</v>
      </c>
      <c r="J76" s="0" t="n">
        <f aca="false">IF(AND(D76&gt;=DATE(YEAR(D76),3,15),D76&lt;=DATE(YEAR(D76),6,10)),1,0)</f>
        <v>1</v>
      </c>
      <c r="K76" s="0" t="e">
        <f aca="false">VLOOKUP(D76,Festival_List!$A$2:$B$100,2,0)</f>
        <v>#N/A</v>
      </c>
      <c r="L76" s="0" t="n">
        <f aca="false">ROUND(((F76+G76)-(D76+E76))*24,0)</f>
        <v>24</v>
      </c>
      <c r="M76" s="0" t="n">
        <f aca="false">IF(OR(WEEKDAY(D76)=1,WEEKDAY(D76)=7),1,0)</f>
        <v>1</v>
      </c>
      <c r="N76" s="0" t="str">
        <f aca="false">IF(AND(MONTH(D76)&gt;=3,MONTH(D76)&lt;=6),"Summer",IF(AND(MONTH(D76)&gt;=7,MONTH(D76)&lt;=9),"Monsoon","Winter"))</f>
        <v>Summer</v>
      </c>
      <c r="O76" s="0" t="str">
        <f aca="false">IF(AND(L76&gt;=22,L76&lt;=25,E76&gt;=TIME(18,0,0)),"24H Night", IF(AND(L76&gt;=22,L76&lt;=25,E76&lt;TIME(18,0,0)),"24H Day", IF(AND(L76&gt;=11,L76&lt;=13,E76&gt;=TIME(18,0,0)),"12H Night", IF(AND(L76&gt;=11,L76&lt;=13,E76&lt;TIME(18,0,0)),"12H Day", IF(AND(L76&lt;10,E76&gt;=TIME(18,0,0)),"Couple Night", "Couple Day")))))</f>
        <v>24H Night</v>
      </c>
      <c r="P76" s="0" t="n">
        <f aca="false">WEEKDAY(D76,2)</f>
        <v>7</v>
      </c>
      <c r="Q76" s="0" t="n">
        <f aca="false">MONTH(D76)</f>
        <v>3</v>
      </c>
      <c r="R76" s="0" t="str">
        <f aca="false">"Q"&amp;ROUNDUP(MONTH(D76)/3,0)</f>
        <v>Q1</v>
      </c>
    </row>
    <row r="77" customFormat="false" ht="90.25" hidden="false" customHeight="false" outlineLevel="0" collapsed="false">
      <c r="A77" s="7" t="s">
        <v>271</v>
      </c>
      <c r="B77" s="7" t="s">
        <v>272</v>
      </c>
      <c r="C77" s="13" t="s">
        <v>273</v>
      </c>
      <c r="D77" s="11" t="n">
        <v>45377</v>
      </c>
      <c r="E77" s="12" t="n">
        <v>0.75</v>
      </c>
      <c r="F77" s="11" t="n">
        <v>45378</v>
      </c>
      <c r="G77" s="12" t="n">
        <v>0.75</v>
      </c>
      <c r="H77" s="10" t="n">
        <v>45375.4195953704</v>
      </c>
      <c r="I77" s="7" t="n">
        <v>3500</v>
      </c>
      <c r="J77" s="0" t="n">
        <f aca="false">IF(AND(D77&gt;=DATE(YEAR(D77),3,15),D77&lt;=DATE(YEAR(D77),6,10)),1,0)</f>
        <v>1</v>
      </c>
      <c r="K77" s="0" t="str">
        <f aca="false">VLOOKUP(D77,Festival_List!$A$2:$B$100,2,0)</f>
        <v>Dhuleti</v>
      </c>
      <c r="L77" s="0" t="n">
        <f aca="false">ROUND(((F77+G77)-(D77+E77))*24,0)</f>
        <v>24</v>
      </c>
      <c r="M77" s="0" t="n">
        <f aca="false">IF(OR(WEEKDAY(D77)=1,WEEKDAY(D77)=7),1,0)</f>
        <v>0</v>
      </c>
      <c r="N77" s="0" t="str">
        <f aca="false">IF(AND(MONTH(D77)&gt;=3,MONTH(D77)&lt;=6),"Summer",IF(AND(MONTH(D77)&gt;=7,MONTH(D77)&lt;=9),"Monsoon","Winter"))</f>
        <v>Summer</v>
      </c>
      <c r="O77" s="0" t="str">
        <f aca="false">IF(AND(L77&gt;=22,L77&lt;=25,E77&gt;=TIME(18,0,0)),"24H Night", IF(AND(L77&gt;=22,L77&lt;=25,E77&lt;TIME(18,0,0)),"24H Day", IF(AND(L77&gt;=11,L77&lt;=13,E77&gt;=TIME(18,0,0)),"12H Night", IF(AND(L77&gt;=11,L77&lt;=13,E77&lt;TIME(18,0,0)),"12H Day", IF(AND(L77&lt;10,E77&gt;=TIME(18,0,0)),"Couple Night", "Couple Day")))))</f>
        <v>24H Night</v>
      </c>
      <c r="P77" s="0" t="n">
        <f aca="false">WEEKDAY(D77,2)</f>
        <v>2</v>
      </c>
      <c r="Q77" s="0" t="n">
        <f aca="false">MONTH(D77)</f>
        <v>3</v>
      </c>
      <c r="R77" s="0" t="str">
        <f aca="false">"Q"&amp;ROUNDUP(MONTH(D77)/3,0)</f>
        <v>Q1</v>
      </c>
    </row>
    <row r="78" customFormat="false" ht="115.65" hidden="false" customHeight="false" outlineLevel="0" collapsed="false">
      <c r="A78" s="7" t="s">
        <v>274</v>
      </c>
      <c r="B78" s="7" t="s">
        <v>275</v>
      </c>
      <c r="C78" s="13" t="s">
        <v>276</v>
      </c>
      <c r="D78" s="11" t="n">
        <v>45378</v>
      </c>
      <c r="E78" s="12" t="n">
        <v>0.75</v>
      </c>
      <c r="F78" s="11" t="n">
        <v>45379</v>
      </c>
      <c r="G78" s="12" t="n">
        <v>0.75</v>
      </c>
      <c r="H78" s="10" t="n">
        <v>45377.9561126157</v>
      </c>
      <c r="I78" s="7" t="n">
        <v>4000</v>
      </c>
      <c r="J78" s="0" t="n">
        <f aca="false">IF(AND(D78&gt;=DATE(YEAR(D78),3,15),D78&lt;=DATE(YEAR(D78),6,10)),1,0)</f>
        <v>1</v>
      </c>
      <c r="K78" s="0" t="e">
        <f aca="false">VLOOKUP(D78,Festival_List!$A$2:$B$100,2,0)</f>
        <v>#N/A</v>
      </c>
      <c r="L78" s="0" t="n">
        <f aca="false">ROUND(((F78+G78)-(D78+E78))*24,0)</f>
        <v>24</v>
      </c>
      <c r="M78" s="0" t="n">
        <f aca="false">IF(OR(WEEKDAY(D78)=1,WEEKDAY(D78)=7),1,0)</f>
        <v>0</v>
      </c>
      <c r="N78" s="0" t="str">
        <f aca="false">IF(AND(MONTH(D78)&gt;=3,MONTH(D78)&lt;=6),"Summer",IF(AND(MONTH(D78)&gt;=7,MONTH(D78)&lt;=9),"Monsoon","Winter"))</f>
        <v>Summer</v>
      </c>
      <c r="O78" s="0" t="str">
        <f aca="false">IF(AND(L78&gt;=22,L78&lt;=25,E78&gt;=TIME(18,0,0)),"24H Night", IF(AND(L78&gt;=22,L78&lt;=25,E78&lt;TIME(18,0,0)),"24H Day", IF(AND(L78&gt;=11,L78&lt;=13,E78&gt;=TIME(18,0,0)),"12H Night", IF(AND(L78&gt;=11,L78&lt;=13,E78&lt;TIME(18,0,0)),"12H Day", IF(AND(L78&lt;10,E78&gt;=TIME(18,0,0)),"Couple Night", "Couple Day")))))</f>
        <v>24H Night</v>
      </c>
      <c r="P78" s="0" t="n">
        <f aca="false">WEEKDAY(D78,2)</f>
        <v>3</v>
      </c>
      <c r="Q78" s="0" t="n">
        <f aca="false">MONTH(D78)</f>
        <v>3</v>
      </c>
      <c r="R78" s="0" t="str">
        <f aca="false">"Q"&amp;ROUNDUP(MONTH(D78)/3,0)</f>
        <v>Q1</v>
      </c>
    </row>
    <row r="79" customFormat="false" ht="115.65" hidden="false" customHeight="false" outlineLevel="0" collapsed="false">
      <c r="A79" s="7" t="s">
        <v>277</v>
      </c>
      <c r="B79" s="7" t="s">
        <v>278</v>
      </c>
      <c r="C79" s="13" t="s">
        <v>279</v>
      </c>
      <c r="D79" s="11" t="n">
        <v>45379</v>
      </c>
      <c r="E79" s="12" t="n">
        <v>0.75</v>
      </c>
      <c r="F79" s="11" t="n">
        <v>45380</v>
      </c>
      <c r="G79" s="12" t="n">
        <v>0.75</v>
      </c>
      <c r="H79" s="10" t="n">
        <v>45753.2896971065</v>
      </c>
      <c r="I79" s="7" t="n">
        <v>3500</v>
      </c>
      <c r="J79" s="0" t="n">
        <f aca="false">IF(AND(D79&gt;=DATE(YEAR(D79),3,15),D79&lt;=DATE(YEAR(D79),6,10)),1,0)</f>
        <v>1</v>
      </c>
      <c r="K79" s="0" t="e">
        <f aca="false">VLOOKUP(D79,Festival_List!$A$2:$B$100,2,0)</f>
        <v>#N/A</v>
      </c>
      <c r="L79" s="0" t="n">
        <f aca="false">ROUND(((F79+G79)-(D79+E79))*24,0)</f>
        <v>24</v>
      </c>
      <c r="M79" s="0" t="n">
        <f aca="false">IF(OR(WEEKDAY(D79)=1,WEEKDAY(D79)=7),1,0)</f>
        <v>0</v>
      </c>
      <c r="N79" s="0" t="str">
        <f aca="false">IF(AND(MONTH(D79)&gt;=3,MONTH(D79)&lt;=6),"Summer",IF(AND(MONTH(D79)&gt;=7,MONTH(D79)&lt;=9),"Monsoon","Winter"))</f>
        <v>Summer</v>
      </c>
      <c r="O79" s="0" t="str">
        <f aca="false">IF(AND(L79&gt;=22,L79&lt;=25,E79&gt;=TIME(18,0,0)),"24H Night", IF(AND(L79&gt;=22,L79&lt;=25,E79&lt;TIME(18,0,0)),"24H Day", IF(AND(L79&gt;=11,L79&lt;=13,E79&gt;=TIME(18,0,0)),"12H Night", IF(AND(L79&gt;=11,L79&lt;=13,E79&lt;TIME(18,0,0)),"12H Day", IF(AND(L79&lt;10,E79&gt;=TIME(18,0,0)),"Couple Night", "Couple Day")))))</f>
        <v>24H Night</v>
      </c>
      <c r="P79" s="0" t="n">
        <f aca="false">WEEKDAY(D79,2)</f>
        <v>4</v>
      </c>
      <c r="Q79" s="0" t="n">
        <f aca="false">MONTH(D79)</f>
        <v>3</v>
      </c>
      <c r="R79" s="0" t="str">
        <f aca="false">"Q"&amp;ROUNDUP(MONTH(D79)/3,0)</f>
        <v>Q1</v>
      </c>
    </row>
    <row r="80" customFormat="false" ht="115.65" hidden="false" customHeight="false" outlineLevel="0" collapsed="false">
      <c r="A80" s="7" t="s">
        <v>280</v>
      </c>
      <c r="B80" s="7" t="s">
        <v>281</v>
      </c>
      <c r="C80" s="13" t="s">
        <v>282</v>
      </c>
      <c r="D80" s="11" t="n">
        <v>45380</v>
      </c>
      <c r="E80" s="12" t="n">
        <v>0.75</v>
      </c>
      <c r="F80" s="11" t="n">
        <v>45381</v>
      </c>
      <c r="G80" s="12" t="n">
        <v>0.75</v>
      </c>
      <c r="H80" s="10" t="n">
        <v>45753.2896971065</v>
      </c>
      <c r="I80" s="7" t="n">
        <v>3800</v>
      </c>
      <c r="J80" s="0" t="n">
        <f aca="false">IF(AND(D80&gt;=DATE(YEAR(D80),3,15),D80&lt;=DATE(YEAR(D80),6,10)),1,0)</f>
        <v>1</v>
      </c>
      <c r="K80" s="0" t="str">
        <f aca="false">VLOOKUP(D80,Festival_List!$A$2:$B$100,2,0)</f>
        <v>Good Friday</v>
      </c>
      <c r="L80" s="0" t="n">
        <f aca="false">ROUND(((F80+G80)-(D80+E80))*24,0)</f>
        <v>24</v>
      </c>
      <c r="M80" s="0" t="n">
        <f aca="false">IF(OR(WEEKDAY(D80)=1,WEEKDAY(D80)=7),1,0)</f>
        <v>0</v>
      </c>
      <c r="N80" s="0" t="str">
        <f aca="false">IF(AND(MONTH(D80)&gt;=3,MONTH(D80)&lt;=6),"Summer",IF(AND(MONTH(D80)&gt;=7,MONTH(D80)&lt;=9),"Monsoon","Winter"))</f>
        <v>Summer</v>
      </c>
      <c r="O80" s="0" t="str">
        <f aca="false">IF(AND(L80&gt;=22,L80&lt;=25,E80&gt;=TIME(18,0,0)),"24H Night", IF(AND(L80&gt;=22,L80&lt;=25,E80&lt;TIME(18,0,0)),"24H Day", IF(AND(L80&gt;=11,L80&lt;=13,E80&gt;=TIME(18,0,0)),"12H Night", IF(AND(L80&gt;=11,L80&lt;=13,E80&lt;TIME(18,0,0)),"12H Day", IF(AND(L80&lt;10,E80&gt;=TIME(18,0,0)),"Couple Night", "Couple Day")))))</f>
        <v>24H Night</v>
      </c>
      <c r="P80" s="0" t="n">
        <f aca="false">WEEKDAY(D80,2)</f>
        <v>5</v>
      </c>
      <c r="Q80" s="0" t="n">
        <f aca="false">MONTH(D80)</f>
        <v>3</v>
      </c>
      <c r="R80" s="0" t="str">
        <f aca="false">"Q"&amp;ROUNDUP(MONTH(D80)/3,0)</f>
        <v>Q1</v>
      </c>
    </row>
    <row r="81" customFormat="false" ht="153.7" hidden="false" customHeight="false" outlineLevel="0" collapsed="false">
      <c r="A81" s="7" t="s">
        <v>283</v>
      </c>
      <c r="B81" s="7" t="s">
        <v>284</v>
      </c>
      <c r="C81" s="13" t="s">
        <v>285</v>
      </c>
      <c r="D81" s="11" t="n">
        <v>45381</v>
      </c>
      <c r="E81" s="12" t="n">
        <v>0.75</v>
      </c>
      <c r="F81" s="11" t="n">
        <v>45382</v>
      </c>
      <c r="G81" s="12" t="n">
        <v>0.75</v>
      </c>
      <c r="H81" s="10" t="n">
        <v>45381.7076142361</v>
      </c>
      <c r="I81" s="7" t="n">
        <v>7000</v>
      </c>
      <c r="J81" s="0" t="n">
        <f aca="false">IF(AND(D81&gt;=DATE(YEAR(D81),3,15),D81&lt;=DATE(YEAR(D81),6,10)),1,0)</f>
        <v>1</v>
      </c>
      <c r="K81" s="0" t="e">
        <f aca="false">VLOOKUP(D81,Festival_List!$A$2:$B$100,2,0)</f>
        <v>#N/A</v>
      </c>
      <c r="L81" s="0" t="n">
        <f aca="false">ROUND(((F81+G81)-(D81+E81))*24,0)</f>
        <v>24</v>
      </c>
      <c r="M81" s="0" t="n">
        <f aca="false">IF(OR(WEEKDAY(D81)=1,WEEKDAY(D81)=7),1,0)</f>
        <v>1</v>
      </c>
      <c r="N81" s="0" t="str">
        <f aca="false">IF(AND(MONTH(D81)&gt;=3,MONTH(D81)&lt;=6),"Summer",IF(AND(MONTH(D81)&gt;=7,MONTH(D81)&lt;=9),"Monsoon","Winter"))</f>
        <v>Summer</v>
      </c>
      <c r="O81" s="0" t="str">
        <f aca="false">IF(AND(L81&gt;=22,L81&lt;=25,E81&gt;=TIME(18,0,0)),"24H Night", IF(AND(L81&gt;=22,L81&lt;=25,E81&lt;TIME(18,0,0)),"24H Day", IF(AND(L81&gt;=11,L81&lt;=13,E81&gt;=TIME(18,0,0)),"12H Night", IF(AND(L81&gt;=11,L81&lt;=13,E81&lt;TIME(18,0,0)),"12H Day", IF(AND(L81&lt;10,E81&gt;=TIME(18,0,0)),"Couple Night", "Couple Day")))))</f>
        <v>24H Night</v>
      </c>
      <c r="P81" s="0" t="n">
        <f aca="false">WEEKDAY(D81,2)</f>
        <v>6</v>
      </c>
      <c r="Q81" s="0" t="n">
        <f aca="false">MONTH(D81)</f>
        <v>3</v>
      </c>
      <c r="R81" s="0" t="str">
        <f aca="false">"Q"&amp;ROUNDUP(MONTH(D81)/3,0)</f>
        <v>Q1</v>
      </c>
    </row>
    <row r="82" customFormat="false" ht="115.65" hidden="false" customHeight="false" outlineLevel="0" collapsed="false">
      <c r="A82" s="7" t="s">
        <v>286</v>
      </c>
      <c r="B82" s="7" t="s">
        <v>287</v>
      </c>
      <c r="C82" s="13" t="s">
        <v>288</v>
      </c>
      <c r="D82" s="11" t="n">
        <v>45382</v>
      </c>
      <c r="E82" s="12" t="n">
        <v>0.75</v>
      </c>
      <c r="F82" s="11" t="n">
        <v>45383</v>
      </c>
      <c r="G82" s="12" t="n">
        <v>0.75</v>
      </c>
      <c r="H82" s="10" t="n">
        <v>45753.2896971065</v>
      </c>
      <c r="I82" s="7" t="n">
        <v>4500</v>
      </c>
      <c r="J82" s="0" t="n">
        <f aca="false">IF(AND(D82&gt;=DATE(YEAR(D82),3,15),D82&lt;=DATE(YEAR(D82),6,10)),1,0)</f>
        <v>1</v>
      </c>
      <c r="K82" s="0" t="e">
        <f aca="false">VLOOKUP(D82,Festival_List!$A$2:$B$100,2,0)</f>
        <v>#N/A</v>
      </c>
      <c r="L82" s="0" t="n">
        <f aca="false">ROUND(((F82+G82)-(D82+E82))*24,0)</f>
        <v>24</v>
      </c>
      <c r="M82" s="0" t="n">
        <f aca="false">IF(OR(WEEKDAY(D82)=1,WEEKDAY(D82)=7),1,0)</f>
        <v>1</v>
      </c>
      <c r="N82" s="0" t="str">
        <f aca="false">IF(AND(MONTH(D82)&gt;=3,MONTH(D82)&lt;=6),"Summer",IF(AND(MONTH(D82)&gt;=7,MONTH(D82)&lt;=9),"Monsoon","Winter"))</f>
        <v>Summer</v>
      </c>
      <c r="O82" s="0" t="str">
        <f aca="false">IF(AND(L82&gt;=22,L82&lt;=25,E82&gt;=TIME(18,0,0)),"24H Night", IF(AND(L82&gt;=22,L82&lt;=25,E82&lt;TIME(18,0,0)),"24H Day", IF(AND(L82&gt;=11,L82&lt;=13,E82&gt;=TIME(18,0,0)),"12H Night", IF(AND(L82&gt;=11,L82&lt;=13,E82&lt;TIME(18,0,0)),"12H Day", IF(AND(L82&lt;10,E82&gt;=TIME(18,0,0)),"Couple Night", "Couple Day")))))</f>
        <v>24H Night</v>
      </c>
      <c r="P82" s="0" t="n">
        <f aca="false">WEEKDAY(D82,2)</f>
        <v>7</v>
      </c>
      <c r="Q82" s="0" t="n">
        <f aca="false">MONTH(D82)</f>
        <v>3</v>
      </c>
      <c r="R82" s="0" t="str">
        <f aca="false">"Q"&amp;ROUNDUP(MONTH(D82)/3,0)</f>
        <v>Q1</v>
      </c>
    </row>
    <row r="83" customFormat="false" ht="115.65" hidden="false" customHeight="false" outlineLevel="0" collapsed="false">
      <c r="A83" s="7" t="s">
        <v>289</v>
      </c>
      <c r="B83" s="7" t="s">
        <v>290</v>
      </c>
      <c r="C83" s="13" t="s">
        <v>291</v>
      </c>
      <c r="D83" s="11" t="n">
        <v>45384</v>
      </c>
      <c r="E83" s="12" t="n">
        <v>0.5</v>
      </c>
      <c r="F83" s="11" t="n">
        <v>45384</v>
      </c>
      <c r="G83" s="12" t="n">
        <v>0.708333333299375</v>
      </c>
      <c r="H83" s="10" t="n">
        <v>45753.2896971065</v>
      </c>
      <c r="I83" s="7" t="n">
        <v>3000</v>
      </c>
      <c r="J83" s="0" t="n">
        <f aca="false">IF(AND(D83&gt;=DATE(YEAR(D83),3,15),D83&lt;=DATE(YEAR(D83),6,10)),1,0)</f>
        <v>1</v>
      </c>
      <c r="K83" s="0" t="e">
        <f aca="false">VLOOKUP(D83,Festival_List!$A$2:$B$100,2,0)</f>
        <v>#N/A</v>
      </c>
      <c r="L83" s="0" t="n">
        <f aca="false">ROUND(((F83+G83)-(D83+E83))*24,0)</f>
        <v>5</v>
      </c>
      <c r="M83" s="0" t="n">
        <f aca="false">IF(OR(WEEKDAY(D83)=1,WEEKDAY(D83)=7),1,0)</f>
        <v>0</v>
      </c>
      <c r="N83" s="0" t="str">
        <f aca="false">IF(AND(MONTH(D83)&gt;=3,MONTH(D83)&lt;=6),"Summer",IF(AND(MONTH(D83)&gt;=7,MONTH(D83)&lt;=9),"Monsoon","Winter"))</f>
        <v>Summer</v>
      </c>
      <c r="O83" s="0" t="str">
        <f aca="false">IF(AND(L83&gt;=22,L83&lt;=25,E83&gt;=TIME(18,0,0)),"24H Night", IF(AND(L83&gt;=22,L83&lt;=25,E83&lt;TIME(18,0,0)),"24H Day", IF(AND(L83&gt;=11,L83&lt;=13,E83&gt;=TIME(18,0,0)),"12H Night", IF(AND(L83&gt;=11,L83&lt;=13,E83&lt;TIME(18,0,0)),"12H Day", IF(AND(L83&lt;10,E83&gt;=TIME(18,0,0)),"Couple Night", "Couple Day")))))</f>
        <v>Couple Day</v>
      </c>
      <c r="P83" s="0" t="n">
        <f aca="false">WEEKDAY(D83,2)</f>
        <v>2</v>
      </c>
      <c r="Q83" s="0" t="n">
        <f aca="false">MONTH(D83)</f>
        <v>4</v>
      </c>
      <c r="R83" s="0" t="str">
        <f aca="false">"Q"&amp;ROUNDUP(MONTH(D83)/3,0)</f>
        <v>Q2</v>
      </c>
    </row>
    <row r="84" customFormat="false" ht="115.65" hidden="false" customHeight="false" outlineLevel="0" collapsed="false">
      <c r="A84" s="7" t="s">
        <v>292</v>
      </c>
      <c r="B84" s="7" t="s">
        <v>293</v>
      </c>
      <c r="C84" s="13" t="s">
        <v>294</v>
      </c>
      <c r="D84" s="11" t="n">
        <v>45384</v>
      </c>
      <c r="E84" s="12" t="n">
        <v>0.75</v>
      </c>
      <c r="F84" s="11" t="n">
        <v>45385</v>
      </c>
      <c r="G84" s="12" t="n">
        <v>0.75</v>
      </c>
      <c r="H84" s="10" t="n">
        <v>45383.42175</v>
      </c>
      <c r="I84" s="7" t="n">
        <v>4000</v>
      </c>
      <c r="J84" s="0" t="n">
        <f aca="false">IF(AND(D84&gt;=DATE(YEAR(D84),3,15),D84&lt;=DATE(YEAR(D84),6,10)),1,0)</f>
        <v>1</v>
      </c>
      <c r="K84" s="0" t="e">
        <f aca="false">VLOOKUP(D84,Festival_List!$A$2:$B$100,2,0)</f>
        <v>#N/A</v>
      </c>
      <c r="L84" s="0" t="n">
        <f aca="false">ROUND(((F84+G84)-(D84+E84))*24,0)</f>
        <v>24</v>
      </c>
      <c r="M84" s="0" t="n">
        <f aca="false">IF(OR(WEEKDAY(D84)=1,WEEKDAY(D84)=7),1,0)</f>
        <v>0</v>
      </c>
      <c r="N84" s="0" t="str">
        <f aca="false">IF(AND(MONTH(D84)&gt;=3,MONTH(D84)&lt;=6),"Summer",IF(AND(MONTH(D84)&gt;=7,MONTH(D84)&lt;=9),"Monsoon","Winter"))</f>
        <v>Summer</v>
      </c>
      <c r="O84" s="0" t="str">
        <f aca="false">IF(AND(L84&gt;=22,L84&lt;=25,E84&gt;=TIME(18,0,0)),"24H Night", IF(AND(L84&gt;=22,L84&lt;=25,E84&lt;TIME(18,0,0)),"24H Day", IF(AND(L84&gt;=11,L84&lt;=13,E84&gt;=TIME(18,0,0)),"12H Night", IF(AND(L84&gt;=11,L84&lt;=13,E84&lt;TIME(18,0,0)),"12H Day", IF(AND(L84&lt;10,E84&gt;=TIME(18,0,0)),"Couple Night", "Couple Day")))))</f>
        <v>24H Night</v>
      </c>
      <c r="P84" s="0" t="n">
        <f aca="false">WEEKDAY(D84,2)</f>
        <v>2</v>
      </c>
      <c r="Q84" s="0" t="n">
        <f aca="false">MONTH(D84)</f>
        <v>4</v>
      </c>
      <c r="R84" s="0" t="str">
        <f aca="false">"Q"&amp;ROUNDUP(MONTH(D84)/3,0)</f>
        <v>Q2</v>
      </c>
    </row>
    <row r="85" customFormat="false" ht="115.65" hidden="false" customHeight="false" outlineLevel="0" collapsed="false">
      <c r="A85" s="7" t="s">
        <v>295</v>
      </c>
      <c r="B85" s="7" t="s">
        <v>296</v>
      </c>
      <c r="C85" s="13" t="s">
        <v>297</v>
      </c>
      <c r="D85" s="11" t="n">
        <v>45386</v>
      </c>
      <c r="E85" s="12" t="n">
        <v>0.25</v>
      </c>
      <c r="F85" s="11" t="n">
        <v>45386</v>
      </c>
      <c r="G85" s="12" t="n">
        <v>0.75</v>
      </c>
      <c r="H85" s="10" t="n">
        <v>45373.7241739583</v>
      </c>
      <c r="I85" s="7" t="n">
        <v>4000</v>
      </c>
      <c r="J85" s="0" t="n">
        <f aca="false">IF(AND(D85&gt;=DATE(YEAR(D85),3,15),D85&lt;=DATE(YEAR(D85),6,10)),1,0)</f>
        <v>1</v>
      </c>
      <c r="K85" s="0" t="e">
        <f aca="false">VLOOKUP(D85,Festival_List!$A$2:$B$100,2,0)</f>
        <v>#N/A</v>
      </c>
      <c r="L85" s="0" t="n">
        <f aca="false">ROUND(((F85+G85)-(D85+E85))*24,0)</f>
        <v>12</v>
      </c>
      <c r="M85" s="0" t="n">
        <f aca="false">IF(OR(WEEKDAY(D85)=1,WEEKDAY(D85)=7),1,0)</f>
        <v>0</v>
      </c>
      <c r="N85" s="0" t="str">
        <f aca="false">IF(AND(MONTH(D85)&gt;=3,MONTH(D85)&lt;=6),"Summer",IF(AND(MONTH(D85)&gt;=7,MONTH(D85)&lt;=9),"Monsoon","Winter"))</f>
        <v>Summer</v>
      </c>
      <c r="O85" s="0" t="str">
        <f aca="false">IF(AND(L85&gt;=22,L85&lt;=25,E85&gt;=TIME(18,0,0)),"24H Night", IF(AND(L85&gt;=22,L85&lt;=25,E85&lt;TIME(18,0,0)),"24H Day", IF(AND(L85&gt;=11,L85&lt;=13,E85&gt;=TIME(18,0,0)),"12H Night", IF(AND(L85&gt;=11,L85&lt;=13,E85&lt;TIME(18,0,0)),"12H Day", IF(AND(L85&lt;10,E85&gt;=TIME(18,0,0)),"Couple Night", "Couple Day")))))</f>
        <v>12H Day</v>
      </c>
      <c r="P85" s="0" t="n">
        <f aca="false">WEEKDAY(D85,2)</f>
        <v>4</v>
      </c>
      <c r="Q85" s="0" t="n">
        <f aca="false">MONTH(D85)</f>
        <v>4</v>
      </c>
      <c r="R85" s="0" t="str">
        <f aca="false">"Q"&amp;ROUNDUP(MONTH(D85)/3,0)</f>
        <v>Q2</v>
      </c>
    </row>
    <row r="86" customFormat="false" ht="115.65" hidden="false" customHeight="false" outlineLevel="0" collapsed="false">
      <c r="A86" s="7" t="s">
        <v>298</v>
      </c>
      <c r="B86" s="7" t="s">
        <v>299</v>
      </c>
      <c r="C86" s="13" t="s">
        <v>300</v>
      </c>
      <c r="D86" s="11" t="n">
        <v>45386</v>
      </c>
      <c r="E86" s="12" t="n">
        <v>0.75</v>
      </c>
      <c r="F86" s="11" t="n">
        <v>45387</v>
      </c>
      <c r="G86" s="12" t="n">
        <v>0.75</v>
      </c>
      <c r="H86" s="10" t="n">
        <v>45753.2896971065</v>
      </c>
      <c r="I86" s="7" t="n">
        <v>4500</v>
      </c>
      <c r="J86" s="0" t="n">
        <f aca="false">IF(AND(D86&gt;=DATE(YEAR(D86),3,15),D86&lt;=DATE(YEAR(D86),6,10)),1,0)</f>
        <v>1</v>
      </c>
      <c r="K86" s="0" t="e">
        <f aca="false">VLOOKUP(D86,Festival_List!$A$2:$B$100,2,0)</f>
        <v>#N/A</v>
      </c>
      <c r="L86" s="0" t="n">
        <f aca="false">ROUND(((F86+G86)-(D86+E86))*24,0)</f>
        <v>24</v>
      </c>
      <c r="M86" s="0" t="n">
        <f aca="false">IF(OR(WEEKDAY(D86)=1,WEEKDAY(D86)=7),1,0)</f>
        <v>0</v>
      </c>
      <c r="N86" s="0" t="str">
        <f aca="false">IF(AND(MONTH(D86)&gt;=3,MONTH(D86)&lt;=6),"Summer",IF(AND(MONTH(D86)&gt;=7,MONTH(D86)&lt;=9),"Monsoon","Winter"))</f>
        <v>Summer</v>
      </c>
      <c r="O86" s="0" t="str">
        <f aca="false">IF(AND(L86&gt;=22,L86&lt;=25,E86&gt;=TIME(18,0,0)),"24H Night", IF(AND(L86&gt;=22,L86&lt;=25,E86&lt;TIME(18,0,0)),"24H Day", IF(AND(L86&gt;=11,L86&lt;=13,E86&gt;=TIME(18,0,0)),"12H Night", IF(AND(L86&gt;=11,L86&lt;=13,E86&lt;TIME(18,0,0)),"12H Day", IF(AND(L86&lt;10,E86&gt;=TIME(18,0,0)),"Couple Night", "Couple Day")))))</f>
        <v>24H Night</v>
      </c>
      <c r="P86" s="0" t="n">
        <f aca="false">WEEKDAY(D86,2)</f>
        <v>4</v>
      </c>
      <c r="Q86" s="0" t="n">
        <f aca="false">MONTH(D86)</f>
        <v>4</v>
      </c>
      <c r="R86" s="0" t="str">
        <f aca="false">"Q"&amp;ROUNDUP(MONTH(D86)/3,0)</f>
        <v>Q2</v>
      </c>
    </row>
    <row r="87" customFormat="false" ht="115.65" hidden="false" customHeight="false" outlineLevel="0" collapsed="false">
      <c r="A87" s="7" t="s">
        <v>301</v>
      </c>
      <c r="B87" s="7" t="s">
        <v>302</v>
      </c>
      <c r="C87" s="13" t="s">
        <v>303</v>
      </c>
      <c r="D87" s="11" t="n">
        <v>45387</v>
      </c>
      <c r="E87" s="12" t="n">
        <v>0.75</v>
      </c>
      <c r="F87" s="11" t="n">
        <v>45388</v>
      </c>
      <c r="G87" s="12" t="n">
        <v>0.75</v>
      </c>
      <c r="H87" s="10" t="n">
        <v>45376.5828171296</v>
      </c>
      <c r="I87" s="7" t="n">
        <v>4500</v>
      </c>
      <c r="J87" s="0" t="n">
        <f aca="false">IF(AND(D87&gt;=DATE(YEAR(D87),3,15),D87&lt;=DATE(YEAR(D87),6,10)),1,0)</f>
        <v>1</v>
      </c>
      <c r="K87" s="0" t="e">
        <f aca="false">VLOOKUP(D87,Festival_List!$A$2:$B$100,2,0)</f>
        <v>#N/A</v>
      </c>
      <c r="L87" s="0" t="n">
        <f aca="false">ROUND(((F87+G87)-(D87+E87))*24,0)</f>
        <v>24</v>
      </c>
      <c r="M87" s="0" t="n">
        <f aca="false">IF(OR(WEEKDAY(D87)=1,WEEKDAY(D87)=7),1,0)</f>
        <v>0</v>
      </c>
      <c r="N87" s="0" t="str">
        <f aca="false">IF(AND(MONTH(D87)&gt;=3,MONTH(D87)&lt;=6),"Summer",IF(AND(MONTH(D87)&gt;=7,MONTH(D87)&lt;=9),"Monsoon","Winter"))</f>
        <v>Summer</v>
      </c>
      <c r="O87" s="0" t="str">
        <f aca="false">IF(AND(L87&gt;=22,L87&lt;=25,E87&gt;=TIME(18,0,0)),"24H Night", IF(AND(L87&gt;=22,L87&lt;=25,E87&lt;TIME(18,0,0)),"24H Day", IF(AND(L87&gt;=11,L87&lt;=13,E87&gt;=TIME(18,0,0)),"12H Night", IF(AND(L87&gt;=11,L87&lt;=13,E87&lt;TIME(18,0,0)),"12H Day", IF(AND(L87&lt;10,E87&gt;=TIME(18,0,0)),"Couple Night", "Couple Day")))))</f>
        <v>24H Night</v>
      </c>
      <c r="P87" s="0" t="n">
        <f aca="false">WEEKDAY(D87,2)</f>
        <v>5</v>
      </c>
      <c r="Q87" s="0" t="n">
        <f aca="false">MONTH(D87)</f>
        <v>4</v>
      </c>
      <c r="R87" s="0" t="str">
        <f aca="false">"Q"&amp;ROUNDUP(MONTH(D87)/3,0)</f>
        <v>Q2</v>
      </c>
    </row>
    <row r="88" customFormat="false" ht="115.65" hidden="false" customHeight="false" outlineLevel="0" collapsed="false">
      <c r="A88" s="7" t="s">
        <v>304</v>
      </c>
      <c r="B88" s="7" t="s">
        <v>305</v>
      </c>
      <c r="C88" s="13" t="s">
        <v>306</v>
      </c>
      <c r="D88" s="11" t="n">
        <v>45388</v>
      </c>
      <c r="E88" s="12" t="n">
        <v>0.75</v>
      </c>
      <c r="F88" s="11" t="n">
        <v>45389</v>
      </c>
      <c r="G88" s="12" t="n">
        <v>0.75</v>
      </c>
      <c r="H88" s="10" t="n">
        <v>45364.9901471065</v>
      </c>
      <c r="I88" s="7" t="n">
        <v>7000</v>
      </c>
      <c r="J88" s="0" t="n">
        <f aca="false">IF(AND(D88&gt;=DATE(YEAR(D88),3,15),D88&lt;=DATE(YEAR(D88),6,10)),1,0)</f>
        <v>1</v>
      </c>
      <c r="K88" s="0" t="e">
        <f aca="false">VLOOKUP(D88,Festival_List!$A$2:$B$100,2,0)</f>
        <v>#N/A</v>
      </c>
      <c r="L88" s="0" t="n">
        <f aca="false">ROUND(((F88+G88)-(D88+E88))*24,0)</f>
        <v>24</v>
      </c>
      <c r="M88" s="0" t="n">
        <f aca="false">IF(OR(WEEKDAY(D88)=1,WEEKDAY(D88)=7),1,0)</f>
        <v>1</v>
      </c>
      <c r="N88" s="0" t="str">
        <f aca="false">IF(AND(MONTH(D88)&gt;=3,MONTH(D88)&lt;=6),"Summer",IF(AND(MONTH(D88)&gt;=7,MONTH(D88)&lt;=9),"Monsoon","Winter"))</f>
        <v>Summer</v>
      </c>
      <c r="O88" s="0" t="str">
        <f aca="false">IF(AND(L88&gt;=22,L88&lt;=25,E88&gt;=TIME(18,0,0)),"24H Night", IF(AND(L88&gt;=22,L88&lt;=25,E88&lt;TIME(18,0,0)),"24H Day", IF(AND(L88&gt;=11,L88&lt;=13,E88&gt;=TIME(18,0,0)),"12H Night", IF(AND(L88&gt;=11,L88&lt;=13,E88&lt;TIME(18,0,0)),"12H Day", IF(AND(L88&lt;10,E88&gt;=TIME(18,0,0)),"Couple Night", "Couple Day")))))</f>
        <v>24H Night</v>
      </c>
      <c r="P88" s="0" t="n">
        <f aca="false">WEEKDAY(D88,2)</f>
        <v>6</v>
      </c>
      <c r="Q88" s="0" t="n">
        <f aca="false">MONTH(D88)</f>
        <v>4</v>
      </c>
      <c r="R88" s="0" t="str">
        <f aca="false">"Q"&amp;ROUNDUP(MONTH(D88)/3,0)</f>
        <v>Q2</v>
      </c>
    </row>
    <row r="89" customFormat="false" ht="128.35" hidden="false" customHeight="false" outlineLevel="0" collapsed="false">
      <c r="A89" s="7" t="s">
        <v>307</v>
      </c>
      <c r="B89" s="7" t="s">
        <v>308</v>
      </c>
      <c r="C89" s="13" t="s">
        <v>309</v>
      </c>
      <c r="D89" s="11" t="n">
        <v>45390</v>
      </c>
      <c r="E89" s="12" t="n">
        <v>0.291666666700625</v>
      </c>
      <c r="F89" s="11" t="n">
        <v>45390</v>
      </c>
      <c r="G89" s="12" t="n">
        <v>0.75</v>
      </c>
      <c r="H89" s="10" t="n">
        <v>45766.6536619213</v>
      </c>
      <c r="I89" s="7" t="n">
        <v>3500</v>
      </c>
      <c r="J89" s="0" t="n">
        <f aca="false">IF(AND(D89&gt;=DATE(YEAR(D89),3,15),D89&lt;=DATE(YEAR(D89),6,10)),1,0)</f>
        <v>1</v>
      </c>
      <c r="K89" s="0" t="e">
        <f aca="false">VLOOKUP(D89,Festival_List!$A$2:$B$100,2,0)</f>
        <v>#N/A</v>
      </c>
      <c r="L89" s="0" t="n">
        <f aca="false">ROUND(((F89+G89)-(D89+E89))*24,0)</f>
        <v>11</v>
      </c>
      <c r="M89" s="0" t="n">
        <f aca="false">IF(OR(WEEKDAY(D89)=1,WEEKDAY(D89)=7),1,0)</f>
        <v>0</v>
      </c>
      <c r="N89" s="0" t="str">
        <f aca="false">IF(AND(MONTH(D89)&gt;=3,MONTH(D89)&lt;=6),"Summer",IF(AND(MONTH(D89)&gt;=7,MONTH(D89)&lt;=9),"Monsoon","Winter"))</f>
        <v>Summer</v>
      </c>
      <c r="O89" s="0" t="str">
        <f aca="false">IF(AND(L89&gt;=22,L89&lt;=25,E89&gt;=TIME(18,0,0)),"24H Night", IF(AND(L89&gt;=22,L89&lt;=25,E89&lt;TIME(18,0,0)),"24H Day", IF(AND(L89&gt;=11,L89&lt;=13,E89&gt;=TIME(18,0,0)),"12H Night", IF(AND(L89&gt;=11,L89&lt;=13,E89&lt;TIME(18,0,0)),"12H Day", IF(AND(L89&lt;10,E89&gt;=TIME(18,0,0)),"Couple Night", "Couple Day")))))</f>
        <v>12H Day</v>
      </c>
      <c r="P89" s="0" t="n">
        <f aca="false">WEEKDAY(D89,2)</f>
        <v>1</v>
      </c>
      <c r="Q89" s="0" t="n">
        <f aca="false">MONTH(D89)</f>
        <v>4</v>
      </c>
      <c r="R89" s="0" t="str">
        <f aca="false">"Q"&amp;ROUNDUP(MONTH(D89)/3,0)</f>
        <v>Q2</v>
      </c>
    </row>
    <row r="90" customFormat="false" ht="141" hidden="false" customHeight="false" outlineLevel="0" collapsed="false">
      <c r="A90" s="7" t="s">
        <v>310</v>
      </c>
      <c r="B90" s="7" t="s">
        <v>311</v>
      </c>
      <c r="C90" s="13" t="s">
        <v>312</v>
      </c>
      <c r="D90" s="11" t="n">
        <v>45391</v>
      </c>
      <c r="E90" s="12" t="n">
        <v>0.791666666700625</v>
      </c>
      <c r="F90" s="11" t="n">
        <v>45392</v>
      </c>
      <c r="G90" s="12" t="n">
        <v>0.75</v>
      </c>
      <c r="H90" s="10" t="n">
        <v>45391.012184838</v>
      </c>
      <c r="I90" s="7" t="n">
        <v>4500</v>
      </c>
      <c r="J90" s="0" t="n">
        <f aca="false">IF(AND(D90&gt;=DATE(YEAR(D90),3,15),D90&lt;=DATE(YEAR(D90),6,10)),1,0)</f>
        <v>1</v>
      </c>
      <c r="K90" s="0" t="e">
        <f aca="false">VLOOKUP(D90,Festival_List!$A$2:$B$100,2,0)</f>
        <v>#N/A</v>
      </c>
      <c r="L90" s="0" t="n">
        <f aca="false">ROUND(((F90+G90)-(D90+E90))*24,0)</f>
        <v>23</v>
      </c>
      <c r="M90" s="0" t="n">
        <f aca="false">IF(OR(WEEKDAY(D90)=1,WEEKDAY(D90)=7),1,0)</f>
        <v>0</v>
      </c>
      <c r="N90" s="0" t="str">
        <f aca="false">IF(AND(MONTH(D90)&gt;=3,MONTH(D90)&lt;=6),"Summer",IF(AND(MONTH(D90)&gt;=7,MONTH(D90)&lt;=9),"Monsoon","Winter"))</f>
        <v>Summer</v>
      </c>
      <c r="O90" s="0" t="str">
        <f aca="false">IF(AND(L90&gt;=22,L90&lt;=25,E90&gt;=TIME(18,0,0)),"24H Night", IF(AND(L90&gt;=22,L90&lt;=25,E90&lt;TIME(18,0,0)),"24H Day", IF(AND(L90&gt;=11,L90&lt;=13,E90&gt;=TIME(18,0,0)),"12H Night", IF(AND(L90&gt;=11,L90&lt;=13,E90&lt;TIME(18,0,0)),"12H Day", IF(AND(L90&lt;10,E90&gt;=TIME(18,0,0)),"Couple Night", "Couple Day")))))</f>
        <v>24H Night</v>
      </c>
      <c r="P90" s="0" t="n">
        <f aca="false">WEEKDAY(D90,2)</f>
        <v>2</v>
      </c>
      <c r="Q90" s="0" t="n">
        <f aca="false">MONTH(D90)</f>
        <v>4</v>
      </c>
      <c r="R90" s="0" t="str">
        <f aca="false">"Q"&amp;ROUNDUP(MONTH(D90)/3,0)</f>
        <v>Q2</v>
      </c>
    </row>
    <row r="91" customFormat="false" ht="115.65" hidden="false" customHeight="false" outlineLevel="0" collapsed="false">
      <c r="A91" s="7" t="s">
        <v>313</v>
      </c>
      <c r="B91" s="7" t="s">
        <v>314</v>
      </c>
      <c r="C91" s="13" t="s">
        <v>315</v>
      </c>
      <c r="D91" s="11" t="n">
        <v>45392</v>
      </c>
      <c r="E91" s="12" t="n">
        <v>0.791666666700625</v>
      </c>
      <c r="F91" s="11" t="n">
        <v>45393</v>
      </c>
      <c r="G91" s="12" t="n">
        <v>0.75</v>
      </c>
      <c r="H91" s="10" t="n">
        <v>45390.8180576389</v>
      </c>
      <c r="I91" s="7" t="n">
        <v>4500</v>
      </c>
      <c r="J91" s="0" t="n">
        <f aca="false">IF(AND(D91&gt;=DATE(YEAR(D91),3,15),D91&lt;=DATE(YEAR(D91),6,10)),1,0)</f>
        <v>1</v>
      </c>
      <c r="K91" s="0" t="e">
        <f aca="false">VLOOKUP(D91,Festival_List!$A$2:$B$100,2,0)</f>
        <v>#N/A</v>
      </c>
      <c r="L91" s="0" t="n">
        <f aca="false">ROUND(((F91+G91)-(D91+E91))*24,0)</f>
        <v>23</v>
      </c>
      <c r="M91" s="0" t="n">
        <f aca="false">IF(OR(WEEKDAY(D91)=1,WEEKDAY(D91)=7),1,0)</f>
        <v>0</v>
      </c>
      <c r="N91" s="0" t="str">
        <f aca="false">IF(AND(MONTH(D91)&gt;=3,MONTH(D91)&lt;=6),"Summer",IF(AND(MONTH(D91)&gt;=7,MONTH(D91)&lt;=9),"Monsoon","Winter"))</f>
        <v>Summer</v>
      </c>
      <c r="O91" s="0" t="str">
        <f aca="false">IF(AND(L91&gt;=22,L91&lt;=25,E91&gt;=TIME(18,0,0)),"24H Night", IF(AND(L91&gt;=22,L91&lt;=25,E91&lt;TIME(18,0,0)),"24H Day", IF(AND(L91&gt;=11,L91&lt;=13,E91&gt;=TIME(18,0,0)),"12H Night", IF(AND(L91&gt;=11,L91&lt;=13,E91&lt;TIME(18,0,0)),"12H Day", IF(AND(L91&lt;10,E91&gt;=TIME(18,0,0)),"Couple Night", "Couple Day")))))</f>
        <v>24H Night</v>
      </c>
      <c r="P91" s="0" t="n">
        <f aca="false">WEEKDAY(D91,2)</f>
        <v>3</v>
      </c>
      <c r="Q91" s="0" t="n">
        <f aca="false">MONTH(D91)</f>
        <v>4</v>
      </c>
      <c r="R91" s="0" t="str">
        <f aca="false">"Q"&amp;ROUNDUP(MONTH(D91)/3,0)</f>
        <v>Q2</v>
      </c>
    </row>
    <row r="92" customFormat="false" ht="115.65" hidden="false" customHeight="false" outlineLevel="0" collapsed="false">
      <c r="A92" s="7" t="s">
        <v>316</v>
      </c>
      <c r="B92" s="7" t="s">
        <v>317</v>
      </c>
      <c r="C92" s="13" t="s">
        <v>318</v>
      </c>
      <c r="D92" s="11" t="n">
        <v>45394</v>
      </c>
      <c r="E92" s="12" t="n">
        <v>0.291666666700625</v>
      </c>
      <c r="F92" s="11" t="n">
        <v>45394</v>
      </c>
      <c r="G92" s="12" t="n">
        <v>0.75</v>
      </c>
      <c r="H92" s="10" t="n">
        <v>45766.6536619213</v>
      </c>
      <c r="I92" s="7" t="n">
        <v>4500</v>
      </c>
      <c r="J92" s="0" t="n">
        <f aca="false">IF(AND(D92&gt;=DATE(YEAR(D92),3,15),D92&lt;=DATE(YEAR(D92),6,10)),1,0)</f>
        <v>1</v>
      </c>
      <c r="K92" s="0" t="e">
        <f aca="false">VLOOKUP(D92,Festival_List!$A$2:$B$100,2,0)</f>
        <v>#N/A</v>
      </c>
      <c r="L92" s="0" t="n">
        <f aca="false">ROUND(((F92+G92)-(D92+E92))*24,0)</f>
        <v>11</v>
      </c>
      <c r="M92" s="0" t="n">
        <f aca="false">IF(OR(WEEKDAY(D92)=1,WEEKDAY(D92)=7),1,0)</f>
        <v>0</v>
      </c>
      <c r="N92" s="0" t="str">
        <f aca="false">IF(AND(MONTH(D92)&gt;=3,MONTH(D92)&lt;=6),"Summer",IF(AND(MONTH(D92)&gt;=7,MONTH(D92)&lt;=9),"Monsoon","Winter"))</f>
        <v>Summer</v>
      </c>
      <c r="O92" s="0" t="str">
        <f aca="false">IF(AND(L92&gt;=22,L92&lt;=25,E92&gt;=TIME(18,0,0)),"24H Night", IF(AND(L92&gt;=22,L92&lt;=25,E92&lt;TIME(18,0,0)),"24H Day", IF(AND(L92&gt;=11,L92&lt;=13,E92&gt;=TIME(18,0,0)),"12H Night", IF(AND(L92&gt;=11,L92&lt;=13,E92&lt;TIME(18,0,0)),"12H Day", IF(AND(L92&lt;10,E92&gt;=TIME(18,0,0)),"Couple Night", "Couple Day")))))</f>
        <v>12H Day</v>
      </c>
      <c r="P92" s="0" t="n">
        <f aca="false">WEEKDAY(D92,2)</f>
        <v>5</v>
      </c>
      <c r="Q92" s="0" t="n">
        <f aca="false">MONTH(D92)</f>
        <v>4</v>
      </c>
      <c r="R92" s="0" t="str">
        <f aca="false">"Q"&amp;ROUNDUP(MONTH(D92)/3,0)</f>
        <v>Q2</v>
      </c>
    </row>
    <row r="93" customFormat="false" ht="115.65" hidden="false" customHeight="false" outlineLevel="0" collapsed="false">
      <c r="A93" s="7" t="s">
        <v>319</v>
      </c>
      <c r="B93" s="7" t="s">
        <v>320</v>
      </c>
      <c r="C93" s="13" t="s">
        <v>321</v>
      </c>
      <c r="D93" s="11" t="n">
        <v>45394</v>
      </c>
      <c r="E93" s="12" t="n">
        <v>0.791666666700625</v>
      </c>
      <c r="F93" s="11" t="n">
        <v>45395</v>
      </c>
      <c r="G93" s="12" t="n">
        <v>0.75</v>
      </c>
      <c r="H93" s="10" t="n">
        <v>45393.4433612269</v>
      </c>
      <c r="I93" s="7" t="n">
        <v>4500</v>
      </c>
      <c r="J93" s="0" t="n">
        <f aca="false">IF(AND(D93&gt;=DATE(YEAR(D93),3,15),D93&lt;=DATE(YEAR(D93),6,10)),1,0)</f>
        <v>1</v>
      </c>
      <c r="K93" s="0" t="e">
        <f aca="false">VLOOKUP(D93,Festival_List!$A$2:$B$100,2,0)</f>
        <v>#N/A</v>
      </c>
      <c r="L93" s="0" t="n">
        <f aca="false">ROUND(((F93+G93)-(D93+E93))*24,0)</f>
        <v>23</v>
      </c>
      <c r="M93" s="0" t="n">
        <f aca="false">IF(OR(WEEKDAY(D93)=1,WEEKDAY(D93)=7),1,0)</f>
        <v>0</v>
      </c>
      <c r="N93" s="0" t="str">
        <f aca="false">IF(AND(MONTH(D93)&gt;=3,MONTH(D93)&lt;=6),"Summer",IF(AND(MONTH(D93)&gt;=7,MONTH(D93)&lt;=9),"Monsoon","Winter"))</f>
        <v>Summer</v>
      </c>
      <c r="O93" s="0" t="str">
        <f aca="false">IF(AND(L93&gt;=22,L93&lt;=25,E93&gt;=TIME(18,0,0)),"24H Night", IF(AND(L93&gt;=22,L93&lt;=25,E93&lt;TIME(18,0,0)),"24H Day", IF(AND(L93&gt;=11,L93&lt;=13,E93&gt;=TIME(18,0,0)),"12H Night", IF(AND(L93&gt;=11,L93&lt;=13,E93&lt;TIME(18,0,0)),"12H Day", IF(AND(L93&lt;10,E93&gt;=TIME(18,0,0)),"Couple Night", "Couple Day")))))</f>
        <v>24H Night</v>
      </c>
      <c r="P93" s="0" t="n">
        <f aca="false">WEEKDAY(D93,2)</f>
        <v>5</v>
      </c>
      <c r="Q93" s="0" t="n">
        <f aca="false">MONTH(D93)</f>
        <v>4</v>
      </c>
      <c r="R93" s="0" t="str">
        <f aca="false">"Q"&amp;ROUNDUP(MONTH(D93)/3,0)</f>
        <v>Q2</v>
      </c>
    </row>
    <row r="94" customFormat="false" ht="115.65" hidden="false" customHeight="false" outlineLevel="0" collapsed="false">
      <c r="A94" s="7" t="s">
        <v>322</v>
      </c>
      <c r="B94" s="7" t="s">
        <v>323</v>
      </c>
      <c r="C94" s="13" t="s">
        <v>324</v>
      </c>
      <c r="D94" s="11" t="n">
        <v>45395</v>
      </c>
      <c r="E94" s="12" t="n">
        <v>0.791666666700625</v>
      </c>
      <c r="F94" s="11" t="n">
        <v>45396</v>
      </c>
      <c r="G94" s="12" t="n">
        <v>0.75</v>
      </c>
      <c r="H94" s="10" t="n">
        <v>45397.0132256944</v>
      </c>
      <c r="I94" s="7" t="n">
        <v>9500</v>
      </c>
      <c r="J94" s="0" t="n">
        <f aca="false">IF(AND(D94&gt;=DATE(YEAR(D94),3,15),D94&lt;=DATE(YEAR(D94),6,10)),1,0)</f>
        <v>1</v>
      </c>
      <c r="K94" s="0" t="e">
        <f aca="false">VLOOKUP(D94,Festival_List!$A$2:$B$100,2,0)</f>
        <v>#N/A</v>
      </c>
      <c r="L94" s="0" t="n">
        <f aca="false">ROUND(((F94+G94)-(D94+E94))*24,0)</f>
        <v>23</v>
      </c>
      <c r="M94" s="0" t="n">
        <f aca="false">IF(OR(WEEKDAY(D94)=1,WEEKDAY(D94)=7),1,0)</f>
        <v>1</v>
      </c>
      <c r="N94" s="0" t="str">
        <f aca="false">IF(AND(MONTH(D94)&gt;=3,MONTH(D94)&lt;=6),"Summer",IF(AND(MONTH(D94)&gt;=7,MONTH(D94)&lt;=9),"Monsoon","Winter"))</f>
        <v>Summer</v>
      </c>
      <c r="O94" s="0" t="str">
        <f aca="false">IF(AND(L94&gt;=22,L94&lt;=25,E94&gt;=TIME(18,0,0)),"24H Night", IF(AND(L94&gt;=22,L94&lt;=25,E94&lt;TIME(18,0,0)),"24H Day", IF(AND(L94&gt;=11,L94&lt;=13,E94&gt;=TIME(18,0,0)),"12H Night", IF(AND(L94&gt;=11,L94&lt;=13,E94&lt;TIME(18,0,0)),"12H Day", IF(AND(L94&lt;10,E94&gt;=TIME(18,0,0)),"Couple Night", "Couple Day")))))</f>
        <v>24H Night</v>
      </c>
      <c r="P94" s="0" t="n">
        <f aca="false">WEEKDAY(D94,2)</f>
        <v>6</v>
      </c>
      <c r="Q94" s="0" t="n">
        <f aca="false">MONTH(D94)</f>
        <v>4</v>
      </c>
      <c r="R94" s="0" t="str">
        <f aca="false">"Q"&amp;ROUNDUP(MONTH(D94)/3,0)</f>
        <v>Q2</v>
      </c>
    </row>
    <row r="95" customFormat="false" ht="13.8" hidden="false" customHeight="false" outlineLevel="0" collapsed="false">
      <c r="A95" s="7" t="s">
        <v>325</v>
      </c>
      <c r="B95" s="7" t="s">
        <v>326</v>
      </c>
      <c r="C95" s="7" t="s">
        <v>327</v>
      </c>
      <c r="D95" s="11" t="n">
        <v>45396</v>
      </c>
      <c r="E95" s="12" t="n">
        <v>0.791666666700625</v>
      </c>
      <c r="F95" s="11" t="n">
        <v>45397</v>
      </c>
      <c r="G95" s="12" t="n">
        <v>0.75</v>
      </c>
      <c r="H95" s="10" t="n">
        <v>45725.4762171296</v>
      </c>
      <c r="I95" s="7" t="n">
        <v>4000</v>
      </c>
      <c r="J95" s="0" t="n">
        <f aca="false">IF(AND(D95&gt;=DATE(YEAR(D95),3,15),D95&lt;=DATE(YEAR(D95),6,10)),1,0)</f>
        <v>1</v>
      </c>
      <c r="K95" s="0" t="e">
        <f aca="false">VLOOKUP(D95,Festival_List!$A$2:$B$100,2,0)</f>
        <v>#N/A</v>
      </c>
      <c r="L95" s="0" t="n">
        <f aca="false">ROUND(((F95+G95)-(D95+E95))*24,0)</f>
        <v>23</v>
      </c>
      <c r="M95" s="0" t="n">
        <f aca="false">IF(OR(WEEKDAY(D95)=1,WEEKDAY(D95)=7),1,0)</f>
        <v>1</v>
      </c>
      <c r="N95" s="0" t="str">
        <f aca="false">IF(AND(MONTH(D95)&gt;=3,MONTH(D95)&lt;=6),"Summer",IF(AND(MONTH(D95)&gt;=7,MONTH(D95)&lt;=9),"Monsoon","Winter"))</f>
        <v>Summer</v>
      </c>
      <c r="O95" s="0" t="str">
        <f aca="false">IF(AND(L95&gt;=22,L95&lt;=25,E95&gt;=TIME(18,0,0)),"24H Night", IF(AND(L95&gt;=22,L95&lt;=25,E95&lt;TIME(18,0,0)),"24H Day", IF(AND(L95&gt;=11,L95&lt;=13,E95&gt;=TIME(18,0,0)),"12H Night", IF(AND(L95&gt;=11,L95&lt;=13,E95&lt;TIME(18,0,0)),"12H Day", IF(AND(L95&lt;10,E95&gt;=TIME(18,0,0)),"Couple Night", "Couple Day")))))</f>
        <v>24H Night</v>
      </c>
      <c r="P95" s="0" t="n">
        <f aca="false">WEEKDAY(D95,2)</f>
        <v>7</v>
      </c>
      <c r="Q95" s="0" t="n">
        <f aca="false">MONTH(D95)</f>
        <v>4</v>
      </c>
      <c r="R95" s="0" t="str">
        <f aca="false">"Q"&amp;ROUNDUP(MONTH(D95)/3,0)</f>
        <v>Q2</v>
      </c>
    </row>
    <row r="96" customFormat="false" ht="141" hidden="false" customHeight="false" outlineLevel="0" collapsed="false">
      <c r="A96" s="7" t="s">
        <v>328</v>
      </c>
      <c r="B96" s="7" t="s">
        <v>329</v>
      </c>
      <c r="C96" s="13" t="s">
        <v>330</v>
      </c>
      <c r="D96" s="11" t="n">
        <v>45399</v>
      </c>
      <c r="E96" s="12" t="n">
        <v>0.291666666700625</v>
      </c>
      <c r="F96" s="11" t="n">
        <v>45399</v>
      </c>
      <c r="G96" s="12" t="n">
        <v>0.75</v>
      </c>
      <c r="H96" s="10" t="n">
        <v>45766.6536619213</v>
      </c>
      <c r="I96" s="7" t="n">
        <v>4000</v>
      </c>
      <c r="J96" s="0" t="n">
        <f aca="false">IF(AND(D96&gt;=DATE(YEAR(D96),3,15),D96&lt;=DATE(YEAR(D96),6,10)),1,0)</f>
        <v>1</v>
      </c>
      <c r="K96" s="0" t="str">
        <f aca="false">VLOOKUP(D96,Festival_List!$A$2:$B$100,2,0)</f>
        <v>Ram Navami</v>
      </c>
      <c r="L96" s="0" t="n">
        <f aca="false">ROUND(((F96+G96)-(D96+E96))*24,0)</f>
        <v>11</v>
      </c>
      <c r="M96" s="0" t="n">
        <f aca="false">IF(OR(WEEKDAY(D96)=1,WEEKDAY(D96)=7),1,0)</f>
        <v>0</v>
      </c>
      <c r="N96" s="0" t="str">
        <f aca="false">IF(AND(MONTH(D96)&gt;=3,MONTH(D96)&lt;=6),"Summer",IF(AND(MONTH(D96)&gt;=7,MONTH(D96)&lt;=9),"Monsoon","Winter"))</f>
        <v>Summer</v>
      </c>
      <c r="O96" s="0" t="str">
        <f aca="false">IF(AND(L96&gt;=22,L96&lt;=25,E96&gt;=TIME(18,0,0)),"24H Night", IF(AND(L96&gt;=22,L96&lt;=25,E96&lt;TIME(18,0,0)),"24H Day", IF(AND(L96&gt;=11,L96&lt;=13,E96&gt;=TIME(18,0,0)),"12H Night", IF(AND(L96&gt;=11,L96&lt;=13,E96&lt;TIME(18,0,0)),"12H Day", IF(AND(L96&lt;10,E96&gt;=TIME(18,0,0)),"Couple Night", "Couple Day")))))</f>
        <v>12H Day</v>
      </c>
      <c r="P96" s="0" t="n">
        <f aca="false">WEEKDAY(D96,2)</f>
        <v>3</v>
      </c>
      <c r="Q96" s="0" t="n">
        <f aca="false">MONTH(D96)</f>
        <v>4</v>
      </c>
      <c r="R96" s="0" t="str">
        <f aca="false">"Q"&amp;ROUNDUP(MONTH(D96)/3,0)</f>
        <v>Q2</v>
      </c>
    </row>
    <row r="97" customFormat="false" ht="115.65" hidden="false" customHeight="false" outlineLevel="0" collapsed="false">
      <c r="A97" s="7" t="s">
        <v>331</v>
      </c>
      <c r="B97" s="7" t="s">
        <v>332</v>
      </c>
      <c r="C97" s="13" t="s">
        <v>333</v>
      </c>
      <c r="D97" s="11" t="n">
        <v>45401</v>
      </c>
      <c r="E97" s="12" t="n">
        <v>0.291666666700625</v>
      </c>
      <c r="F97" s="11" t="n">
        <v>45401</v>
      </c>
      <c r="G97" s="12" t="n">
        <v>0.9375</v>
      </c>
      <c r="H97" s="10" t="n">
        <v>45398.5889688657</v>
      </c>
      <c r="I97" s="7" t="n">
        <v>4000</v>
      </c>
      <c r="J97" s="0" t="n">
        <f aca="false">IF(AND(D97&gt;=DATE(YEAR(D97),3,15),D97&lt;=DATE(YEAR(D97),6,10)),1,0)</f>
        <v>1</v>
      </c>
      <c r="K97" s="0" t="e">
        <f aca="false">VLOOKUP(D97,Festival_List!$A$2:$B$100,2,0)</f>
        <v>#N/A</v>
      </c>
      <c r="L97" s="0" t="n">
        <f aca="false">ROUND(((F97+G97)-(D97+E97))*24,0)</f>
        <v>15</v>
      </c>
      <c r="M97" s="0" t="n">
        <f aca="false">IF(OR(WEEKDAY(D97)=1,WEEKDAY(D97)=7),1,0)</f>
        <v>0</v>
      </c>
      <c r="N97" s="0" t="str">
        <f aca="false">IF(AND(MONTH(D97)&gt;=3,MONTH(D97)&lt;=6),"Summer",IF(AND(MONTH(D97)&gt;=7,MONTH(D97)&lt;=9),"Monsoon","Winter"))</f>
        <v>Summer</v>
      </c>
      <c r="O97" s="0" t="str">
        <f aca="false">IF(AND(L97&gt;=22,L97&lt;=25,E97&gt;=TIME(18,0,0)),"24H Night", IF(AND(L97&gt;=22,L97&lt;=25,E97&lt;TIME(18,0,0)),"24H Day", IF(AND(L97&gt;=11,L97&lt;=13,E97&gt;=TIME(18,0,0)),"12H Night", IF(AND(L97&gt;=11,L97&lt;=13,E97&lt;TIME(18,0,0)),"12H Day", IF(AND(L97&lt;10,E97&gt;=TIME(18,0,0)),"Couple Night", "Couple Day")))))</f>
        <v>Couple Day</v>
      </c>
      <c r="P97" s="0" t="n">
        <f aca="false">WEEKDAY(D97,2)</f>
        <v>5</v>
      </c>
      <c r="Q97" s="0" t="n">
        <f aca="false">MONTH(D97)</f>
        <v>4</v>
      </c>
      <c r="R97" s="0" t="str">
        <f aca="false">"Q"&amp;ROUNDUP(MONTH(D97)/3,0)</f>
        <v>Q2</v>
      </c>
    </row>
    <row r="98" customFormat="false" ht="128.35" hidden="false" customHeight="false" outlineLevel="0" collapsed="false">
      <c r="A98" s="7" t="s">
        <v>334</v>
      </c>
      <c r="B98" s="7" t="s">
        <v>335</v>
      </c>
      <c r="C98" s="13" t="s">
        <v>336</v>
      </c>
      <c r="D98" s="11" t="n">
        <v>45402</v>
      </c>
      <c r="E98" s="12" t="n">
        <v>0.291666666700625</v>
      </c>
      <c r="F98" s="11" t="n">
        <v>45403</v>
      </c>
      <c r="G98" s="12" t="n">
        <v>0.75</v>
      </c>
      <c r="H98" s="10" t="n">
        <v>45398.6746146991</v>
      </c>
      <c r="I98" s="7" t="n">
        <v>13500</v>
      </c>
      <c r="J98" s="0" t="n">
        <f aca="false">IF(AND(D98&gt;=DATE(YEAR(D98),3,15),D98&lt;=DATE(YEAR(D98),6,10)),1,0)</f>
        <v>1</v>
      </c>
      <c r="K98" s="0" t="e">
        <f aca="false">VLOOKUP(D98,Festival_List!$A$2:$B$100,2,0)</f>
        <v>#N/A</v>
      </c>
      <c r="L98" s="0" t="n">
        <f aca="false">ROUND(((F98+G98)-(D98+E98))*24,0)</f>
        <v>35</v>
      </c>
      <c r="M98" s="0" t="n">
        <f aca="false">IF(OR(WEEKDAY(D98)=1,WEEKDAY(D98)=7),1,0)</f>
        <v>1</v>
      </c>
      <c r="N98" s="0" t="str">
        <f aca="false">IF(AND(MONTH(D98)&gt;=3,MONTH(D98)&lt;=6),"Summer",IF(AND(MONTH(D98)&gt;=7,MONTH(D98)&lt;=9),"Monsoon","Winter"))</f>
        <v>Summer</v>
      </c>
      <c r="O98" s="0" t="str">
        <f aca="false">IF(AND(L98&gt;=22,L98&lt;=25,E98&gt;=TIME(18,0,0)),"24H Night", IF(AND(L98&gt;=22,L98&lt;=25,E98&lt;TIME(18,0,0)),"24H Day", IF(AND(L98&gt;=11,L98&lt;=13,E98&gt;=TIME(18,0,0)),"12H Night", IF(AND(L98&gt;=11,L98&lt;=13,E98&lt;TIME(18,0,0)),"12H Day", IF(AND(L98&lt;10,E98&gt;=TIME(18,0,0)),"Couple Night", "Couple Day")))))</f>
        <v>Couple Day</v>
      </c>
      <c r="P98" s="0" t="n">
        <f aca="false">WEEKDAY(D98,2)</f>
        <v>6</v>
      </c>
      <c r="Q98" s="0" t="n">
        <f aca="false">MONTH(D98)</f>
        <v>4</v>
      </c>
      <c r="R98" s="0" t="str">
        <f aca="false">"Q"&amp;ROUNDUP(MONTH(D98)/3,0)</f>
        <v>Q2</v>
      </c>
    </row>
    <row r="99" customFormat="false" ht="115.65" hidden="false" customHeight="false" outlineLevel="0" collapsed="false">
      <c r="A99" s="7" t="s">
        <v>337</v>
      </c>
      <c r="B99" s="7" t="s">
        <v>338</v>
      </c>
      <c r="C99" s="13" t="s">
        <v>339</v>
      </c>
      <c r="D99" s="11" t="n">
        <v>45404</v>
      </c>
      <c r="E99" s="12" t="n">
        <v>0.791666666700625</v>
      </c>
      <c r="F99" s="11" t="n">
        <v>45405</v>
      </c>
      <c r="G99" s="12" t="n">
        <v>0.75</v>
      </c>
      <c r="H99" s="10" t="n">
        <v>45397.0008929398</v>
      </c>
      <c r="I99" s="7" t="n">
        <v>4500</v>
      </c>
      <c r="J99" s="0" t="n">
        <f aca="false">IF(AND(D99&gt;=DATE(YEAR(D99),3,15),D99&lt;=DATE(YEAR(D99),6,10)),1,0)</f>
        <v>1</v>
      </c>
      <c r="K99" s="0" t="e">
        <f aca="false">VLOOKUP(D99,Festival_List!$A$2:$B$100,2,0)</f>
        <v>#N/A</v>
      </c>
      <c r="L99" s="0" t="n">
        <f aca="false">ROUND(((F99+G99)-(D99+E99))*24,0)</f>
        <v>23</v>
      </c>
      <c r="M99" s="0" t="n">
        <f aca="false">IF(OR(WEEKDAY(D99)=1,WEEKDAY(D99)=7),1,0)</f>
        <v>0</v>
      </c>
      <c r="N99" s="0" t="str">
        <f aca="false">IF(AND(MONTH(D99)&gt;=3,MONTH(D99)&lt;=6),"Summer",IF(AND(MONTH(D99)&gt;=7,MONTH(D99)&lt;=9),"Monsoon","Winter"))</f>
        <v>Summer</v>
      </c>
      <c r="O99" s="0" t="str">
        <f aca="false">IF(AND(L99&gt;=22,L99&lt;=25,E99&gt;=TIME(18,0,0)),"24H Night", IF(AND(L99&gt;=22,L99&lt;=25,E99&lt;TIME(18,0,0)),"24H Day", IF(AND(L99&gt;=11,L99&lt;=13,E99&gt;=TIME(18,0,0)),"12H Night", IF(AND(L99&gt;=11,L99&lt;=13,E99&lt;TIME(18,0,0)),"12H Day", IF(AND(L99&lt;10,E99&gt;=TIME(18,0,0)),"Couple Night", "Couple Day")))))</f>
        <v>24H Night</v>
      </c>
      <c r="P99" s="0" t="n">
        <f aca="false">WEEKDAY(D99,2)</f>
        <v>1</v>
      </c>
      <c r="Q99" s="0" t="n">
        <f aca="false">MONTH(D99)</f>
        <v>4</v>
      </c>
      <c r="R99" s="0" t="str">
        <f aca="false">"Q"&amp;ROUNDUP(MONTH(D99)/3,0)</f>
        <v>Q2</v>
      </c>
    </row>
    <row r="100" customFormat="false" ht="115.65" hidden="false" customHeight="false" outlineLevel="0" collapsed="false">
      <c r="A100" s="7" t="s">
        <v>340</v>
      </c>
      <c r="B100" s="7" t="s">
        <v>341</v>
      </c>
      <c r="C100" s="13" t="s">
        <v>342</v>
      </c>
      <c r="D100" s="11" t="n">
        <v>45405</v>
      </c>
      <c r="E100" s="12" t="n">
        <v>0.791666666700625</v>
      </c>
      <c r="F100" s="11" t="n">
        <v>45406</v>
      </c>
      <c r="G100" s="12" t="n">
        <v>0.291666666700625</v>
      </c>
      <c r="H100" s="10" t="n">
        <v>45404.6016534722</v>
      </c>
      <c r="I100" s="7" t="n">
        <v>3500</v>
      </c>
      <c r="J100" s="0" t="n">
        <f aca="false">IF(AND(D100&gt;=DATE(YEAR(D100),3,15),D100&lt;=DATE(YEAR(D100),6,10)),1,0)</f>
        <v>1</v>
      </c>
      <c r="K100" s="0" t="e">
        <f aca="false">VLOOKUP(D100,Festival_List!$A$2:$B$100,2,0)</f>
        <v>#N/A</v>
      </c>
      <c r="L100" s="0" t="n">
        <f aca="false">ROUND(((F100+G100)-(D100+E100))*24,0)</f>
        <v>12</v>
      </c>
      <c r="M100" s="0" t="n">
        <f aca="false">IF(OR(WEEKDAY(D100)=1,WEEKDAY(D100)=7),1,0)</f>
        <v>0</v>
      </c>
      <c r="N100" s="0" t="str">
        <f aca="false">IF(AND(MONTH(D100)&gt;=3,MONTH(D100)&lt;=6),"Summer",IF(AND(MONTH(D100)&gt;=7,MONTH(D100)&lt;=9),"Monsoon","Winter"))</f>
        <v>Summer</v>
      </c>
      <c r="O100" s="0" t="str">
        <f aca="false">IF(AND(L100&gt;=22,L100&lt;=25,E100&gt;=TIME(18,0,0)),"24H Night", IF(AND(L100&gt;=22,L100&lt;=25,E100&lt;TIME(18,0,0)),"24H Day", IF(AND(L100&gt;=11,L100&lt;=13,E100&gt;=TIME(18,0,0)),"12H Night", IF(AND(L100&gt;=11,L100&lt;=13,E100&lt;TIME(18,0,0)),"12H Day", IF(AND(L100&lt;10,E100&gt;=TIME(18,0,0)),"Couple Night", "Couple Day")))))</f>
        <v>12H Night</v>
      </c>
      <c r="P100" s="0" t="n">
        <f aca="false">WEEKDAY(D100,2)</f>
        <v>2</v>
      </c>
      <c r="Q100" s="0" t="n">
        <f aca="false">MONTH(D100)</f>
        <v>4</v>
      </c>
      <c r="R100" s="0" t="str">
        <f aca="false">"Q"&amp;ROUNDUP(MONTH(D100)/3,0)</f>
        <v>Q2</v>
      </c>
    </row>
    <row r="101" customFormat="false" ht="115.65" hidden="false" customHeight="false" outlineLevel="0" collapsed="false">
      <c r="A101" s="7" t="s">
        <v>343</v>
      </c>
      <c r="B101" s="7" t="s">
        <v>344</v>
      </c>
      <c r="C101" s="13" t="s">
        <v>345</v>
      </c>
      <c r="D101" s="11" t="n">
        <v>45406</v>
      </c>
      <c r="E101" s="12" t="n">
        <v>0.375</v>
      </c>
      <c r="F101" s="11" t="n">
        <v>45406</v>
      </c>
      <c r="G101" s="12" t="n">
        <v>0.75</v>
      </c>
      <c r="H101" s="10" t="n">
        <v>45781.0407053241</v>
      </c>
      <c r="I101" s="7" t="n">
        <v>3000</v>
      </c>
      <c r="J101" s="0" t="n">
        <f aca="false">IF(AND(D101&gt;=DATE(YEAR(D101),3,15),D101&lt;=DATE(YEAR(D101),6,10)),1,0)</f>
        <v>1</v>
      </c>
      <c r="K101" s="0" t="e">
        <f aca="false">VLOOKUP(D101,Festival_List!$A$2:$B$100,2,0)</f>
        <v>#N/A</v>
      </c>
      <c r="L101" s="0" t="n">
        <f aca="false">ROUND(((F101+G101)-(D101+E101))*24,0)</f>
        <v>9</v>
      </c>
      <c r="M101" s="0" t="n">
        <f aca="false">IF(OR(WEEKDAY(D101)=1,WEEKDAY(D101)=7),1,0)</f>
        <v>0</v>
      </c>
      <c r="N101" s="0" t="str">
        <f aca="false">IF(AND(MONTH(D101)&gt;=3,MONTH(D101)&lt;=6),"Summer",IF(AND(MONTH(D101)&gt;=7,MONTH(D101)&lt;=9),"Monsoon","Winter"))</f>
        <v>Summer</v>
      </c>
      <c r="O101" s="0" t="str">
        <f aca="false">IF(AND(L101&gt;=22,L101&lt;=25,E101&gt;=TIME(18,0,0)),"24H Night", IF(AND(L101&gt;=22,L101&lt;=25,E101&lt;TIME(18,0,0)),"24H Day", IF(AND(L101&gt;=11,L101&lt;=13,E101&gt;=TIME(18,0,0)),"12H Night", IF(AND(L101&gt;=11,L101&lt;=13,E101&lt;TIME(18,0,0)),"12H Day", IF(AND(L101&lt;10,E101&gt;=TIME(18,0,0)),"Couple Night", "Couple Day")))))</f>
        <v>Couple Day</v>
      </c>
      <c r="P101" s="0" t="n">
        <f aca="false">WEEKDAY(D101,2)</f>
        <v>3</v>
      </c>
      <c r="Q101" s="0" t="n">
        <f aca="false">MONTH(D101)</f>
        <v>4</v>
      </c>
      <c r="R101" s="0" t="str">
        <f aca="false">"Q"&amp;ROUNDUP(MONTH(D101)/3,0)</f>
        <v>Q2</v>
      </c>
    </row>
    <row r="102" customFormat="false" ht="115.65" hidden="false" customHeight="false" outlineLevel="0" collapsed="false">
      <c r="A102" s="7" t="s">
        <v>346</v>
      </c>
      <c r="B102" s="7" t="s">
        <v>347</v>
      </c>
      <c r="C102" s="13" t="s">
        <v>348</v>
      </c>
      <c r="D102" s="11" t="n">
        <v>45406</v>
      </c>
      <c r="E102" s="12" t="n">
        <v>0.791666666700625</v>
      </c>
      <c r="F102" s="11" t="n">
        <v>45407</v>
      </c>
      <c r="G102" s="12" t="n">
        <v>0.25</v>
      </c>
      <c r="H102" s="10" t="n">
        <v>45406.7595597222</v>
      </c>
      <c r="I102" s="7" t="n">
        <v>3000</v>
      </c>
      <c r="J102" s="0" t="n">
        <f aca="false">IF(AND(D102&gt;=DATE(YEAR(D102),3,15),D102&lt;=DATE(YEAR(D102),6,10)),1,0)</f>
        <v>1</v>
      </c>
      <c r="K102" s="0" t="e">
        <f aca="false">VLOOKUP(D102,Festival_List!$A$2:$B$100,2,0)</f>
        <v>#N/A</v>
      </c>
      <c r="L102" s="0" t="n">
        <f aca="false">ROUND(((F102+G102)-(D102+E102))*24,0)</f>
        <v>11</v>
      </c>
      <c r="M102" s="0" t="n">
        <f aca="false">IF(OR(WEEKDAY(D102)=1,WEEKDAY(D102)=7),1,0)</f>
        <v>0</v>
      </c>
      <c r="N102" s="0" t="str">
        <f aca="false">IF(AND(MONTH(D102)&gt;=3,MONTH(D102)&lt;=6),"Summer",IF(AND(MONTH(D102)&gt;=7,MONTH(D102)&lt;=9),"Monsoon","Winter"))</f>
        <v>Summer</v>
      </c>
      <c r="O102" s="0" t="str">
        <f aca="false">IF(AND(L102&gt;=22,L102&lt;=25,E102&gt;=TIME(18,0,0)),"24H Night", IF(AND(L102&gt;=22,L102&lt;=25,E102&lt;TIME(18,0,0)),"24H Day", IF(AND(L102&gt;=11,L102&lt;=13,E102&gt;=TIME(18,0,0)),"12H Night", IF(AND(L102&gt;=11,L102&lt;=13,E102&lt;TIME(18,0,0)),"12H Day", IF(AND(L102&lt;10,E102&gt;=TIME(18,0,0)),"Couple Night", "Couple Day")))))</f>
        <v>12H Night</v>
      </c>
      <c r="P102" s="0" t="n">
        <f aca="false">WEEKDAY(D102,2)</f>
        <v>3</v>
      </c>
      <c r="Q102" s="0" t="n">
        <f aca="false">MONTH(D102)</f>
        <v>4</v>
      </c>
      <c r="R102" s="0" t="str">
        <f aca="false">"Q"&amp;ROUNDUP(MONTH(D102)/3,0)</f>
        <v>Q2</v>
      </c>
    </row>
    <row r="103" customFormat="false" ht="141" hidden="false" customHeight="false" outlineLevel="0" collapsed="false">
      <c r="A103" s="7" t="s">
        <v>349</v>
      </c>
      <c r="B103" s="7" t="s">
        <v>350</v>
      </c>
      <c r="C103" s="13" t="s">
        <v>351</v>
      </c>
      <c r="D103" s="11" t="n">
        <v>45407</v>
      </c>
      <c r="E103" s="12" t="n">
        <v>0.791666666700625</v>
      </c>
      <c r="F103" s="11" t="n">
        <v>45408</v>
      </c>
      <c r="G103" s="12" t="n">
        <v>0.75</v>
      </c>
      <c r="H103" s="10" t="n">
        <v>45406.5341740741</v>
      </c>
      <c r="I103" s="7" t="n">
        <v>5000</v>
      </c>
      <c r="J103" s="0" t="n">
        <f aca="false">IF(AND(D103&gt;=DATE(YEAR(D103),3,15),D103&lt;=DATE(YEAR(D103),6,10)),1,0)</f>
        <v>1</v>
      </c>
      <c r="K103" s="0" t="e">
        <f aca="false">VLOOKUP(D103,Festival_List!$A$2:$B$100,2,0)</f>
        <v>#N/A</v>
      </c>
      <c r="L103" s="0" t="n">
        <f aca="false">ROUND(((F103+G103)-(D103+E103))*24,0)</f>
        <v>23</v>
      </c>
      <c r="M103" s="0" t="n">
        <f aca="false">IF(OR(WEEKDAY(D103)=1,WEEKDAY(D103)=7),1,0)</f>
        <v>0</v>
      </c>
      <c r="N103" s="0" t="str">
        <f aca="false">IF(AND(MONTH(D103)&gt;=3,MONTH(D103)&lt;=6),"Summer",IF(AND(MONTH(D103)&gt;=7,MONTH(D103)&lt;=9),"Monsoon","Winter"))</f>
        <v>Summer</v>
      </c>
      <c r="O103" s="0" t="str">
        <f aca="false">IF(AND(L103&gt;=22,L103&lt;=25,E103&gt;=TIME(18,0,0)),"24H Night", IF(AND(L103&gt;=22,L103&lt;=25,E103&lt;TIME(18,0,0)),"24H Day", IF(AND(L103&gt;=11,L103&lt;=13,E103&gt;=TIME(18,0,0)),"12H Night", IF(AND(L103&gt;=11,L103&lt;=13,E103&lt;TIME(18,0,0)),"12H Day", IF(AND(L103&lt;10,E103&gt;=TIME(18,0,0)),"Couple Night", "Couple Day")))))</f>
        <v>24H Night</v>
      </c>
      <c r="P103" s="0" t="n">
        <f aca="false">WEEKDAY(D103,2)</f>
        <v>4</v>
      </c>
      <c r="Q103" s="0" t="n">
        <f aca="false">MONTH(D103)</f>
        <v>4</v>
      </c>
      <c r="R103" s="0" t="str">
        <f aca="false">"Q"&amp;ROUNDUP(MONTH(D103)/3,0)</f>
        <v>Q2</v>
      </c>
    </row>
    <row r="104" customFormat="false" ht="141" hidden="false" customHeight="false" outlineLevel="0" collapsed="false">
      <c r="A104" s="7" t="s">
        <v>352</v>
      </c>
      <c r="B104" s="7" t="s">
        <v>353</v>
      </c>
      <c r="C104" s="13" t="s">
        <v>354</v>
      </c>
      <c r="D104" s="11" t="n">
        <v>45408</v>
      </c>
      <c r="E104" s="12" t="n">
        <v>0.791666666700625</v>
      </c>
      <c r="F104" s="11" t="n">
        <v>45409</v>
      </c>
      <c r="G104" s="12" t="n">
        <v>0.75</v>
      </c>
      <c r="H104" s="10" t="n">
        <v>45407.7898225694</v>
      </c>
      <c r="I104" s="7" t="n">
        <v>4800</v>
      </c>
      <c r="J104" s="0" t="n">
        <f aca="false">IF(AND(D104&gt;=DATE(YEAR(D104),3,15),D104&lt;=DATE(YEAR(D104),6,10)),1,0)</f>
        <v>1</v>
      </c>
      <c r="K104" s="0" t="e">
        <f aca="false">VLOOKUP(D104,Festival_List!$A$2:$B$100,2,0)</f>
        <v>#N/A</v>
      </c>
      <c r="L104" s="0" t="n">
        <f aca="false">ROUND(((F104+G104)-(D104+E104))*24,0)</f>
        <v>23</v>
      </c>
      <c r="M104" s="0" t="n">
        <f aca="false">IF(OR(WEEKDAY(D104)=1,WEEKDAY(D104)=7),1,0)</f>
        <v>0</v>
      </c>
      <c r="N104" s="0" t="str">
        <f aca="false">IF(AND(MONTH(D104)&gt;=3,MONTH(D104)&lt;=6),"Summer",IF(AND(MONTH(D104)&gt;=7,MONTH(D104)&lt;=9),"Monsoon","Winter"))</f>
        <v>Summer</v>
      </c>
      <c r="O104" s="0" t="str">
        <f aca="false">IF(AND(L104&gt;=22,L104&lt;=25,E104&gt;=TIME(18,0,0)),"24H Night", IF(AND(L104&gt;=22,L104&lt;=25,E104&lt;TIME(18,0,0)),"24H Day", IF(AND(L104&gt;=11,L104&lt;=13,E104&gt;=TIME(18,0,0)),"12H Night", IF(AND(L104&gt;=11,L104&lt;=13,E104&lt;TIME(18,0,0)),"12H Day", IF(AND(L104&lt;10,E104&gt;=TIME(18,0,0)),"Couple Night", "Couple Day")))))</f>
        <v>24H Night</v>
      </c>
      <c r="P104" s="0" t="n">
        <f aca="false">WEEKDAY(D104,2)</f>
        <v>5</v>
      </c>
      <c r="Q104" s="0" t="n">
        <f aca="false">MONTH(D104)</f>
        <v>4</v>
      </c>
      <c r="R104" s="0" t="str">
        <f aca="false">"Q"&amp;ROUNDUP(MONTH(D104)/3,0)</f>
        <v>Q2</v>
      </c>
    </row>
    <row r="105" customFormat="false" ht="115.65" hidden="false" customHeight="false" outlineLevel="0" collapsed="false">
      <c r="A105" s="7" t="s">
        <v>355</v>
      </c>
      <c r="B105" s="7" t="s">
        <v>356</v>
      </c>
      <c r="C105" s="13" t="s">
        <v>357</v>
      </c>
      <c r="D105" s="11" t="n">
        <v>45409</v>
      </c>
      <c r="E105" s="12" t="n">
        <v>0.791666666700625</v>
      </c>
      <c r="F105" s="11" t="n">
        <v>45410</v>
      </c>
      <c r="G105" s="12" t="n">
        <v>0.75</v>
      </c>
      <c r="H105" s="10" t="n">
        <v>45393.9141128472</v>
      </c>
      <c r="I105" s="7" t="n">
        <v>9500</v>
      </c>
      <c r="J105" s="0" t="n">
        <f aca="false">IF(AND(D105&gt;=DATE(YEAR(D105),3,15),D105&lt;=DATE(YEAR(D105),6,10)),1,0)</f>
        <v>1</v>
      </c>
      <c r="K105" s="0" t="e">
        <f aca="false">VLOOKUP(D105,Festival_List!$A$2:$B$100,2,0)</f>
        <v>#N/A</v>
      </c>
      <c r="L105" s="0" t="n">
        <f aca="false">ROUND(((F105+G105)-(D105+E105))*24,0)</f>
        <v>23</v>
      </c>
      <c r="M105" s="0" t="n">
        <f aca="false">IF(OR(WEEKDAY(D105)=1,WEEKDAY(D105)=7),1,0)</f>
        <v>1</v>
      </c>
      <c r="N105" s="0" t="str">
        <f aca="false">IF(AND(MONTH(D105)&gt;=3,MONTH(D105)&lt;=6),"Summer",IF(AND(MONTH(D105)&gt;=7,MONTH(D105)&lt;=9),"Monsoon","Winter"))</f>
        <v>Summer</v>
      </c>
      <c r="O105" s="0" t="str">
        <f aca="false">IF(AND(L105&gt;=22,L105&lt;=25,E105&gt;=TIME(18,0,0)),"24H Night", IF(AND(L105&gt;=22,L105&lt;=25,E105&lt;TIME(18,0,0)),"24H Day", IF(AND(L105&gt;=11,L105&lt;=13,E105&gt;=TIME(18,0,0)),"12H Night", IF(AND(L105&gt;=11,L105&lt;=13,E105&lt;TIME(18,0,0)),"12H Day", IF(AND(L105&lt;10,E105&gt;=TIME(18,0,0)),"Couple Night", "Couple Day")))))</f>
        <v>24H Night</v>
      </c>
      <c r="P105" s="0" t="n">
        <f aca="false">WEEKDAY(D105,2)</f>
        <v>6</v>
      </c>
      <c r="Q105" s="0" t="n">
        <f aca="false">MONTH(D105)</f>
        <v>4</v>
      </c>
      <c r="R105" s="0" t="str">
        <f aca="false">"Q"&amp;ROUNDUP(MONTH(D105)/3,0)</f>
        <v>Q2</v>
      </c>
    </row>
    <row r="106" customFormat="false" ht="115.65" hidden="false" customHeight="false" outlineLevel="0" collapsed="false">
      <c r="A106" s="7" t="s">
        <v>358</v>
      </c>
      <c r="B106" s="7" t="s">
        <v>359</v>
      </c>
      <c r="C106" s="13" t="s">
        <v>360</v>
      </c>
      <c r="D106" s="11" t="n">
        <v>45410</v>
      </c>
      <c r="E106" s="12" t="n">
        <v>0.791666666700625</v>
      </c>
      <c r="F106" s="11" t="n">
        <v>45411</v>
      </c>
      <c r="G106" s="12" t="n">
        <v>0.75</v>
      </c>
      <c r="H106" s="10" t="n">
        <v>45411.8175840278</v>
      </c>
      <c r="I106" s="7" t="n">
        <v>4000</v>
      </c>
      <c r="J106" s="0" t="n">
        <f aca="false">IF(AND(D106&gt;=DATE(YEAR(D106),3,15),D106&lt;=DATE(YEAR(D106),6,10)),1,0)</f>
        <v>1</v>
      </c>
      <c r="K106" s="0" t="e">
        <f aca="false">VLOOKUP(D106,Festival_List!$A$2:$B$100,2,0)</f>
        <v>#N/A</v>
      </c>
      <c r="L106" s="0" t="n">
        <f aca="false">ROUND(((F106+G106)-(D106+E106))*24,0)</f>
        <v>23</v>
      </c>
      <c r="M106" s="0" t="n">
        <f aca="false">IF(OR(WEEKDAY(D106)=1,WEEKDAY(D106)=7),1,0)</f>
        <v>1</v>
      </c>
      <c r="N106" s="0" t="str">
        <f aca="false">IF(AND(MONTH(D106)&gt;=3,MONTH(D106)&lt;=6),"Summer",IF(AND(MONTH(D106)&gt;=7,MONTH(D106)&lt;=9),"Monsoon","Winter"))</f>
        <v>Summer</v>
      </c>
      <c r="O106" s="0" t="str">
        <f aca="false">IF(AND(L106&gt;=22,L106&lt;=25,E106&gt;=TIME(18,0,0)),"24H Night", IF(AND(L106&gt;=22,L106&lt;=25,E106&lt;TIME(18,0,0)),"24H Day", IF(AND(L106&gt;=11,L106&lt;=13,E106&gt;=TIME(18,0,0)),"12H Night", IF(AND(L106&gt;=11,L106&lt;=13,E106&lt;TIME(18,0,0)),"12H Day", IF(AND(L106&lt;10,E106&gt;=TIME(18,0,0)),"Couple Night", "Couple Day")))))</f>
        <v>24H Night</v>
      </c>
      <c r="P106" s="0" t="n">
        <f aca="false">WEEKDAY(D106,2)</f>
        <v>7</v>
      </c>
      <c r="Q106" s="0" t="n">
        <f aca="false">MONTH(D106)</f>
        <v>4</v>
      </c>
      <c r="R106" s="0" t="str">
        <f aca="false">"Q"&amp;ROUNDUP(MONTH(D106)/3,0)</f>
        <v>Q2</v>
      </c>
    </row>
    <row r="107" customFormat="false" ht="141" hidden="false" customHeight="false" outlineLevel="0" collapsed="false">
      <c r="A107" s="7" t="s">
        <v>361</v>
      </c>
      <c r="B107" s="7" t="s">
        <v>362</v>
      </c>
      <c r="C107" s="13" t="s">
        <v>363</v>
      </c>
      <c r="D107" s="11" t="n">
        <v>45411</v>
      </c>
      <c r="E107" s="12" t="n">
        <v>0.791666666700625</v>
      </c>
      <c r="F107" s="11" t="n">
        <v>45412</v>
      </c>
      <c r="G107" s="12" t="n">
        <v>0.75</v>
      </c>
      <c r="H107" s="10" t="n">
        <v>45389.4822099537</v>
      </c>
      <c r="I107" s="7" t="n">
        <v>5500</v>
      </c>
      <c r="J107" s="0" t="n">
        <f aca="false">IF(AND(D107&gt;=DATE(YEAR(D107),3,15),D107&lt;=DATE(YEAR(D107),6,10)),1,0)</f>
        <v>1</v>
      </c>
      <c r="K107" s="0" t="e">
        <f aca="false">VLOOKUP(D107,Festival_List!$A$2:$B$100,2,0)</f>
        <v>#N/A</v>
      </c>
      <c r="L107" s="0" t="n">
        <f aca="false">ROUND(((F107+G107)-(D107+E107))*24,0)</f>
        <v>23</v>
      </c>
      <c r="M107" s="0" t="n">
        <f aca="false">IF(OR(WEEKDAY(D107)=1,WEEKDAY(D107)=7),1,0)</f>
        <v>0</v>
      </c>
      <c r="N107" s="0" t="str">
        <f aca="false">IF(AND(MONTH(D107)&gt;=3,MONTH(D107)&lt;=6),"Summer",IF(AND(MONTH(D107)&gt;=7,MONTH(D107)&lt;=9),"Monsoon","Winter"))</f>
        <v>Summer</v>
      </c>
      <c r="O107" s="0" t="str">
        <f aca="false">IF(AND(L107&gt;=22,L107&lt;=25,E107&gt;=TIME(18,0,0)),"24H Night", IF(AND(L107&gt;=22,L107&lt;=25,E107&lt;TIME(18,0,0)),"24H Day", IF(AND(L107&gt;=11,L107&lt;=13,E107&gt;=TIME(18,0,0)),"12H Night", IF(AND(L107&gt;=11,L107&lt;=13,E107&lt;TIME(18,0,0)),"12H Day", IF(AND(L107&lt;10,E107&gt;=TIME(18,0,0)),"Couple Night", "Couple Day")))))</f>
        <v>24H Night</v>
      </c>
      <c r="P107" s="0" t="n">
        <f aca="false">WEEKDAY(D107,2)</f>
        <v>1</v>
      </c>
      <c r="Q107" s="0" t="n">
        <f aca="false">MONTH(D107)</f>
        <v>4</v>
      </c>
      <c r="R107" s="0" t="str">
        <f aca="false">"Q"&amp;ROUNDUP(MONTH(D107)/3,0)</f>
        <v>Q2</v>
      </c>
    </row>
    <row r="108" customFormat="false" ht="153.7" hidden="false" customHeight="false" outlineLevel="0" collapsed="false">
      <c r="A108" s="7" t="s">
        <v>364</v>
      </c>
      <c r="B108" s="7" t="s">
        <v>365</v>
      </c>
      <c r="C108" s="13" t="s">
        <v>366</v>
      </c>
      <c r="D108" s="11" t="n">
        <v>45412</v>
      </c>
      <c r="E108" s="12" t="n">
        <v>0.791666666700625</v>
      </c>
      <c r="F108" s="11" t="n">
        <v>45413</v>
      </c>
      <c r="G108" s="12" t="n">
        <v>0.75</v>
      </c>
      <c r="H108" s="10" t="n">
        <v>45781.0407053241</v>
      </c>
      <c r="I108" s="7" t="n">
        <v>5000</v>
      </c>
      <c r="J108" s="0" t="n">
        <f aca="false">IF(AND(D108&gt;=DATE(YEAR(D108),3,15),D108&lt;=DATE(YEAR(D108),6,10)),1,0)</f>
        <v>1</v>
      </c>
      <c r="K108" s="0" t="e">
        <f aca="false">VLOOKUP(D108,Festival_List!$A$2:$B$100,2,0)</f>
        <v>#N/A</v>
      </c>
      <c r="L108" s="0" t="n">
        <f aca="false">ROUND(((F108+G108)-(D108+E108))*24,0)</f>
        <v>23</v>
      </c>
      <c r="M108" s="0" t="n">
        <f aca="false">IF(OR(WEEKDAY(D108)=1,WEEKDAY(D108)=7),1,0)</f>
        <v>0</v>
      </c>
      <c r="N108" s="0" t="str">
        <f aca="false">IF(AND(MONTH(D108)&gt;=3,MONTH(D108)&lt;=6),"Summer",IF(AND(MONTH(D108)&gt;=7,MONTH(D108)&lt;=9),"Monsoon","Winter"))</f>
        <v>Summer</v>
      </c>
      <c r="O108" s="0" t="str">
        <f aca="false">IF(AND(L108&gt;=22,L108&lt;=25,E108&gt;=TIME(18,0,0)),"24H Night", IF(AND(L108&gt;=22,L108&lt;=25,E108&lt;TIME(18,0,0)),"24H Day", IF(AND(L108&gt;=11,L108&lt;=13,E108&gt;=TIME(18,0,0)),"12H Night", IF(AND(L108&gt;=11,L108&lt;=13,E108&lt;TIME(18,0,0)),"12H Day", IF(AND(L108&lt;10,E108&gt;=TIME(18,0,0)),"Couple Night", "Couple Day")))))</f>
        <v>24H Night</v>
      </c>
      <c r="P108" s="0" t="n">
        <f aca="false">WEEKDAY(D108,2)</f>
        <v>2</v>
      </c>
      <c r="Q108" s="0" t="n">
        <f aca="false">MONTH(D108)</f>
        <v>4</v>
      </c>
      <c r="R108" s="0" t="str">
        <f aca="false">"Q"&amp;ROUNDUP(MONTH(D108)/3,0)</f>
        <v>Q2</v>
      </c>
    </row>
    <row r="109" customFormat="false" ht="115.65" hidden="false" customHeight="false" outlineLevel="0" collapsed="false">
      <c r="A109" s="7" t="s">
        <v>367</v>
      </c>
      <c r="B109" s="7" t="s">
        <v>368</v>
      </c>
      <c r="C109" s="13" t="s">
        <v>369</v>
      </c>
      <c r="D109" s="11" t="n">
        <v>45415</v>
      </c>
      <c r="E109" s="12" t="n">
        <v>0.291666666700625</v>
      </c>
      <c r="F109" s="11" t="n">
        <v>45415</v>
      </c>
      <c r="G109" s="12" t="n">
        <v>0.75</v>
      </c>
      <c r="H109" s="10" t="n">
        <v>45413.4938625</v>
      </c>
      <c r="I109" s="7" t="n">
        <v>4000</v>
      </c>
      <c r="J109" s="0" t="n">
        <f aca="false">IF(AND(D109&gt;=DATE(YEAR(D109),3,15),D109&lt;=DATE(YEAR(D109),6,10)),1,0)</f>
        <v>1</v>
      </c>
      <c r="K109" s="0" t="e">
        <f aca="false">VLOOKUP(D109,Festival_List!$A$2:$B$100,2,0)</f>
        <v>#N/A</v>
      </c>
      <c r="L109" s="0" t="n">
        <f aca="false">ROUND(((F109+G109)-(D109+E109))*24,0)</f>
        <v>11</v>
      </c>
      <c r="M109" s="0" t="n">
        <f aca="false">IF(OR(WEEKDAY(D109)=1,WEEKDAY(D109)=7),1,0)</f>
        <v>0</v>
      </c>
      <c r="N109" s="0" t="str">
        <f aca="false">IF(AND(MONTH(D109)&gt;=3,MONTH(D109)&lt;=6),"Summer",IF(AND(MONTH(D109)&gt;=7,MONTH(D109)&lt;=9),"Monsoon","Winter"))</f>
        <v>Summer</v>
      </c>
      <c r="O109" s="0" t="str">
        <f aca="false">IF(AND(L109&gt;=22,L109&lt;=25,E109&gt;=TIME(18,0,0)),"24H Night", IF(AND(L109&gt;=22,L109&lt;=25,E109&lt;TIME(18,0,0)),"24H Day", IF(AND(L109&gt;=11,L109&lt;=13,E109&gt;=TIME(18,0,0)),"12H Night", IF(AND(L109&gt;=11,L109&lt;=13,E109&lt;TIME(18,0,0)),"12H Day", IF(AND(L109&lt;10,E109&gt;=TIME(18,0,0)),"Couple Night", "Couple Day")))))</f>
        <v>12H Day</v>
      </c>
      <c r="P109" s="0" t="n">
        <f aca="false">WEEKDAY(D109,2)</f>
        <v>5</v>
      </c>
      <c r="Q109" s="0" t="n">
        <f aca="false">MONTH(D109)</f>
        <v>5</v>
      </c>
      <c r="R109" s="0" t="str">
        <f aca="false">"Q"&amp;ROUNDUP(MONTH(D109)/3,0)</f>
        <v>Q2</v>
      </c>
    </row>
    <row r="110" customFormat="false" ht="153.7" hidden="false" customHeight="false" outlineLevel="0" collapsed="false">
      <c r="A110" s="7" t="s">
        <v>370</v>
      </c>
      <c r="B110" s="7" t="s">
        <v>371</v>
      </c>
      <c r="C110" s="13" t="s">
        <v>372</v>
      </c>
      <c r="D110" s="11" t="n">
        <v>45415</v>
      </c>
      <c r="E110" s="12" t="n">
        <v>0.791666666700625</v>
      </c>
      <c r="F110" s="11" t="n">
        <v>45416</v>
      </c>
      <c r="G110" s="12" t="n">
        <v>0.75</v>
      </c>
      <c r="H110" s="10" t="n">
        <v>45794.9836521991</v>
      </c>
      <c r="I110" s="7" t="n">
        <v>5500</v>
      </c>
      <c r="J110" s="0" t="n">
        <f aca="false">IF(AND(D110&gt;=DATE(YEAR(D110),3,15),D110&lt;=DATE(YEAR(D110),6,10)),1,0)</f>
        <v>1</v>
      </c>
      <c r="K110" s="0" t="e">
        <f aca="false">VLOOKUP(D110,Festival_List!$A$2:$B$100,2,0)</f>
        <v>#N/A</v>
      </c>
      <c r="L110" s="0" t="n">
        <f aca="false">ROUND(((F110+G110)-(D110+E110))*24,0)</f>
        <v>23</v>
      </c>
      <c r="M110" s="0" t="n">
        <f aca="false">IF(OR(WEEKDAY(D110)=1,WEEKDAY(D110)=7),1,0)</f>
        <v>0</v>
      </c>
      <c r="N110" s="0" t="str">
        <f aca="false">IF(AND(MONTH(D110)&gt;=3,MONTH(D110)&lt;=6),"Summer",IF(AND(MONTH(D110)&gt;=7,MONTH(D110)&lt;=9),"Monsoon","Winter"))</f>
        <v>Summer</v>
      </c>
      <c r="O110" s="0" t="str">
        <f aca="false">IF(AND(L110&gt;=22,L110&lt;=25,E110&gt;=TIME(18,0,0)),"24H Night", IF(AND(L110&gt;=22,L110&lt;=25,E110&lt;TIME(18,0,0)),"24H Day", IF(AND(L110&gt;=11,L110&lt;=13,E110&gt;=TIME(18,0,0)),"12H Night", IF(AND(L110&gt;=11,L110&lt;=13,E110&lt;TIME(18,0,0)),"12H Day", IF(AND(L110&lt;10,E110&gt;=TIME(18,0,0)),"Couple Night", "Couple Day")))))</f>
        <v>24H Night</v>
      </c>
      <c r="P110" s="0" t="n">
        <f aca="false">WEEKDAY(D110,2)</f>
        <v>5</v>
      </c>
      <c r="Q110" s="0" t="n">
        <f aca="false">MONTH(D110)</f>
        <v>5</v>
      </c>
      <c r="R110" s="0" t="str">
        <f aca="false">"Q"&amp;ROUNDUP(MONTH(D110)/3,0)</f>
        <v>Q2</v>
      </c>
    </row>
    <row r="111" customFormat="false" ht="166.4" hidden="false" customHeight="false" outlineLevel="0" collapsed="false">
      <c r="A111" s="7" t="s">
        <v>373</v>
      </c>
      <c r="B111" s="7" t="s">
        <v>374</v>
      </c>
      <c r="C111" s="13" t="s">
        <v>375</v>
      </c>
      <c r="D111" s="11" t="n">
        <v>45416</v>
      </c>
      <c r="E111" s="12" t="n">
        <v>0.791666666700625</v>
      </c>
      <c r="F111" s="11" t="n">
        <v>45417</v>
      </c>
      <c r="G111" s="12" t="n">
        <v>0.75</v>
      </c>
      <c r="H111" s="10" t="n">
        <v>45794.9836521991</v>
      </c>
      <c r="I111" s="7" t="n">
        <v>12000</v>
      </c>
      <c r="J111" s="0" t="n">
        <f aca="false">IF(AND(D111&gt;=DATE(YEAR(D111),3,15),D111&lt;=DATE(YEAR(D111),6,10)),1,0)</f>
        <v>1</v>
      </c>
      <c r="K111" s="0" t="e">
        <f aca="false">VLOOKUP(D111,Festival_List!$A$2:$B$100,2,0)</f>
        <v>#N/A</v>
      </c>
      <c r="L111" s="0" t="n">
        <f aca="false">ROUND(((F111+G111)-(D111+E111))*24,0)</f>
        <v>23</v>
      </c>
      <c r="M111" s="0" t="n">
        <f aca="false">IF(OR(WEEKDAY(D111)=1,WEEKDAY(D111)=7),1,0)</f>
        <v>1</v>
      </c>
      <c r="N111" s="0" t="str">
        <f aca="false">IF(AND(MONTH(D111)&gt;=3,MONTH(D111)&lt;=6),"Summer",IF(AND(MONTH(D111)&gt;=7,MONTH(D111)&lt;=9),"Monsoon","Winter"))</f>
        <v>Summer</v>
      </c>
      <c r="O111" s="0" t="str">
        <f aca="false">IF(AND(L111&gt;=22,L111&lt;=25,E111&gt;=TIME(18,0,0)),"24H Night", IF(AND(L111&gt;=22,L111&lt;=25,E111&lt;TIME(18,0,0)),"24H Day", IF(AND(L111&gt;=11,L111&lt;=13,E111&gt;=TIME(18,0,0)),"12H Night", IF(AND(L111&gt;=11,L111&lt;=13,E111&lt;TIME(18,0,0)),"12H Day", IF(AND(L111&lt;10,E111&gt;=TIME(18,0,0)),"Couple Night", "Couple Day")))))</f>
        <v>24H Night</v>
      </c>
      <c r="P111" s="0" t="n">
        <f aca="false">WEEKDAY(D111,2)</f>
        <v>6</v>
      </c>
      <c r="Q111" s="0" t="n">
        <f aca="false">MONTH(D111)</f>
        <v>5</v>
      </c>
      <c r="R111" s="0" t="str">
        <f aca="false">"Q"&amp;ROUNDUP(MONTH(D111)/3,0)</f>
        <v>Q2</v>
      </c>
    </row>
    <row r="112" customFormat="false" ht="115.65" hidden="false" customHeight="false" outlineLevel="0" collapsed="false">
      <c r="A112" s="7" t="s">
        <v>376</v>
      </c>
      <c r="B112" s="7" t="s">
        <v>377</v>
      </c>
      <c r="C112" s="13" t="s">
        <v>378</v>
      </c>
      <c r="D112" s="11" t="n">
        <v>45418</v>
      </c>
      <c r="E112" s="12" t="n">
        <v>0.291666666700625</v>
      </c>
      <c r="F112" s="11" t="n">
        <v>45418</v>
      </c>
      <c r="G112" s="12" t="n">
        <v>0.75</v>
      </c>
      <c r="H112" s="10" t="n">
        <v>45413.403728588</v>
      </c>
      <c r="I112" s="7" t="n">
        <v>4000</v>
      </c>
      <c r="J112" s="0" t="n">
        <f aca="false">IF(AND(D112&gt;=DATE(YEAR(D112),3,15),D112&lt;=DATE(YEAR(D112),6,10)),1,0)</f>
        <v>1</v>
      </c>
      <c r="K112" s="0" t="e">
        <f aca="false">VLOOKUP(D112,Festival_List!$A$2:$B$100,2,0)</f>
        <v>#N/A</v>
      </c>
      <c r="L112" s="0" t="n">
        <f aca="false">ROUND(((F112+G112)-(D112+E112))*24,0)</f>
        <v>11</v>
      </c>
      <c r="M112" s="0" t="n">
        <f aca="false">IF(OR(WEEKDAY(D112)=1,WEEKDAY(D112)=7),1,0)</f>
        <v>0</v>
      </c>
      <c r="N112" s="0" t="str">
        <f aca="false">IF(AND(MONTH(D112)&gt;=3,MONTH(D112)&lt;=6),"Summer",IF(AND(MONTH(D112)&gt;=7,MONTH(D112)&lt;=9),"Monsoon","Winter"))</f>
        <v>Summer</v>
      </c>
      <c r="O112" s="0" t="str">
        <f aca="false">IF(AND(L112&gt;=22,L112&lt;=25,E112&gt;=TIME(18,0,0)),"24H Night", IF(AND(L112&gt;=22,L112&lt;=25,E112&lt;TIME(18,0,0)),"24H Day", IF(AND(L112&gt;=11,L112&lt;=13,E112&gt;=TIME(18,0,0)),"12H Night", IF(AND(L112&gt;=11,L112&lt;=13,E112&lt;TIME(18,0,0)),"12H Day", IF(AND(L112&lt;10,E112&gt;=TIME(18,0,0)),"Couple Night", "Couple Day")))))</f>
        <v>12H Day</v>
      </c>
      <c r="P112" s="0" t="n">
        <f aca="false">WEEKDAY(D112,2)</f>
        <v>1</v>
      </c>
      <c r="Q112" s="0" t="n">
        <f aca="false">MONTH(D112)</f>
        <v>5</v>
      </c>
      <c r="R112" s="0" t="str">
        <f aca="false">"Q"&amp;ROUNDUP(MONTH(D112)/3,0)</f>
        <v>Q2</v>
      </c>
    </row>
    <row r="113" customFormat="false" ht="153.7" hidden="false" customHeight="false" outlineLevel="0" collapsed="false">
      <c r="A113" s="7" t="s">
        <v>379</v>
      </c>
      <c r="B113" s="7" t="s">
        <v>380</v>
      </c>
      <c r="C113" s="13" t="s">
        <v>381</v>
      </c>
      <c r="D113" s="11" t="n">
        <v>45418</v>
      </c>
      <c r="E113" s="12" t="n">
        <v>0.791666666700625</v>
      </c>
      <c r="F113" s="11" t="n">
        <v>45419</v>
      </c>
      <c r="G113" s="12" t="n">
        <v>0.75</v>
      </c>
      <c r="H113" s="10" t="n">
        <v>45745.4116268519</v>
      </c>
      <c r="I113" s="7" t="n">
        <v>12000</v>
      </c>
      <c r="J113" s="0" t="n">
        <f aca="false">IF(AND(D113&gt;=DATE(YEAR(D113),3,15),D113&lt;=DATE(YEAR(D113),6,10)),1,0)</f>
        <v>1</v>
      </c>
      <c r="K113" s="0" t="e">
        <f aca="false">VLOOKUP(D113,Festival_List!$A$2:$B$100,2,0)</f>
        <v>#N/A</v>
      </c>
      <c r="L113" s="0" t="n">
        <f aca="false">ROUND(((F113+G113)-(D113+E113))*24,0)</f>
        <v>23</v>
      </c>
      <c r="M113" s="0" t="n">
        <f aca="false">IF(OR(WEEKDAY(D113)=1,WEEKDAY(D113)=7),1,0)</f>
        <v>0</v>
      </c>
      <c r="N113" s="0" t="str">
        <f aca="false">IF(AND(MONTH(D113)&gt;=3,MONTH(D113)&lt;=6),"Summer",IF(AND(MONTH(D113)&gt;=7,MONTH(D113)&lt;=9),"Monsoon","Winter"))</f>
        <v>Summer</v>
      </c>
      <c r="O113" s="0" t="str">
        <f aca="false">IF(AND(L113&gt;=22,L113&lt;=25,E113&gt;=TIME(18,0,0)),"24H Night", IF(AND(L113&gt;=22,L113&lt;=25,E113&lt;TIME(18,0,0)),"24H Day", IF(AND(L113&gt;=11,L113&lt;=13,E113&gt;=TIME(18,0,0)),"12H Night", IF(AND(L113&gt;=11,L113&lt;=13,E113&lt;TIME(18,0,0)),"12H Day", IF(AND(L113&lt;10,E113&gt;=TIME(18,0,0)),"Couple Night", "Couple Day")))))</f>
        <v>24H Night</v>
      </c>
      <c r="P113" s="0" t="n">
        <f aca="false">WEEKDAY(D113,2)</f>
        <v>1</v>
      </c>
      <c r="Q113" s="0" t="n">
        <f aca="false">MONTH(D113)</f>
        <v>5</v>
      </c>
      <c r="R113" s="0" t="str">
        <f aca="false">"Q"&amp;ROUNDUP(MONTH(D113)/3,0)</f>
        <v>Q2</v>
      </c>
    </row>
    <row r="114" customFormat="false" ht="90.25" hidden="false" customHeight="false" outlineLevel="0" collapsed="false">
      <c r="A114" s="7" t="s">
        <v>382</v>
      </c>
      <c r="B114" s="7" t="s">
        <v>383</v>
      </c>
      <c r="C114" s="13" t="s">
        <v>384</v>
      </c>
      <c r="D114" s="11" t="n">
        <v>45419</v>
      </c>
      <c r="E114" s="12" t="n">
        <v>0.791666666700625</v>
      </c>
      <c r="F114" s="11" t="n">
        <v>45420</v>
      </c>
      <c r="G114" s="12" t="n">
        <v>0.75</v>
      </c>
      <c r="H114" s="10" t="n">
        <v>45725.5029362269</v>
      </c>
      <c r="I114" s="7" t="n">
        <v>3000</v>
      </c>
      <c r="J114" s="0" t="n">
        <f aca="false">IF(AND(D114&gt;=DATE(YEAR(D114),3,15),D114&lt;=DATE(YEAR(D114),6,10)),1,0)</f>
        <v>1</v>
      </c>
      <c r="K114" s="0" t="e">
        <f aca="false">VLOOKUP(D114,Festival_List!$A$2:$B$100,2,0)</f>
        <v>#N/A</v>
      </c>
      <c r="L114" s="0" t="n">
        <f aca="false">ROUND(((F114+G114)-(D114+E114))*24,0)</f>
        <v>23</v>
      </c>
      <c r="M114" s="0" t="n">
        <f aca="false">IF(OR(WEEKDAY(D114)=1,WEEKDAY(D114)=7),1,0)</f>
        <v>0</v>
      </c>
      <c r="N114" s="0" t="str">
        <f aca="false">IF(AND(MONTH(D114)&gt;=3,MONTH(D114)&lt;=6),"Summer",IF(AND(MONTH(D114)&gt;=7,MONTH(D114)&lt;=9),"Monsoon","Winter"))</f>
        <v>Summer</v>
      </c>
      <c r="O114" s="0" t="str">
        <f aca="false">IF(AND(L114&gt;=22,L114&lt;=25,E114&gt;=TIME(18,0,0)),"24H Night", IF(AND(L114&gt;=22,L114&lt;=25,E114&lt;TIME(18,0,0)),"24H Day", IF(AND(L114&gt;=11,L114&lt;=13,E114&gt;=TIME(18,0,0)),"12H Night", IF(AND(L114&gt;=11,L114&lt;=13,E114&lt;TIME(18,0,0)),"12H Day", IF(AND(L114&lt;10,E114&gt;=TIME(18,0,0)),"Couple Night", "Couple Day")))))</f>
        <v>24H Night</v>
      </c>
      <c r="P114" s="0" t="n">
        <f aca="false">WEEKDAY(D114,2)</f>
        <v>2</v>
      </c>
      <c r="Q114" s="0" t="n">
        <f aca="false">MONTH(D114)</f>
        <v>5</v>
      </c>
      <c r="R114" s="0" t="str">
        <f aca="false">"Q"&amp;ROUNDUP(MONTH(D114)/3,0)</f>
        <v>Q2</v>
      </c>
    </row>
    <row r="115" customFormat="false" ht="141" hidden="false" customHeight="false" outlineLevel="0" collapsed="false">
      <c r="A115" s="7" t="s">
        <v>385</v>
      </c>
      <c r="B115" s="7" t="s">
        <v>386</v>
      </c>
      <c r="C115" s="13" t="s">
        <v>387</v>
      </c>
      <c r="D115" s="11" t="n">
        <v>45420</v>
      </c>
      <c r="E115" s="12" t="n">
        <v>0.791666666700625</v>
      </c>
      <c r="F115" s="11" t="n">
        <v>45421</v>
      </c>
      <c r="G115" s="12" t="n">
        <v>0.75</v>
      </c>
      <c r="H115" s="10" t="n">
        <v>45794.9836521991</v>
      </c>
      <c r="I115" s="7" t="n">
        <v>5000</v>
      </c>
      <c r="J115" s="0" t="n">
        <f aca="false">IF(AND(D115&gt;=DATE(YEAR(D115),3,15),D115&lt;=DATE(YEAR(D115),6,10)),1,0)</f>
        <v>1</v>
      </c>
      <c r="K115" s="0" t="e">
        <f aca="false">VLOOKUP(D115,Festival_List!$A$2:$B$100,2,0)</f>
        <v>#N/A</v>
      </c>
      <c r="L115" s="0" t="n">
        <f aca="false">ROUND(((F115+G115)-(D115+E115))*24,0)</f>
        <v>23</v>
      </c>
      <c r="M115" s="0" t="n">
        <f aca="false">IF(OR(WEEKDAY(D115)=1,WEEKDAY(D115)=7),1,0)</f>
        <v>0</v>
      </c>
      <c r="N115" s="0" t="str">
        <f aca="false">IF(AND(MONTH(D115)&gt;=3,MONTH(D115)&lt;=6),"Summer",IF(AND(MONTH(D115)&gt;=7,MONTH(D115)&lt;=9),"Monsoon","Winter"))</f>
        <v>Summer</v>
      </c>
      <c r="O115" s="0" t="str">
        <f aca="false">IF(AND(L115&gt;=22,L115&lt;=25,E115&gt;=TIME(18,0,0)),"24H Night", IF(AND(L115&gt;=22,L115&lt;=25,E115&lt;TIME(18,0,0)),"24H Day", IF(AND(L115&gt;=11,L115&lt;=13,E115&gt;=TIME(18,0,0)),"12H Night", IF(AND(L115&gt;=11,L115&lt;=13,E115&lt;TIME(18,0,0)),"12H Day", IF(AND(L115&lt;10,E115&gt;=TIME(18,0,0)),"Couple Night", "Couple Day")))))</f>
        <v>24H Night</v>
      </c>
      <c r="P115" s="0" t="n">
        <f aca="false">WEEKDAY(D115,2)</f>
        <v>3</v>
      </c>
      <c r="Q115" s="0" t="n">
        <f aca="false">MONTH(D115)</f>
        <v>5</v>
      </c>
      <c r="R115" s="0" t="str">
        <f aca="false">"Q"&amp;ROUNDUP(MONTH(D115)/3,0)</f>
        <v>Q2</v>
      </c>
    </row>
    <row r="116" customFormat="false" ht="166.4" hidden="false" customHeight="false" outlineLevel="0" collapsed="false">
      <c r="A116" s="7" t="s">
        <v>388</v>
      </c>
      <c r="B116" s="7" t="s">
        <v>389</v>
      </c>
      <c r="C116" s="13" t="s">
        <v>390</v>
      </c>
      <c r="D116" s="11" t="n">
        <v>45421</v>
      </c>
      <c r="E116" s="12" t="n">
        <v>0.791666666700625</v>
      </c>
      <c r="F116" s="11" t="n">
        <v>45422</v>
      </c>
      <c r="G116" s="12" t="n">
        <v>0.75</v>
      </c>
      <c r="H116" s="10" t="n">
        <v>45794.9836521991</v>
      </c>
      <c r="I116" s="7" t="n">
        <v>5500</v>
      </c>
      <c r="J116" s="0" t="n">
        <f aca="false">IF(AND(D116&gt;=DATE(YEAR(D116),3,15),D116&lt;=DATE(YEAR(D116),6,10)),1,0)</f>
        <v>1</v>
      </c>
      <c r="K116" s="0" t="e">
        <f aca="false">VLOOKUP(D116,Festival_List!$A$2:$B$100,2,0)</f>
        <v>#N/A</v>
      </c>
      <c r="L116" s="0" t="n">
        <f aca="false">ROUND(((F116+G116)-(D116+E116))*24,0)</f>
        <v>23</v>
      </c>
      <c r="M116" s="0" t="n">
        <f aca="false">IF(OR(WEEKDAY(D116)=1,WEEKDAY(D116)=7),1,0)</f>
        <v>0</v>
      </c>
      <c r="N116" s="0" t="str">
        <f aca="false">IF(AND(MONTH(D116)&gt;=3,MONTH(D116)&lt;=6),"Summer",IF(AND(MONTH(D116)&gt;=7,MONTH(D116)&lt;=9),"Monsoon","Winter"))</f>
        <v>Summer</v>
      </c>
      <c r="O116" s="0" t="str">
        <f aca="false">IF(AND(L116&gt;=22,L116&lt;=25,E116&gt;=TIME(18,0,0)),"24H Night", IF(AND(L116&gt;=22,L116&lt;=25,E116&lt;TIME(18,0,0)),"24H Day", IF(AND(L116&gt;=11,L116&lt;=13,E116&gt;=TIME(18,0,0)),"12H Night", IF(AND(L116&gt;=11,L116&lt;=13,E116&lt;TIME(18,0,0)),"12H Day", IF(AND(L116&lt;10,E116&gt;=TIME(18,0,0)),"Couple Night", "Couple Day")))))</f>
        <v>24H Night</v>
      </c>
      <c r="P116" s="0" t="n">
        <f aca="false">WEEKDAY(D116,2)</f>
        <v>4</v>
      </c>
      <c r="Q116" s="0" t="n">
        <f aca="false">MONTH(D116)</f>
        <v>5</v>
      </c>
      <c r="R116" s="0" t="str">
        <f aca="false">"Q"&amp;ROUNDUP(MONTH(D116)/3,0)</f>
        <v>Q2</v>
      </c>
    </row>
    <row r="117" customFormat="false" ht="153.7" hidden="false" customHeight="false" outlineLevel="0" collapsed="false">
      <c r="A117" s="7" t="s">
        <v>391</v>
      </c>
      <c r="B117" s="7" t="s">
        <v>335</v>
      </c>
      <c r="C117" s="13" t="s">
        <v>392</v>
      </c>
      <c r="D117" s="11" t="n">
        <v>45422</v>
      </c>
      <c r="E117" s="12" t="n">
        <v>0.791666666700625</v>
      </c>
      <c r="F117" s="11" t="n">
        <v>45423</v>
      </c>
      <c r="G117" s="12" t="n">
        <v>0.75</v>
      </c>
      <c r="H117" s="10" t="n">
        <v>45416.4220253472</v>
      </c>
      <c r="I117" s="7" t="n">
        <v>5000</v>
      </c>
      <c r="J117" s="0" t="n">
        <f aca="false">IF(AND(D117&gt;=DATE(YEAR(D117),3,15),D117&lt;=DATE(YEAR(D117),6,10)),1,0)</f>
        <v>1</v>
      </c>
      <c r="K117" s="0" t="e">
        <f aca="false">VLOOKUP(D117,Festival_List!$A$2:$B$100,2,0)</f>
        <v>#N/A</v>
      </c>
      <c r="L117" s="0" t="n">
        <f aca="false">ROUND(((F117+G117)-(D117+E117))*24,0)</f>
        <v>23</v>
      </c>
      <c r="M117" s="0" t="n">
        <f aca="false">IF(OR(WEEKDAY(D117)=1,WEEKDAY(D117)=7),1,0)</f>
        <v>0</v>
      </c>
      <c r="N117" s="0" t="str">
        <f aca="false">IF(AND(MONTH(D117)&gt;=3,MONTH(D117)&lt;=6),"Summer",IF(AND(MONTH(D117)&gt;=7,MONTH(D117)&lt;=9),"Monsoon","Winter"))</f>
        <v>Summer</v>
      </c>
      <c r="O117" s="0" t="str">
        <f aca="false">IF(AND(L117&gt;=22,L117&lt;=25,E117&gt;=TIME(18,0,0)),"24H Night", IF(AND(L117&gt;=22,L117&lt;=25,E117&lt;TIME(18,0,0)),"24H Day", IF(AND(L117&gt;=11,L117&lt;=13,E117&gt;=TIME(18,0,0)),"12H Night", IF(AND(L117&gt;=11,L117&lt;=13,E117&lt;TIME(18,0,0)),"12H Day", IF(AND(L117&lt;10,E117&gt;=TIME(18,0,0)),"Couple Night", "Couple Day")))))</f>
        <v>24H Night</v>
      </c>
      <c r="P117" s="0" t="n">
        <f aca="false">WEEKDAY(D117,2)</f>
        <v>5</v>
      </c>
      <c r="Q117" s="0" t="n">
        <f aca="false">MONTH(D117)</f>
        <v>5</v>
      </c>
      <c r="R117" s="0" t="str">
        <f aca="false">"Q"&amp;ROUNDUP(MONTH(D117)/3,0)</f>
        <v>Q2</v>
      </c>
    </row>
    <row r="118" customFormat="false" ht="115.65" hidden="false" customHeight="false" outlineLevel="0" collapsed="false">
      <c r="A118" s="7" t="s">
        <v>393</v>
      </c>
      <c r="B118" s="7" t="s">
        <v>394</v>
      </c>
      <c r="C118" s="13" t="s">
        <v>395</v>
      </c>
      <c r="D118" s="11" t="n">
        <v>45423</v>
      </c>
      <c r="E118" s="12" t="n">
        <v>0.791666666700625</v>
      </c>
      <c r="F118" s="11" t="n">
        <v>45424</v>
      </c>
      <c r="G118" s="12" t="n">
        <v>0.75</v>
      </c>
      <c r="H118" s="10" t="n">
        <v>45423.7261226852</v>
      </c>
      <c r="I118" s="7" t="n">
        <v>10000</v>
      </c>
      <c r="J118" s="0" t="n">
        <f aca="false">IF(AND(D118&gt;=DATE(YEAR(D118),3,15),D118&lt;=DATE(YEAR(D118),6,10)),1,0)</f>
        <v>1</v>
      </c>
      <c r="K118" s="0" t="e">
        <f aca="false">VLOOKUP(D118,Festival_List!$A$2:$B$100,2,0)</f>
        <v>#N/A</v>
      </c>
      <c r="L118" s="0" t="n">
        <f aca="false">ROUND(((F118+G118)-(D118+E118))*24,0)</f>
        <v>23</v>
      </c>
      <c r="M118" s="0" t="n">
        <f aca="false">IF(OR(WEEKDAY(D118)=1,WEEKDAY(D118)=7),1,0)</f>
        <v>1</v>
      </c>
      <c r="N118" s="0" t="str">
        <f aca="false">IF(AND(MONTH(D118)&gt;=3,MONTH(D118)&lt;=6),"Summer",IF(AND(MONTH(D118)&gt;=7,MONTH(D118)&lt;=9),"Monsoon","Winter"))</f>
        <v>Summer</v>
      </c>
      <c r="O118" s="0" t="str">
        <f aca="false">IF(AND(L118&gt;=22,L118&lt;=25,E118&gt;=TIME(18,0,0)),"24H Night", IF(AND(L118&gt;=22,L118&lt;=25,E118&lt;TIME(18,0,0)),"24H Day", IF(AND(L118&gt;=11,L118&lt;=13,E118&gt;=TIME(18,0,0)),"12H Night", IF(AND(L118&gt;=11,L118&lt;=13,E118&lt;TIME(18,0,0)),"12H Day", IF(AND(L118&lt;10,E118&gt;=TIME(18,0,0)),"Couple Night", "Couple Day")))))</f>
        <v>24H Night</v>
      </c>
      <c r="P118" s="0" t="n">
        <f aca="false">WEEKDAY(D118,2)</f>
        <v>6</v>
      </c>
      <c r="Q118" s="0" t="n">
        <f aca="false">MONTH(D118)</f>
        <v>5</v>
      </c>
      <c r="R118" s="0" t="str">
        <f aca="false">"Q"&amp;ROUNDUP(MONTH(D118)/3,0)</f>
        <v>Q2</v>
      </c>
    </row>
    <row r="119" customFormat="false" ht="153.7" hidden="false" customHeight="false" outlineLevel="0" collapsed="false">
      <c r="A119" s="7" t="s">
        <v>396</v>
      </c>
      <c r="B119" s="7" t="s">
        <v>397</v>
      </c>
      <c r="C119" s="13" t="s">
        <v>398</v>
      </c>
      <c r="D119" s="11" t="n">
        <v>45424</v>
      </c>
      <c r="E119" s="12" t="n">
        <v>0.833333333299375</v>
      </c>
      <c r="F119" s="11" t="n">
        <v>45425</v>
      </c>
      <c r="G119" s="12" t="n">
        <v>0.75</v>
      </c>
      <c r="H119" s="10" t="n">
        <v>45419.5715686343</v>
      </c>
      <c r="I119" s="7" t="n">
        <v>5000</v>
      </c>
      <c r="J119" s="0" t="n">
        <f aca="false">IF(AND(D119&gt;=DATE(YEAR(D119),3,15),D119&lt;=DATE(YEAR(D119),6,10)),1,0)</f>
        <v>1</v>
      </c>
      <c r="K119" s="0" t="e">
        <f aca="false">VLOOKUP(D119,Festival_List!$A$2:$B$100,2,0)</f>
        <v>#N/A</v>
      </c>
      <c r="L119" s="0" t="n">
        <f aca="false">ROUND(((F119+G119)-(D119+E119))*24,0)</f>
        <v>22</v>
      </c>
      <c r="M119" s="0" t="n">
        <f aca="false">IF(OR(WEEKDAY(D119)=1,WEEKDAY(D119)=7),1,0)</f>
        <v>1</v>
      </c>
      <c r="N119" s="0" t="str">
        <f aca="false">IF(AND(MONTH(D119)&gt;=3,MONTH(D119)&lt;=6),"Summer",IF(AND(MONTH(D119)&gt;=7,MONTH(D119)&lt;=9),"Monsoon","Winter"))</f>
        <v>Summer</v>
      </c>
      <c r="O119" s="0" t="str">
        <f aca="false">IF(AND(L119&gt;=22,L119&lt;=25,E119&gt;=TIME(18,0,0)),"24H Night", IF(AND(L119&gt;=22,L119&lt;=25,E119&lt;TIME(18,0,0)),"24H Day", IF(AND(L119&gt;=11,L119&lt;=13,E119&gt;=TIME(18,0,0)),"12H Night", IF(AND(L119&gt;=11,L119&lt;=13,E119&lt;TIME(18,0,0)),"12H Day", IF(AND(L119&lt;10,E119&gt;=TIME(18,0,0)),"Couple Night", "Couple Day")))))</f>
        <v>24H Night</v>
      </c>
      <c r="P119" s="0" t="n">
        <f aca="false">WEEKDAY(D119,2)</f>
        <v>7</v>
      </c>
      <c r="Q119" s="0" t="n">
        <f aca="false">MONTH(D119)</f>
        <v>5</v>
      </c>
      <c r="R119" s="0" t="str">
        <f aca="false">"Q"&amp;ROUNDUP(MONTH(D119)/3,0)</f>
        <v>Q2</v>
      </c>
    </row>
    <row r="120" customFormat="false" ht="90.25" hidden="false" customHeight="false" outlineLevel="0" collapsed="false">
      <c r="A120" s="7" t="s">
        <v>399</v>
      </c>
      <c r="B120" s="7" t="s">
        <v>400</v>
      </c>
      <c r="C120" s="13" t="s">
        <v>401</v>
      </c>
      <c r="D120" s="11" t="n">
        <v>45425</v>
      </c>
      <c r="E120" s="12" t="n">
        <v>0.791666666700625</v>
      </c>
      <c r="F120" s="11" t="n">
        <v>45426</v>
      </c>
      <c r="G120" s="12" t="n">
        <v>0.75</v>
      </c>
      <c r="H120" s="10" t="n">
        <v>45422.5569412037</v>
      </c>
      <c r="I120" s="7" t="n">
        <v>5000</v>
      </c>
      <c r="J120" s="0" t="n">
        <f aca="false">IF(AND(D120&gt;=DATE(YEAR(D120),3,15),D120&lt;=DATE(YEAR(D120),6,10)),1,0)</f>
        <v>1</v>
      </c>
      <c r="K120" s="0" t="e">
        <f aca="false">VLOOKUP(D120,Festival_List!$A$2:$B$100,2,0)</f>
        <v>#N/A</v>
      </c>
      <c r="L120" s="0" t="n">
        <f aca="false">ROUND(((F120+G120)-(D120+E120))*24,0)</f>
        <v>23</v>
      </c>
      <c r="M120" s="0" t="n">
        <f aca="false">IF(OR(WEEKDAY(D120)=1,WEEKDAY(D120)=7),1,0)</f>
        <v>0</v>
      </c>
      <c r="N120" s="0" t="str">
        <f aca="false">IF(AND(MONTH(D120)&gt;=3,MONTH(D120)&lt;=6),"Summer",IF(AND(MONTH(D120)&gt;=7,MONTH(D120)&lt;=9),"Monsoon","Winter"))</f>
        <v>Summer</v>
      </c>
      <c r="O120" s="0" t="str">
        <f aca="false">IF(AND(L120&gt;=22,L120&lt;=25,E120&gt;=TIME(18,0,0)),"24H Night", IF(AND(L120&gt;=22,L120&lt;=25,E120&lt;TIME(18,0,0)),"24H Day", IF(AND(L120&gt;=11,L120&lt;=13,E120&gt;=TIME(18,0,0)),"12H Night", IF(AND(L120&gt;=11,L120&lt;=13,E120&lt;TIME(18,0,0)),"12H Day", IF(AND(L120&lt;10,E120&gt;=TIME(18,0,0)),"Couple Night", "Couple Day")))))</f>
        <v>24H Night</v>
      </c>
      <c r="P120" s="0" t="n">
        <f aca="false">WEEKDAY(D120,2)</f>
        <v>1</v>
      </c>
      <c r="Q120" s="0" t="n">
        <f aca="false">MONTH(D120)</f>
        <v>5</v>
      </c>
      <c r="R120" s="0" t="str">
        <f aca="false">"Q"&amp;ROUNDUP(MONTH(D120)/3,0)</f>
        <v>Q2</v>
      </c>
    </row>
    <row r="121" customFormat="false" ht="141" hidden="false" customHeight="false" outlineLevel="0" collapsed="false">
      <c r="A121" s="7" t="s">
        <v>402</v>
      </c>
      <c r="B121" s="7" t="s">
        <v>403</v>
      </c>
      <c r="C121" s="13" t="s">
        <v>404</v>
      </c>
      <c r="D121" s="11" t="n">
        <v>45426</v>
      </c>
      <c r="E121" s="12" t="n">
        <v>0.791666666700625</v>
      </c>
      <c r="F121" s="11" t="n">
        <v>45427</v>
      </c>
      <c r="G121" s="12" t="n">
        <v>0.75</v>
      </c>
      <c r="H121" s="10" t="n">
        <v>45426.7751763889</v>
      </c>
      <c r="I121" s="7" t="n">
        <v>5000</v>
      </c>
      <c r="J121" s="0" t="n">
        <f aca="false">IF(AND(D121&gt;=DATE(YEAR(D121),3,15),D121&lt;=DATE(YEAR(D121),6,10)),1,0)</f>
        <v>1</v>
      </c>
      <c r="K121" s="0" t="e">
        <f aca="false">VLOOKUP(D121,Festival_List!$A$2:$B$100,2,0)</f>
        <v>#N/A</v>
      </c>
      <c r="L121" s="0" t="n">
        <f aca="false">ROUND(((F121+G121)-(D121+E121))*24,0)</f>
        <v>23</v>
      </c>
      <c r="M121" s="0" t="n">
        <f aca="false">IF(OR(WEEKDAY(D121)=1,WEEKDAY(D121)=7),1,0)</f>
        <v>0</v>
      </c>
      <c r="N121" s="0" t="str">
        <f aca="false">IF(AND(MONTH(D121)&gt;=3,MONTH(D121)&lt;=6),"Summer",IF(AND(MONTH(D121)&gt;=7,MONTH(D121)&lt;=9),"Monsoon","Winter"))</f>
        <v>Summer</v>
      </c>
      <c r="O121" s="0" t="str">
        <f aca="false">IF(AND(L121&gt;=22,L121&lt;=25,E121&gt;=TIME(18,0,0)),"24H Night", IF(AND(L121&gt;=22,L121&lt;=25,E121&lt;TIME(18,0,0)),"24H Day", IF(AND(L121&gt;=11,L121&lt;=13,E121&gt;=TIME(18,0,0)),"12H Night", IF(AND(L121&gt;=11,L121&lt;=13,E121&lt;TIME(18,0,0)),"12H Day", IF(AND(L121&lt;10,E121&gt;=TIME(18,0,0)),"Couple Night", "Couple Day")))))</f>
        <v>24H Night</v>
      </c>
      <c r="P121" s="0" t="n">
        <f aca="false">WEEKDAY(D121,2)</f>
        <v>2</v>
      </c>
      <c r="Q121" s="0" t="n">
        <f aca="false">MONTH(D121)</f>
        <v>5</v>
      </c>
      <c r="R121" s="0" t="str">
        <f aca="false">"Q"&amp;ROUNDUP(MONTH(D121)/3,0)</f>
        <v>Q2</v>
      </c>
    </row>
    <row r="122" customFormat="false" ht="141" hidden="false" customHeight="false" outlineLevel="0" collapsed="false">
      <c r="A122" s="7" t="s">
        <v>405</v>
      </c>
      <c r="B122" s="7" t="s">
        <v>406</v>
      </c>
      <c r="C122" s="13" t="s">
        <v>407</v>
      </c>
      <c r="D122" s="11" t="n">
        <v>45427</v>
      </c>
      <c r="E122" s="12" t="n">
        <v>0.791666666700625</v>
      </c>
      <c r="F122" s="11" t="n">
        <v>45428</v>
      </c>
      <c r="G122" s="12" t="n">
        <v>0.75</v>
      </c>
      <c r="H122" s="10" t="n">
        <v>45426.6588599537</v>
      </c>
      <c r="I122" s="7" t="n">
        <v>5500</v>
      </c>
      <c r="J122" s="0" t="n">
        <f aca="false">IF(AND(D122&gt;=DATE(YEAR(D122),3,15),D122&lt;=DATE(YEAR(D122),6,10)),1,0)</f>
        <v>1</v>
      </c>
      <c r="K122" s="0" t="e">
        <f aca="false">VLOOKUP(D122,Festival_List!$A$2:$B$100,2,0)</f>
        <v>#N/A</v>
      </c>
      <c r="L122" s="0" t="n">
        <f aca="false">ROUND(((F122+G122)-(D122+E122))*24,0)</f>
        <v>23</v>
      </c>
      <c r="M122" s="0" t="n">
        <f aca="false">IF(OR(WEEKDAY(D122)=1,WEEKDAY(D122)=7),1,0)</f>
        <v>0</v>
      </c>
      <c r="N122" s="0" t="str">
        <f aca="false">IF(AND(MONTH(D122)&gt;=3,MONTH(D122)&lt;=6),"Summer",IF(AND(MONTH(D122)&gt;=7,MONTH(D122)&lt;=9),"Monsoon","Winter"))</f>
        <v>Summer</v>
      </c>
      <c r="O122" s="0" t="str">
        <f aca="false">IF(AND(L122&gt;=22,L122&lt;=25,E122&gt;=TIME(18,0,0)),"24H Night", IF(AND(L122&gt;=22,L122&lt;=25,E122&lt;TIME(18,0,0)),"24H Day", IF(AND(L122&gt;=11,L122&lt;=13,E122&gt;=TIME(18,0,0)),"12H Night", IF(AND(L122&gt;=11,L122&lt;=13,E122&lt;TIME(18,0,0)),"12H Day", IF(AND(L122&lt;10,E122&gt;=TIME(18,0,0)),"Couple Night", "Couple Day")))))</f>
        <v>24H Night</v>
      </c>
      <c r="P122" s="0" t="n">
        <f aca="false">WEEKDAY(D122,2)</f>
        <v>3</v>
      </c>
      <c r="Q122" s="0" t="n">
        <f aca="false">MONTH(D122)</f>
        <v>5</v>
      </c>
      <c r="R122" s="0" t="str">
        <f aca="false">"Q"&amp;ROUNDUP(MONTH(D122)/3,0)</f>
        <v>Q2</v>
      </c>
    </row>
    <row r="123" customFormat="false" ht="115.65" hidden="false" customHeight="false" outlineLevel="0" collapsed="false">
      <c r="A123" s="7" t="s">
        <v>408</v>
      </c>
      <c r="B123" s="7" t="s">
        <v>409</v>
      </c>
      <c r="C123" s="13" t="s">
        <v>410</v>
      </c>
      <c r="D123" s="11" t="n">
        <v>45429</v>
      </c>
      <c r="E123" s="12" t="n">
        <v>0.333333333299375</v>
      </c>
      <c r="F123" s="11" t="n">
        <v>45429</v>
      </c>
      <c r="G123" s="12" t="n">
        <v>0.75</v>
      </c>
      <c r="H123" s="10" t="n">
        <v>45425.6811677083</v>
      </c>
      <c r="I123" s="7" t="n">
        <v>4500</v>
      </c>
      <c r="J123" s="0" t="n">
        <f aca="false">IF(AND(D123&gt;=DATE(YEAR(D123),3,15),D123&lt;=DATE(YEAR(D123),6,10)),1,0)</f>
        <v>1</v>
      </c>
      <c r="K123" s="0" t="e">
        <f aca="false">VLOOKUP(D123,Festival_List!$A$2:$B$100,2,0)</f>
        <v>#N/A</v>
      </c>
      <c r="L123" s="0" t="n">
        <f aca="false">ROUND(((F123+G123)-(D123+E123))*24,0)</f>
        <v>10</v>
      </c>
      <c r="M123" s="0" t="n">
        <f aca="false">IF(OR(WEEKDAY(D123)=1,WEEKDAY(D123)=7),1,0)</f>
        <v>0</v>
      </c>
      <c r="N123" s="0" t="str">
        <f aca="false">IF(AND(MONTH(D123)&gt;=3,MONTH(D123)&lt;=6),"Summer",IF(AND(MONTH(D123)&gt;=7,MONTH(D123)&lt;=9),"Monsoon","Winter"))</f>
        <v>Summer</v>
      </c>
      <c r="O123" s="0" t="str">
        <f aca="false">IF(AND(L123&gt;=22,L123&lt;=25,E123&gt;=TIME(18,0,0)),"24H Night", IF(AND(L123&gt;=22,L123&lt;=25,E123&lt;TIME(18,0,0)),"24H Day", IF(AND(L123&gt;=11,L123&lt;=13,E123&gt;=TIME(18,0,0)),"12H Night", IF(AND(L123&gt;=11,L123&lt;=13,E123&lt;TIME(18,0,0)),"12H Day", IF(AND(L123&lt;10,E123&gt;=TIME(18,0,0)),"Couple Night", "Couple Day")))))</f>
        <v>Couple Day</v>
      </c>
      <c r="P123" s="0" t="n">
        <f aca="false">WEEKDAY(D123,2)</f>
        <v>5</v>
      </c>
      <c r="Q123" s="0" t="n">
        <f aca="false">MONTH(D123)</f>
        <v>5</v>
      </c>
      <c r="R123" s="0" t="str">
        <f aca="false">"Q"&amp;ROUNDUP(MONTH(D123)/3,0)</f>
        <v>Q2</v>
      </c>
    </row>
    <row r="124" customFormat="false" ht="115.65" hidden="false" customHeight="false" outlineLevel="0" collapsed="false">
      <c r="A124" s="7" t="s">
        <v>411</v>
      </c>
      <c r="B124" s="7" t="s">
        <v>412</v>
      </c>
      <c r="C124" s="13" t="s">
        <v>413</v>
      </c>
      <c r="D124" s="11" t="n">
        <v>45429</v>
      </c>
      <c r="E124" s="12" t="n">
        <v>0.791666666700625</v>
      </c>
      <c r="F124" s="11" t="n">
        <v>45430</v>
      </c>
      <c r="G124" s="12" t="n">
        <v>0.75</v>
      </c>
      <c r="H124" s="10" t="n">
        <v>45829.0563488426</v>
      </c>
      <c r="I124" s="7" t="n">
        <v>5000</v>
      </c>
      <c r="J124" s="0" t="n">
        <f aca="false">IF(AND(D124&gt;=DATE(YEAR(D124),3,15),D124&lt;=DATE(YEAR(D124),6,10)),1,0)</f>
        <v>1</v>
      </c>
      <c r="K124" s="0" t="e">
        <f aca="false">VLOOKUP(D124,Festival_List!$A$2:$B$100,2,0)</f>
        <v>#N/A</v>
      </c>
      <c r="L124" s="0" t="n">
        <f aca="false">ROUND(((F124+G124)-(D124+E124))*24,0)</f>
        <v>23</v>
      </c>
      <c r="M124" s="0" t="n">
        <f aca="false">IF(OR(WEEKDAY(D124)=1,WEEKDAY(D124)=7),1,0)</f>
        <v>0</v>
      </c>
      <c r="N124" s="0" t="str">
        <f aca="false">IF(AND(MONTH(D124)&gt;=3,MONTH(D124)&lt;=6),"Summer",IF(AND(MONTH(D124)&gt;=7,MONTH(D124)&lt;=9),"Monsoon","Winter"))</f>
        <v>Summer</v>
      </c>
      <c r="O124" s="0" t="str">
        <f aca="false">IF(AND(L124&gt;=22,L124&lt;=25,E124&gt;=TIME(18,0,0)),"24H Night", IF(AND(L124&gt;=22,L124&lt;=25,E124&lt;TIME(18,0,0)),"24H Day", IF(AND(L124&gt;=11,L124&lt;=13,E124&gt;=TIME(18,0,0)),"12H Night", IF(AND(L124&gt;=11,L124&lt;=13,E124&lt;TIME(18,0,0)),"12H Day", IF(AND(L124&lt;10,E124&gt;=TIME(18,0,0)),"Couple Night", "Couple Day")))))</f>
        <v>24H Night</v>
      </c>
      <c r="P124" s="0" t="n">
        <f aca="false">WEEKDAY(D124,2)</f>
        <v>5</v>
      </c>
      <c r="Q124" s="0" t="n">
        <f aca="false">MONTH(D124)</f>
        <v>5</v>
      </c>
      <c r="R124" s="0" t="str">
        <f aca="false">"Q"&amp;ROUNDUP(MONTH(D124)/3,0)</f>
        <v>Q2</v>
      </c>
    </row>
    <row r="125" customFormat="false" ht="153.7" hidden="false" customHeight="false" outlineLevel="0" collapsed="false">
      <c r="A125" s="7" t="s">
        <v>414</v>
      </c>
      <c r="B125" s="7" t="s">
        <v>296</v>
      </c>
      <c r="C125" s="13" t="s">
        <v>415</v>
      </c>
      <c r="D125" s="11" t="n">
        <v>45430</v>
      </c>
      <c r="E125" s="12" t="n">
        <v>0.791666666700625</v>
      </c>
      <c r="F125" s="11" t="n">
        <v>45431</v>
      </c>
      <c r="G125" s="12" t="n">
        <v>0.75</v>
      </c>
      <c r="H125" s="10" t="n">
        <v>45829.0563488426</v>
      </c>
      <c r="I125" s="7" t="n">
        <v>13000</v>
      </c>
      <c r="J125" s="0" t="n">
        <f aca="false">IF(AND(D125&gt;=DATE(YEAR(D125),3,15),D125&lt;=DATE(YEAR(D125),6,10)),1,0)</f>
        <v>1</v>
      </c>
      <c r="K125" s="0" t="e">
        <f aca="false">VLOOKUP(D125,Festival_List!$A$2:$B$100,2,0)</f>
        <v>#N/A</v>
      </c>
      <c r="L125" s="0" t="n">
        <f aca="false">ROUND(((F125+G125)-(D125+E125))*24,0)</f>
        <v>23</v>
      </c>
      <c r="M125" s="0" t="n">
        <f aca="false">IF(OR(WEEKDAY(D125)=1,WEEKDAY(D125)=7),1,0)</f>
        <v>1</v>
      </c>
      <c r="N125" s="0" t="str">
        <f aca="false">IF(AND(MONTH(D125)&gt;=3,MONTH(D125)&lt;=6),"Summer",IF(AND(MONTH(D125)&gt;=7,MONTH(D125)&lt;=9),"Monsoon","Winter"))</f>
        <v>Summer</v>
      </c>
      <c r="O125" s="0" t="str">
        <f aca="false">IF(AND(L125&gt;=22,L125&lt;=25,E125&gt;=TIME(18,0,0)),"24H Night", IF(AND(L125&gt;=22,L125&lt;=25,E125&lt;TIME(18,0,0)),"24H Day", IF(AND(L125&gt;=11,L125&lt;=13,E125&gt;=TIME(18,0,0)),"12H Night", IF(AND(L125&gt;=11,L125&lt;=13,E125&lt;TIME(18,0,0)),"12H Day", IF(AND(L125&lt;10,E125&gt;=TIME(18,0,0)),"Couple Night", "Couple Day")))))</f>
        <v>24H Night</v>
      </c>
      <c r="P125" s="0" t="n">
        <f aca="false">WEEKDAY(D125,2)</f>
        <v>6</v>
      </c>
      <c r="Q125" s="0" t="n">
        <f aca="false">MONTH(D125)</f>
        <v>5</v>
      </c>
      <c r="R125" s="0" t="str">
        <f aca="false">"Q"&amp;ROUNDUP(MONTH(D125)/3,0)</f>
        <v>Q2</v>
      </c>
    </row>
    <row r="126" customFormat="false" ht="141" hidden="false" customHeight="false" outlineLevel="0" collapsed="false">
      <c r="A126" s="7" t="s">
        <v>416</v>
      </c>
      <c r="B126" s="7" t="s">
        <v>417</v>
      </c>
      <c r="C126" s="13" t="s">
        <v>418</v>
      </c>
      <c r="D126" s="11" t="n">
        <v>45431</v>
      </c>
      <c r="E126" s="12" t="n">
        <v>0.791666666700625</v>
      </c>
      <c r="F126" s="11" t="n">
        <v>45432</v>
      </c>
      <c r="G126" s="12" t="n">
        <v>0.75</v>
      </c>
      <c r="H126" s="10" t="n">
        <v>45429.7161756945</v>
      </c>
      <c r="I126" s="7" t="n">
        <v>6000</v>
      </c>
      <c r="J126" s="0" t="n">
        <f aca="false">IF(AND(D126&gt;=DATE(YEAR(D126),3,15),D126&lt;=DATE(YEAR(D126),6,10)),1,0)</f>
        <v>1</v>
      </c>
      <c r="K126" s="0" t="e">
        <f aca="false">VLOOKUP(D126,Festival_List!$A$2:$B$100,2,0)</f>
        <v>#N/A</v>
      </c>
      <c r="L126" s="0" t="n">
        <f aca="false">ROUND(((F126+G126)-(D126+E126))*24,0)</f>
        <v>23</v>
      </c>
      <c r="M126" s="0" t="n">
        <f aca="false">IF(OR(WEEKDAY(D126)=1,WEEKDAY(D126)=7),1,0)</f>
        <v>1</v>
      </c>
      <c r="N126" s="0" t="str">
        <f aca="false">IF(AND(MONTH(D126)&gt;=3,MONTH(D126)&lt;=6),"Summer",IF(AND(MONTH(D126)&gt;=7,MONTH(D126)&lt;=9),"Monsoon","Winter"))</f>
        <v>Summer</v>
      </c>
      <c r="O126" s="0" t="str">
        <f aca="false">IF(AND(L126&gt;=22,L126&lt;=25,E126&gt;=TIME(18,0,0)),"24H Night", IF(AND(L126&gt;=22,L126&lt;=25,E126&lt;TIME(18,0,0)),"24H Day", IF(AND(L126&gt;=11,L126&lt;=13,E126&gt;=TIME(18,0,0)),"12H Night", IF(AND(L126&gt;=11,L126&lt;=13,E126&lt;TIME(18,0,0)),"12H Day", IF(AND(L126&lt;10,E126&gt;=TIME(18,0,0)),"Couple Night", "Couple Day")))))</f>
        <v>24H Night</v>
      </c>
      <c r="P126" s="0" t="n">
        <f aca="false">WEEKDAY(D126,2)</f>
        <v>7</v>
      </c>
      <c r="Q126" s="0" t="n">
        <f aca="false">MONTH(D126)</f>
        <v>5</v>
      </c>
      <c r="R126" s="0" t="str">
        <f aca="false">"Q"&amp;ROUNDUP(MONTH(D126)/3,0)</f>
        <v>Q2</v>
      </c>
    </row>
    <row r="127" customFormat="false" ht="115.65" hidden="false" customHeight="false" outlineLevel="0" collapsed="false">
      <c r="A127" s="7" t="s">
        <v>419</v>
      </c>
      <c r="B127" s="7" t="s">
        <v>420</v>
      </c>
      <c r="C127" s="13" t="s">
        <v>421</v>
      </c>
      <c r="D127" s="11" t="n">
        <v>45432</v>
      </c>
      <c r="E127" s="12" t="n">
        <v>0.791666666700625</v>
      </c>
      <c r="F127" s="11" t="n">
        <v>45433</v>
      </c>
      <c r="G127" s="12" t="n">
        <v>0.291666666700625</v>
      </c>
      <c r="H127" s="10" t="n">
        <v>45829.0563488426</v>
      </c>
      <c r="I127" s="7" t="n">
        <v>4000</v>
      </c>
      <c r="J127" s="0" t="n">
        <f aca="false">IF(AND(D127&gt;=DATE(YEAR(D127),3,15),D127&lt;=DATE(YEAR(D127),6,10)),1,0)</f>
        <v>1</v>
      </c>
      <c r="K127" s="0" t="e">
        <f aca="false">VLOOKUP(D127,Festival_List!$A$2:$B$100,2,0)</f>
        <v>#N/A</v>
      </c>
      <c r="L127" s="0" t="n">
        <f aca="false">ROUND(((F127+G127)-(D127+E127))*24,0)</f>
        <v>12</v>
      </c>
      <c r="M127" s="0" t="n">
        <f aca="false">IF(OR(WEEKDAY(D127)=1,WEEKDAY(D127)=7),1,0)</f>
        <v>0</v>
      </c>
      <c r="N127" s="0" t="str">
        <f aca="false">IF(AND(MONTH(D127)&gt;=3,MONTH(D127)&lt;=6),"Summer",IF(AND(MONTH(D127)&gt;=7,MONTH(D127)&lt;=9),"Monsoon","Winter"))</f>
        <v>Summer</v>
      </c>
      <c r="O127" s="0" t="str">
        <f aca="false">IF(AND(L127&gt;=22,L127&lt;=25,E127&gt;=TIME(18,0,0)),"24H Night", IF(AND(L127&gt;=22,L127&lt;=25,E127&lt;TIME(18,0,0)),"24H Day", IF(AND(L127&gt;=11,L127&lt;=13,E127&gt;=TIME(18,0,0)),"12H Night", IF(AND(L127&gt;=11,L127&lt;=13,E127&lt;TIME(18,0,0)),"12H Day", IF(AND(L127&lt;10,E127&gt;=TIME(18,0,0)),"Couple Night", "Couple Day")))))</f>
        <v>12H Night</v>
      </c>
      <c r="P127" s="0" t="n">
        <f aca="false">WEEKDAY(D127,2)</f>
        <v>1</v>
      </c>
      <c r="Q127" s="0" t="n">
        <f aca="false">MONTH(D127)</f>
        <v>5</v>
      </c>
      <c r="R127" s="0" t="str">
        <f aca="false">"Q"&amp;ROUNDUP(MONTH(D127)/3,0)</f>
        <v>Q2</v>
      </c>
    </row>
    <row r="128" customFormat="false" ht="90.25" hidden="false" customHeight="false" outlineLevel="0" collapsed="false">
      <c r="A128" s="7" t="s">
        <v>422</v>
      </c>
      <c r="B128" s="7" t="s">
        <v>423</v>
      </c>
      <c r="C128" s="13" t="s">
        <v>424</v>
      </c>
      <c r="D128" s="11" t="n">
        <v>45433</v>
      </c>
      <c r="E128" s="12" t="n">
        <v>0.354166666700625</v>
      </c>
      <c r="F128" s="11" t="n">
        <v>45433</v>
      </c>
      <c r="G128" s="12" t="n">
        <v>0.75</v>
      </c>
      <c r="H128" s="10" t="n">
        <v>45433.0010202546</v>
      </c>
      <c r="I128" s="7" t="n">
        <v>3500</v>
      </c>
      <c r="J128" s="0" t="n">
        <f aca="false">IF(AND(D128&gt;=DATE(YEAR(D128),3,15),D128&lt;=DATE(YEAR(D128),6,10)),1,0)</f>
        <v>1</v>
      </c>
      <c r="K128" s="0" t="e">
        <f aca="false">VLOOKUP(D128,Festival_List!$A$2:$B$100,2,0)</f>
        <v>#N/A</v>
      </c>
      <c r="L128" s="0" t="n">
        <f aca="false">ROUND(((F128+G128)-(D128+E128))*24,0)</f>
        <v>9</v>
      </c>
      <c r="M128" s="0" t="n">
        <f aca="false">IF(OR(WEEKDAY(D128)=1,WEEKDAY(D128)=7),1,0)</f>
        <v>0</v>
      </c>
      <c r="N128" s="0" t="str">
        <f aca="false">IF(AND(MONTH(D128)&gt;=3,MONTH(D128)&lt;=6),"Summer",IF(AND(MONTH(D128)&gt;=7,MONTH(D128)&lt;=9),"Monsoon","Winter"))</f>
        <v>Summer</v>
      </c>
      <c r="O128" s="0" t="str">
        <f aca="false">IF(AND(L128&gt;=22,L128&lt;=25,E128&gt;=TIME(18,0,0)),"24H Night", IF(AND(L128&gt;=22,L128&lt;=25,E128&lt;TIME(18,0,0)),"24H Day", IF(AND(L128&gt;=11,L128&lt;=13,E128&gt;=TIME(18,0,0)),"12H Night", IF(AND(L128&gt;=11,L128&lt;=13,E128&lt;TIME(18,0,0)),"12H Day", IF(AND(L128&lt;10,E128&gt;=TIME(18,0,0)),"Couple Night", "Couple Day")))))</f>
        <v>Couple Day</v>
      </c>
      <c r="P128" s="0" t="n">
        <f aca="false">WEEKDAY(D128,2)</f>
        <v>2</v>
      </c>
      <c r="Q128" s="0" t="n">
        <f aca="false">MONTH(D128)</f>
        <v>5</v>
      </c>
      <c r="R128" s="0" t="str">
        <f aca="false">"Q"&amp;ROUNDUP(MONTH(D128)/3,0)</f>
        <v>Q2</v>
      </c>
    </row>
    <row r="129" customFormat="false" ht="115.65" hidden="false" customHeight="false" outlineLevel="0" collapsed="false">
      <c r="A129" s="7" t="s">
        <v>425</v>
      </c>
      <c r="B129" s="7" t="s">
        <v>426</v>
      </c>
      <c r="C129" s="13" t="s">
        <v>427</v>
      </c>
      <c r="D129" s="11" t="n">
        <v>45433</v>
      </c>
      <c r="E129" s="12" t="n">
        <v>0.791666666700625</v>
      </c>
      <c r="F129" s="11" t="n">
        <v>45434</v>
      </c>
      <c r="G129" s="12" t="n">
        <v>0.75</v>
      </c>
      <c r="H129" s="10" t="n">
        <v>45829.0563488426</v>
      </c>
      <c r="I129" s="7" t="n">
        <v>5000</v>
      </c>
      <c r="J129" s="0" t="n">
        <f aca="false">IF(AND(D129&gt;=DATE(YEAR(D129),3,15),D129&lt;=DATE(YEAR(D129),6,10)),1,0)</f>
        <v>1</v>
      </c>
      <c r="K129" s="0" t="e">
        <f aca="false">VLOOKUP(D129,Festival_List!$A$2:$B$100,2,0)</f>
        <v>#N/A</v>
      </c>
      <c r="L129" s="0" t="n">
        <f aca="false">ROUND(((F129+G129)-(D129+E129))*24,0)</f>
        <v>23</v>
      </c>
      <c r="M129" s="0" t="n">
        <f aca="false">IF(OR(WEEKDAY(D129)=1,WEEKDAY(D129)=7),1,0)</f>
        <v>0</v>
      </c>
      <c r="N129" s="0" t="str">
        <f aca="false">IF(AND(MONTH(D129)&gt;=3,MONTH(D129)&lt;=6),"Summer",IF(AND(MONTH(D129)&gt;=7,MONTH(D129)&lt;=9),"Monsoon","Winter"))</f>
        <v>Summer</v>
      </c>
      <c r="O129" s="0" t="str">
        <f aca="false">IF(AND(L129&gt;=22,L129&lt;=25,E129&gt;=TIME(18,0,0)),"24H Night", IF(AND(L129&gt;=22,L129&lt;=25,E129&lt;TIME(18,0,0)),"24H Day", IF(AND(L129&gt;=11,L129&lt;=13,E129&gt;=TIME(18,0,0)),"12H Night", IF(AND(L129&gt;=11,L129&lt;=13,E129&lt;TIME(18,0,0)),"12H Day", IF(AND(L129&lt;10,E129&gt;=TIME(18,0,0)),"Couple Night", "Couple Day")))))</f>
        <v>24H Night</v>
      </c>
      <c r="P129" s="0" t="n">
        <f aca="false">WEEKDAY(D129,2)</f>
        <v>2</v>
      </c>
      <c r="Q129" s="0" t="n">
        <f aca="false">MONTH(D129)</f>
        <v>5</v>
      </c>
      <c r="R129" s="0" t="str">
        <f aca="false">"Q"&amp;ROUNDUP(MONTH(D129)/3,0)</f>
        <v>Q2</v>
      </c>
    </row>
    <row r="130" customFormat="false" ht="90.25" hidden="false" customHeight="false" outlineLevel="0" collapsed="false">
      <c r="A130" s="7" t="s">
        <v>428</v>
      </c>
      <c r="B130" s="7" t="s">
        <v>429</v>
      </c>
      <c r="C130" s="13" t="s">
        <v>430</v>
      </c>
      <c r="D130" s="11" t="n">
        <v>45434</v>
      </c>
      <c r="E130" s="12" t="n">
        <v>0.791666666700625</v>
      </c>
      <c r="F130" s="11" t="n">
        <v>45435</v>
      </c>
      <c r="G130" s="12" t="n">
        <v>0.75</v>
      </c>
      <c r="H130" s="10" t="n">
        <v>45725.5026163194</v>
      </c>
      <c r="I130" s="7" t="n">
        <v>3000</v>
      </c>
      <c r="J130" s="0" t="n">
        <f aca="false">IF(AND(D130&gt;=DATE(YEAR(D130),3,15),D130&lt;=DATE(YEAR(D130),6,10)),1,0)</f>
        <v>1</v>
      </c>
      <c r="K130" s="0" t="e">
        <f aca="false">VLOOKUP(D130,Festival_List!$A$2:$B$100,2,0)</f>
        <v>#N/A</v>
      </c>
      <c r="L130" s="0" t="n">
        <f aca="false">ROUND(((F130+G130)-(D130+E130))*24,0)</f>
        <v>23</v>
      </c>
      <c r="M130" s="0" t="n">
        <f aca="false">IF(OR(WEEKDAY(D130)=1,WEEKDAY(D130)=7),1,0)</f>
        <v>0</v>
      </c>
      <c r="N130" s="0" t="str">
        <f aca="false">IF(AND(MONTH(D130)&gt;=3,MONTH(D130)&lt;=6),"Summer",IF(AND(MONTH(D130)&gt;=7,MONTH(D130)&lt;=9),"Monsoon","Winter"))</f>
        <v>Summer</v>
      </c>
      <c r="O130" s="0" t="str">
        <f aca="false">IF(AND(L130&gt;=22,L130&lt;=25,E130&gt;=TIME(18,0,0)),"24H Night", IF(AND(L130&gt;=22,L130&lt;=25,E130&lt;TIME(18,0,0)),"24H Day", IF(AND(L130&gt;=11,L130&lt;=13,E130&gt;=TIME(18,0,0)),"12H Night", IF(AND(L130&gt;=11,L130&lt;=13,E130&lt;TIME(18,0,0)),"12H Day", IF(AND(L130&lt;10,E130&gt;=TIME(18,0,0)),"Couple Night", "Couple Day")))))</f>
        <v>24H Night</v>
      </c>
      <c r="P130" s="0" t="n">
        <f aca="false">WEEKDAY(D130,2)</f>
        <v>3</v>
      </c>
      <c r="Q130" s="0" t="n">
        <f aca="false">MONTH(D130)</f>
        <v>5</v>
      </c>
      <c r="R130" s="0" t="str">
        <f aca="false">"Q"&amp;ROUNDUP(MONTH(D130)/3,0)</f>
        <v>Q2</v>
      </c>
    </row>
    <row r="131" customFormat="false" ht="141" hidden="false" customHeight="false" outlineLevel="0" collapsed="false">
      <c r="A131" s="7" t="s">
        <v>431</v>
      </c>
      <c r="B131" s="7" t="s">
        <v>432</v>
      </c>
      <c r="C131" s="13" t="s">
        <v>433</v>
      </c>
      <c r="D131" s="11" t="n">
        <v>45435</v>
      </c>
      <c r="E131" s="12" t="n">
        <v>0.791666666700625</v>
      </c>
      <c r="F131" s="11" t="n">
        <v>45436</v>
      </c>
      <c r="G131" s="12" t="n">
        <v>0.75</v>
      </c>
      <c r="H131" s="10" t="n">
        <v>45429.4907363426</v>
      </c>
      <c r="I131" s="7" t="n">
        <v>6000</v>
      </c>
      <c r="J131" s="0" t="n">
        <f aca="false">IF(AND(D131&gt;=DATE(YEAR(D131),3,15),D131&lt;=DATE(YEAR(D131),6,10)),1,0)</f>
        <v>1</v>
      </c>
      <c r="K131" s="0" t="str">
        <f aca="false">VLOOKUP(D131,Festival_List!$A$2:$B$100,2,0)</f>
        <v>Buddha Purnima</v>
      </c>
      <c r="L131" s="0" t="n">
        <f aca="false">ROUND(((F131+G131)-(D131+E131))*24,0)</f>
        <v>23</v>
      </c>
      <c r="M131" s="0" t="n">
        <f aca="false">IF(OR(WEEKDAY(D131)=1,WEEKDAY(D131)=7),1,0)</f>
        <v>0</v>
      </c>
      <c r="N131" s="0" t="str">
        <f aca="false">IF(AND(MONTH(D131)&gt;=3,MONTH(D131)&lt;=6),"Summer",IF(AND(MONTH(D131)&gt;=7,MONTH(D131)&lt;=9),"Monsoon","Winter"))</f>
        <v>Summer</v>
      </c>
      <c r="O131" s="0" t="str">
        <f aca="false">IF(AND(L131&gt;=22,L131&lt;=25,E131&gt;=TIME(18,0,0)),"24H Night", IF(AND(L131&gt;=22,L131&lt;=25,E131&lt;TIME(18,0,0)),"24H Day", IF(AND(L131&gt;=11,L131&lt;=13,E131&gt;=TIME(18,0,0)),"12H Night", IF(AND(L131&gt;=11,L131&lt;=13,E131&lt;TIME(18,0,0)),"12H Day", IF(AND(L131&lt;10,E131&gt;=TIME(18,0,0)),"Couple Night", "Couple Day")))))</f>
        <v>24H Night</v>
      </c>
      <c r="P131" s="0" t="n">
        <f aca="false">WEEKDAY(D131,2)</f>
        <v>4</v>
      </c>
      <c r="Q131" s="0" t="n">
        <f aca="false">MONTH(D131)</f>
        <v>5</v>
      </c>
      <c r="R131" s="0" t="str">
        <f aca="false">"Q"&amp;ROUNDUP(MONTH(D131)/3,0)</f>
        <v>Q2</v>
      </c>
    </row>
    <row r="132" customFormat="false" ht="115.65" hidden="false" customHeight="false" outlineLevel="0" collapsed="false">
      <c r="A132" s="7" t="s">
        <v>434</v>
      </c>
      <c r="B132" s="7" t="s">
        <v>435</v>
      </c>
      <c r="C132" s="13" t="s">
        <v>436</v>
      </c>
      <c r="D132" s="11" t="n">
        <v>45436</v>
      </c>
      <c r="E132" s="12" t="n">
        <v>0.791666666700625</v>
      </c>
      <c r="F132" s="11" t="n">
        <v>45437</v>
      </c>
      <c r="G132" s="12" t="n">
        <v>0.75</v>
      </c>
      <c r="H132" s="10" t="n">
        <v>45434.6533190972</v>
      </c>
      <c r="I132" s="7" t="n">
        <v>6000</v>
      </c>
      <c r="J132" s="0" t="n">
        <f aca="false">IF(AND(D132&gt;=DATE(YEAR(D132),3,15),D132&lt;=DATE(YEAR(D132),6,10)),1,0)</f>
        <v>1</v>
      </c>
      <c r="K132" s="0" t="e">
        <f aca="false">VLOOKUP(D132,Festival_List!$A$2:$B$100,2,0)</f>
        <v>#N/A</v>
      </c>
      <c r="L132" s="0" t="n">
        <f aca="false">ROUND(((F132+G132)-(D132+E132))*24,0)</f>
        <v>23</v>
      </c>
      <c r="M132" s="0" t="n">
        <f aca="false">IF(OR(WEEKDAY(D132)=1,WEEKDAY(D132)=7),1,0)</f>
        <v>0</v>
      </c>
      <c r="N132" s="0" t="str">
        <f aca="false">IF(AND(MONTH(D132)&gt;=3,MONTH(D132)&lt;=6),"Summer",IF(AND(MONTH(D132)&gt;=7,MONTH(D132)&lt;=9),"Monsoon","Winter"))</f>
        <v>Summer</v>
      </c>
      <c r="O132" s="0" t="str">
        <f aca="false">IF(AND(L132&gt;=22,L132&lt;=25,E132&gt;=TIME(18,0,0)),"24H Night", IF(AND(L132&gt;=22,L132&lt;=25,E132&lt;TIME(18,0,0)),"24H Day", IF(AND(L132&gt;=11,L132&lt;=13,E132&gt;=TIME(18,0,0)),"12H Night", IF(AND(L132&gt;=11,L132&lt;=13,E132&lt;TIME(18,0,0)),"12H Day", IF(AND(L132&lt;10,E132&gt;=TIME(18,0,0)),"Couple Night", "Couple Day")))))</f>
        <v>24H Night</v>
      </c>
      <c r="P132" s="0" t="n">
        <f aca="false">WEEKDAY(D132,2)</f>
        <v>5</v>
      </c>
      <c r="Q132" s="0" t="n">
        <f aca="false">MONTH(D132)</f>
        <v>5</v>
      </c>
      <c r="R132" s="0" t="str">
        <f aca="false">"Q"&amp;ROUNDUP(MONTH(D132)/3,0)</f>
        <v>Q2</v>
      </c>
    </row>
    <row r="133" customFormat="false" ht="115.65" hidden="false" customHeight="false" outlineLevel="0" collapsed="false">
      <c r="A133" s="7" t="s">
        <v>437</v>
      </c>
      <c r="B133" s="7" t="s">
        <v>432</v>
      </c>
      <c r="C133" s="13" t="s">
        <v>438</v>
      </c>
      <c r="D133" s="11" t="n">
        <v>45437</v>
      </c>
      <c r="E133" s="12" t="n">
        <v>0.791666666700625</v>
      </c>
      <c r="F133" s="11" t="n">
        <v>45438</v>
      </c>
      <c r="G133" s="12" t="n">
        <v>0.75</v>
      </c>
      <c r="H133" s="10" t="n">
        <v>45829.0563488426</v>
      </c>
      <c r="I133" s="7" t="n">
        <v>13000</v>
      </c>
      <c r="J133" s="0" t="n">
        <f aca="false">IF(AND(D133&gt;=DATE(YEAR(D133),3,15),D133&lt;=DATE(YEAR(D133),6,10)),1,0)</f>
        <v>1</v>
      </c>
      <c r="K133" s="0" t="e">
        <f aca="false">VLOOKUP(D133,Festival_List!$A$2:$B$100,2,0)</f>
        <v>#N/A</v>
      </c>
      <c r="L133" s="0" t="n">
        <f aca="false">ROUND(((F133+G133)-(D133+E133))*24,0)</f>
        <v>23</v>
      </c>
      <c r="M133" s="0" t="n">
        <f aca="false">IF(OR(WEEKDAY(D133)=1,WEEKDAY(D133)=7),1,0)</f>
        <v>1</v>
      </c>
      <c r="N133" s="0" t="str">
        <f aca="false">IF(AND(MONTH(D133)&gt;=3,MONTH(D133)&lt;=6),"Summer",IF(AND(MONTH(D133)&gt;=7,MONTH(D133)&lt;=9),"Monsoon","Winter"))</f>
        <v>Summer</v>
      </c>
      <c r="O133" s="0" t="str">
        <f aca="false">IF(AND(L133&gt;=22,L133&lt;=25,E133&gt;=TIME(18,0,0)),"24H Night", IF(AND(L133&gt;=22,L133&lt;=25,E133&lt;TIME(18,0,0)),"24H Day", IF(AND(L133&gt;=11,L133&lt;=13,E133&gt;=TIME(18,0,0)),"12H Night", IF(AND(L133&gt;=11,L133&lt;=13,E133&lt;TIME(18,0,0)),"12H Day", IF(AND(L133&lt;10,E133&gt;=TIME(18,0,0)),"Couple Night", "Couple Day")))))</f>
        <v>24H Night</v>
      </c>
      <c r="P133" s="0" t="n">
        <f aca="false">WEEKDAY(D133,2)</f>
        <v>6</v>
      </c>
      <c r="Q133" s="0" t="n">
        <f aca="false">MONTH(D133)</f>
        <v>5</v>
      </c>
      <c r="R133" s="0" t="str">
        <f aca="false">"Q"&amp;ROUNDUP(MONTH(D133)/3,0)</f>
        <v>Q2</v>
      </c>
    </row>
    <row r="134" customFormat="false" ht="115.65" hidden="false" customHeight="false" outlineLevel="0" collapsed="false">
      <c r="A134" s="7" t="s">
        <v>439</v>
      </c>
      <c r="B134" s="7" t="s">
        <v>440</v>
      </c>
      <c r="C134" s="13" t="s">
        <v>441</v>
      </c>
      <c r="D134" s="11" t="n">
        <v>45438</v>
      </c>
      <c r="E134" s="12" t="n">
        <v>0.833333333299375</v>
      </c>
      <c r="F134" s="11" t="n">
        <v>45439</v>
      </c>
      <c r="G134" s="12" t="n">
        <v>0.3125</v>
      </c>
      <c r="H134" s="10" t="n">
        <v>45829.0563488426</v>
      </c>
      <c r="I134" s="7" t="n">
        <v>4000</v>
      </c>
      <c r="J134" s="0" t="n">
        <f aca="false">IF(AND(D134&gt;=DATE(YEAR(D134),3,15),D134&lt;=DATE(YEAR(D134),6,10)),1,0)</f>
        <v>1</v>
      </c>
      <c r="K134" s="0" t="e">
        <f aca="false">VLOOKUP(D134,Festival_List!$A$2:$B$100,2,0)</f>
        <v>#N/A</v>
      </c>
      <c r="L134" s="0" t="n">
        <f aca="false">ROUND(((F134+G134)-(D134+E134))*24,0)</f>
        <v>12</v>
      </c>
      <c r="M134" s="0" t="n">
        <f aca="false">IF(OR(WEEKDAY(D134)=1,WEEKDAY(D134)=7),1,0)</f>
        <v>1</v>
      </c>
      <c r="N134" s="0" t="str">
        <f aca="false">IF(AND(MONTH(D134)&gt;=3,MONTH(D134)&lt;=6),"Summer",IF(AND(MONTH(D134)&gt;=7,MONTH(D134)&lt;=9),"Monsoon","Winter"))</f>
        <v>Summer</v>
      </c>
      <c r="O134" s="0" t="str">
        <f aca="false">IF(AND(L134&gt;=22,L134&lt;=25,E134&gt;=TIME(18,0,0)),"24H Night", IF(AND(L134&gt;=22,L134&lt;=25,E134&lt;TIME(18,0,0)),"24H Day", IF(AND(L134&gt;=11,L134&lt;=13,E134&gt;=TIME(18,0,0)),"12H Night", IF(AND(L134&gt;=11,L134&lt;=13,E134&lt;TIME(18,0,0)),"12H Day", IF(AND(L134&lt;10,E134&gt;=TIME(18,0,0)),"Couple Night", "Couple Day")))))</f>
        <v>12H Night</v>
      </c>
      <c r="P134" s="0" t="n">
        <f aca="false">WEEKDAY(D134,2)</f>
        <v>7</v>
      </c>
      <c r="Q134" s="0" t="n">
        <f aca="false">MONTH(D134)</f>
        <v>5</v>
      </c>
      <c r="R134" s="0" t="str">
        <f aca="false">"Q"&amp;ROUNDUP(MONTH(D134)/3,0)</f>
        <v>Q2</v>
      </c>
    </row>
    <row r="135" customFormat="false" ht="13.8" hidden="false" customHeight="false" outlineLevel="0" collapsed="false">
      <c r="A135" s="7" t="s">
        <v>442</v>
      </c>
      <c r="B135" s="7" t="s">
        <v>443</v>
      </c>
      <c r="C135" s="7" t="s">
        <v>444</v>
      </c>
      <c r="D135" s="11" t="n">
        <v>45439</v>
      </c>
      <c r="E135" s="12" t="n">
        <v>0.375</v>
      </c>
      <c r="F135" s="11" t="n">
        <v>45439</v>
      </c>
      <c r="G135" s="12" t="n">
        <v>0.75</v>
      </c>
      <c r="H135" s="10" t="n">
        <v>45725.4768321759</v>
      </c>
      <c r="I135" s="7" t="n">
        <v>3000</v>
      </c>
      <c r="J135" s="0" t="n">
        <f aca="false">IF(AND(D135&gt;=DATE(YEAR(D135),3,15),D135&lt;=DATE(YEAR(D135),6,10)),1,0)</f>
        <v>1</v>
      </c>
      <c r="K135" s="0" t="e">
        <f aca="false">VLOOKUP(D135,Festival_List!$A$2:$B$100,2,0)</f>
        <v>#N/A</v>
      </c>
      <c r="L135" s="0" t="n">
        <f aca="false">ROUND(((F135+G135)-(D135+E135))*24,0)</f>
        <v>9</v>
      </c>
      <c r="M135" s="0" t="n">
        <f aca="false">IF(OR(WEEKDAY(D135)=1,WEEKDAY(D135)=7),1,0)</f>
        <v>0</v>
      </c>
      <c r="N135" s="0" t="str">
        <f aca="false">IF(AND(MONTH(D135)&gt;=3,MONTH(D135)&lt;=6),"Summer",IF(AND(MONTH(D135)&gt;=7,MONTH(D135)&lt;=9),"Monsoon","Winter"))</f>
        <v>Summer</v>
      </c>
      <c r="O135" s="0" t="str">
        <f aca="false">IF(AND(L135&gt;=22,L135&lt;=25,E135&gt;=TIME(18,0,0)),"24H Night", IF(AND(L135&gt;=22,L135&lt;=25,E135&lt;TIME(18,0,0)),"24H Day", IF(AND(L135&gt;=11,L135&lt;=13,E135&gt;=TIME(18,0,0)),"12H Night", IF(AND(L135&gt;=11,L135&lt;=13,E135&lt;TIME(18,0,0)),"12H Day", IF(AND(L135&lt;10,E135&gt;=TIME(18,0,0)),"Couple Night", "Couple Day")))))</f>
        <v>Couple Day</v>
      </c>
      <c r="P135" s="0" t="n">
        <f aca="false">WEEKDAY(D135,2)</f>
        <v>1</v>
      </c>
      <c r="Q135" s="0" t="n">
        <f aca="false">MONTH(D135)</f>
        <v>5</v>
      </c>
      <c r="R135" s="0" t="str">
        <f aca="false">"Q"&amp;ROUNDUP(MONTH(D135)/3,0)</f>
        <v>Q2</v>
      </c>
    </row>
    <row r="136" customFormat="false" ht="115.65" hidden="false" customHeight="false" outlineLevel="0" collapsed="false">
      <c r="A136" s="7" t="s">
        <v>445</v>
      </c>
      <c r="B136" s="7" t="s">
        <v>446</v>
      </c>
      <c r="C136" s="13" t="s">
        <v>447</v>
      </c>
      <c r="D136" s="11" t="n">
        <v>45439</v>
      </c>
      <c r="E136" s="12" t="n">
        <v>0.791666666700625</v>
      </c>
      <c r="F136" s="11" t="n">
        <v>45440</v>
      </c>
      <c r="G136" s="12" t="n">
        <v>0.75</v>
      </c>
      <c r="H136" s="10" t="n">
        <v>45829.0563488426</v>
      </c>
      <c r="I136" s="7" t="n">
        <v>5500</v>
      </c>
      <c r="J136" s="0" t="n">
        <f aca="false">IF(AND(D136&gt;=DATE(YEAR(D136),3,15),D136&lt;=DATE(YEAR(D136),6,10)),1,0)</f>
        <v>1</v>
      </c>
      <c r="K136" s="0" t="e">
        <f aca="false">VLOOKUP(D136,Festival_List!$A$2:$B$100,2,0)</f>
        <v>#N/A</v>
      </c>
      <c r="L136" s="0" t="n">
        <f aca="false">ROUND(((F136+G136)-(D136+E136))*24,0)</f>
        <v>23</v>
      </c>
      <c r="M136" s="0" t="n">
        <f aca="false">IF(OR(WEEKDAY(D136)=1,WEEKDAY(D136)=7),1,0)</f>
        <v>0</v>
      </c>
      <c r="N136" s="0" t="str">
        <f aca="false">IF(AND(MONTH(D136)&gt;=3,MONTH(D136)&lt;=6),"Summer",IF(AND(MONTH(D136)&gt;=7,MONTH(D136)&lt;=9),"Monsoon","Winter"))</f>
        <v>Summer</v>
      </c>
      <c r="O136" s="0" t="str">
        <f aca="false">IF(AND(L136&gt;=22,L136&lt;=25,E136&gt;=TIME(18,0,0)),"24H Night", IF(AND(L136&gt;=22,L136&lt;=25,E136&lt;TIME(18,0,0)),"24H Day", IF(AND(L136&gt;=11,L136&lt;=13,E136&gt;=TIME(18,0,0)),"12H Night", IF(AND(L136&gt;=11,L136&lt;=13,E136&lt;TIME(18,0,0)),"12H Day", IF(AND(L136&lt;10,E136&gt;=TIME(18,0,0)),"Couple Night", "Couple Day")))))</f>
        <v>24H Night</v>
      </c>
      <c r="P136" s="0" t="n">
        <f aca="false">WEEKDAY(D136,2)</f>
        <v>1</v>
      </c>
      <c r="Q136" s="0" t="n">
        <f aca="false">MONTH(D136)</f>
        <v>5</v>
      </c>
      <c r="R136" s="0" t="str">
        <f aca="false">"Q"&amp;ROUNDUP(MONTH(D136)/3,0)</f>
        <v>Q2</v>
      </c>
    </row>
    <row r="137" customFormat="false" ht="115.65" hidden="false" customHeight="false" outlineLevel="0" collapsed="false">
      <c r="A137" s="7" t="s">
        <v>448</v>
      </c>
      <c r="B137" s="7" t="s">
        <v>449</v>
      </c>
      <c r="C137" s="13" t="s">
        <v>450</v>
      </c>
      <c r="D137" s="11" t="n">
        <v>45440</v>
      </c>
      <c r="E137" s="12" t="n">
        <v>0.791666666700625</v>
      </c>
      <c r="F137" s="11" t="n">
        <v>45441</v>
      </c>
      <c r="G137" s="12" t="n">
        <v>0.75</v>
      </c>
      <c r="H137" s="10" t="n">
        <v>45829.0563488426</v>
      </c>
      <c r="I137" s="7" t="n">
        <v>5000</v>
      </c>
      <c r="J137" s="0" t="n">
        <f aca="false">IF(AND(D137&gt;=DATE(YEAR(D137),3,15),D137&lt;=DATE(YEAR(D137),6,10)),1,0)</f>
        <v>1</v>
      </c>
      <c r="K137" s="0" t="e">
        <f aca="false">VLOOKUP(D137,Festival_List!$A$2:$B$100,2,0)</f>
        <v>#N/A</v>
      </c>
      <c r="L137" s="0" t="n">
        <f aca="false">ROUND(((F137+G137)-(D137+E137))*24,0)</f>
        <v>23</v>
      </c>
      <c r="M137" s="0" t="n">
        <f aca="false">IF(OR(WEEKDAY(D137)=1,WEEKDAY(D137)=7),1,0)</f>
        <v>0</v>
      </c>
      <c r="N137" s="0" t="str">
        <f aca="false">IF(AND(MONTH(D137)&gt;=3,MONTH(D137)&lt;=6),"Summer",IF(AND(MONTH(D137)&gt;=7,MONTH(D137)&lt;=9),"Monsoon","Winter"))</f>
        <v>Summer</v>
      </c>
      <c r="O137" s="0" t="str">
        <f aca="false">IF(AND(L137&gt;=22,L137&lt;=25,E137&gt;=TIME(18,0,0)),"24H Night", IF(AND(L137&gt;=22,L137&lt;=25,E137&lt;TIME(18,0,0)),"24H Day", IF(AND(L137&gt;=11,L137&lt;=13,E137&gt;=TIME(18,0,0)),"12H Night", IF(AND(L137&gt;=11,L137&lt;=13,E137&lt;TIME(18,0,0)),"12H Day", IF(AND(L137&lt;10,E137&gt;=TIME(18,0,0)),"Couple Night", "Couple Day")))))</f>
        <v>24H Night</v>
      </c>
      <c r="P137" s="0" t="n">
        <f aca="false">WEEKDAY(D137,2)</f>
        <v>2</v>
      </c>
      <c r="Q137" s="0" t="n">
        <f aca="false">MONTH(D137)</f>
        <v>5</v>
      </c>
      <c r="R137" s="0" t="str">
        <f aca="false">"Q"&amp;ROUNDUP(MONTH(D137)/3,0)</f>
        <v>Q2</v>
      </c>
    </row>
    <row r="138" customFormat="false" ht="115.65" hidden="false" customHeight="false" outlineLevel="0" collapsed="false">
      <c r="A138" s="7" t="s">
        <v>451</v>
      </c>
      <c r="B138" s="7" t="s">
        <v>452</v>
      </c>
      <c r="C138" s="13" t="s">
        <v>453</v>
      </c>
      <c r="D138" s="11" t="n">
        <v>45441</v>
      </c>
      <c r="E138" s="12" t="n">
        <v>0.791666666700625</v>
      </c>
      <c r="F138" s="11" t="n">
        <v>45442</v>
      </c>
      <c r="G138" s="12" t="n">
        <v>0.75</v>
      </c>
      <c r="H138" s="10" t="n">
        <v>45435.5506255787</v>
      </c>
      <c r="I138" s="7" t="n">
        <v>6000</v>
      </c>
      <c r="J138" s="0" t="n">
        <f aca="false">IF(AND(D138&gt;=DATE(YEAR(D138),3,15),D138&lt;=DATE(YEAR(D138),6,10)),1,0)</f>
        <v>1</v>
      </c>
      <c r="K138" s="0" t="e">
        <f aca="false">VLOOKUP(D138,Festival_List!$A$2:$B$100,2,0)</f>
        <v>#N/A</v>
      </c>
      <c r="L138" s="0" t="n">
        <f aca="false">ROUND(((F138+G138)-(D138+E138))*24,0)</f>
        <v>23</v>
      </c>
      <c r="M138" s="0" t="n">
        <f aca="false">IF(OR(WEEKDAY(D138)=1,WEEKDAY(D138)=7),1,0)</f>
        <v>0</v>
      </c>
      <c r="N138" s="0" t="str">
        <f aca="false">IF(AND(MONTH(D138)&gt;=3,MONTH(D138)&lt;=6),"Summer",IF(AND(MONTH(D138)&gt;=7,MONTH(D138)&lt;=9),"Monsoon","Winter"))</f>
        <v>Summer</v>
      </c>
      <c r="O138" s="0" t="str">
        <f aca="false">IF(AND(L138&gt;=22,L138&lt;=25,E138&gt;=TIME(18,0,0)),"24H Night", IF(AND(L138&gt;=22,L138&lt;=25,E138&lt;TIME(18,0,0)),"24H Day", IF(AND(L138&gt;=11,L138&lt;=13,E138&gt;=TIME(18,0,0)),"12H Night", IF(AND(L138&gt;=11,L138&lt;=13,E138&lt;TIME(18,0,0)),"12H Day", IF(AND(L138&lt;10,E138&gt;=TIME(18,0,0)),"Couple Night", "Couple Day")))))</f>
        <v>24H Night</v>
      </c>
      <c r="P138" s="0" t="n">
        <f aca="false">WEEKDAY(D138,2)</f>
        <v>3</v>
      </c>
      <c r="Q138" s="0" t="n">
        <f aca="false">MONTH(D138)</f>
        <v>5</v>
      </c>
      <c r="R138" s="0" t="str">
        <f aca="false">"Q"&amp;ROUNDUP(MONTH(D138)/3,0)</f>
        <v>Q2</v>
      </c>
    </row>
    <row r="139" customFormat="false" ht="115.65" hidden="false" customHeight="false" outlineLevel="0" collapsed="false">
      <c r="A139" s="7" t="s">
        <v>454</v>
      </c>
      <c r="B139" s="7" t="s">
        <v>455</v>
      </c>
      <c r="C139" s="13" t="s">
        <v>456</v>
      </c>
      <c r="D139" s="11" t="n">
        <v>45442</v>
      </c>
      <c r="E139" s="12" t="n">
        <v>0.791666666700625</v>
      </c>
      <c r="F139" s="11" t="n">
        <v>45443</v>
      </c>
      <c r="G139" s="12" t="n">
        <v>0.75</v>
      </c>
      <c r="H139" s="10" t="n">
        <v>45439.791458912</v>
      </c>
      <c r="I139" s="7" t="n">
        <v>6000</v>
      </c>
      <c r="J139" s="0" t="n">
        <f aca="false">IF(AND(D139&gt;=DATE(YEAR(D139),3,15),D139&lt;=DATE(YEAR(D139),6,10)),1,0)</f>
        <v>1</v>
      </c>
      <c r="K139" s="0" t="e">
        <f aca="false">VLOOKUP(D139,Festival_List!$A$2:$B$100,2,0)</f>
        <v>#N/A</v>
      </c>
      <c r="L139" s="0" t="n">
        <f aca="false">ROUND(((F139+G139)-(D139+E139))*24,0)</f>
        <v>23</v>
      </c>
      <c r="M139" s="0" t="n">
        <f aca="false">IF(OR(WEEKDAY(D139)=1,WEEKDAY(D139)=7),1,0)</f>
        <v>0</v>
      </c>
      <c r="N139" s="0" t="str">
        <f aca="false">IF(AND(MONTH(D139)&gt;=3,MONTH(D139)&lt;=6),"Summer",IF(AND(MONTH(D139)&gt;=7,MONTH(D139)&lt;=9),"Monsoon","Winter"))</f>
        <v>Summer</v>
      </c>
      <c r="O139" s="0" t="str">
        <f aca="false">IF(AND(L139&gt;=22,L139&lt;=25,E139&gt;=TIME(18,0,0)),"24H Night", IF(AND(L139&gt;=22,L139&lt;=25,E139&lt;TIME(18,0,0)),"24H Day", IF(AND(L139&gt;=11,L139&lt;=13,E139&gt;=TIME(18,0,0)),"12H Night", IF(AND(L139&gt;=11,L139&lt;=13,E139&lt;TIME(18,0,0)),"12H Day", IF(AND(L139&lt;10,E139&gt;=TIME(18,0,0)),"Couple Night", "Couple Day")))))</f>
        <v>24H Night</v>
      </c>
      <c r="P139" s="0" t="n">
        <f aca="false">WEEKDAY(D139,2)</f>
        <v>4</v>
      </c>
      <c r="Q139" s="0" t="n">
        <f aca="false">MONTH(D139)</f>
        <v>5</v>
      </c>
      <c r="R139" s="0" t="str">
        <f aca="false">"Q"&amp;ROUNDUP(MONTH(D139)/3,0)</f>
        <v>Q2</v>
      </c>
    </row>
    <row r="140" customFormat="false" ht="115.65" hidden="false" customHeight="false" outlineLevel="0" collapsed="false">
      <c r="A140" s="7" t="s">
        <v>457</v>
      </c>
      <c r="B140" s="7" t="s">
        <v>458</v>
      </c>
      <c r="C140" s="13" t="s">
        <v>459</v>
      </c>
      <c r="D140" s="11" t="n">
        <v>45443</v>
      </c>
      <c r="E140" s="12" t="n">
        <v>0.791666666700625</v>
      </c>
      <c r="F140" s="11" t="n">
        <v>45444</v>
      </c>
      <c r="G140" s="12" t="n">
        <v>0.75</v>
      </c>
      <c r="H140" s="10" t="n">
        <v>45823.0866508102</v>
      </c>
      <c r="I140" s="7" t="n">
        <v>6000</v>
      </c>
      <c r="J140" s="0" t="n">
        <f aca="false">IF(AND(D140&gt;=DATE(YEAR(D140),3,15),D140&lt;=DATE(YEAR(D140),6,10)),1,0)</f>
        <v>1</v>
      </c>
      <c r="K140" s="0" t="e">
        <f aca="false">VLOOKUP(D140,Festival_List!$A$2:$B$100,2,0)</f>
        <v>#N/A</v>
      </c>
      <c r="L140" s="0" t="n">
        <f aca="false">ROUND(((F140+G140)-(D140+E140))*24,0)</f>
        <v>23</v>
      </c>
      <c r="M140" s="0" t="n">
        <f aca="false">IF(OR(WEEKDAY(D140)=1,WEEKDAY(D140)=7),1,0)</f>
        <v>0</v>
      </c>
      <c r="N140" s="0" t="str">
        <f aca="false">IF(AND(MONTH(D140)&gt;=3,MONTH(D140)&lt;=6),"Summer",IF(AND(MONTH(D140)&gt;=7,MONTH(D140)&lt;=9),"Monsoon","Winter"))</f>
        <v>Summer</v>
      </c>
      <c r="O140" s="0" t="str">
        <f aca="false">IF(AND(L140&gt;=22,L140&lt;=25,E140&gt;=TIME(18,0,0)),"24H Night", IF(AND(L140&gt;=22,L140&lt;=25,E140&lt;TIME(18,0,0)),"24H Day", IF(AND(L140&gt;=11,L140&lt;=13,E140&gt;=TIME(18,0,0)),"12H Night", IF(AND(L140&gt;=11,L140&lt;=13,E140&lt;TIME(18,0,0)),"12H Day", IF(AND(L140&lt;10,E140&gt;=TIME(18,0,0)),"Couple Night", "Couple Day")))))</f>
        <v>24H Night</v>
      </c>
      <c r="P140" s="0" t="n">
        <f aca="false">WEEKDAY(D140,2)</f>
        <v>5</v>
      </c>
      <c r="Q140" s="0" t="n">
        <f aca="false">MONTH(D140)</f>
        <v>5</v>
      </c>
      <c r="R140" s="0" t="str">
        <f aca="false">"Q"&amp;ROUNDUP(MONTH(D140)/3,0)</f>
        <v>Q2</v>
      </c>
    </row>
    <row r="141" customFormat="false" ht="90.25" hidden="false" customHeight="false" outlineLevel="0" collapsed="false">
      <c r="A141" s="7" t="s">
        <v>460</v>
      </c>
      <c r="B141" s="7" t="s">
        <v>394</v>
      </c>
      <c r="C141" s="13" t="s">
        <v>461</v>
      </c>
      <c r="D141" s="11" t="n">
        <v>45444</v>
      </c>
      <c r="E141" s="12" t="n">
        <v>0.791666666700625</v>
      </c>
      <c r="F141" s="11" t="n">
        <v>45445</v>
      </c>
      <c r="G141" s="12" t="n">
        <v>0.75</v>
      </c>
      <c r="H141" s="10" t="n">
        <v>45443.5394585648</v>
      </c>
      <c r="I141" s="7" t="n">
        <v>12000</v>
      </c>
      <c r="J141" s="0" t="n">
        <f aca="false">IF(AND(D141&gt;=DATE(YEAR(D141),3,15),D141&lt;=DATE(YEAR(D141),6,10)),1,0)</f>
        <v>1</v>
      </c>
      <c r="K141" s="0" t="e">
        <f aca="false">VLOOKUP(D141,Festival_List!$A$2:$B$100,2,0)</f>
        <v>#N/A</v>
      </c>
      <c r="L141" s="0" t="n">
        <f aca="false">ROUND(((F141+G141)-(D141+E141))*24,0)</f>
        <v>23</v>
      </c>
      <c r="M141" s="0" t="n">
        <f aca="false">IF(OR(WEEKDAY(D141)=1,WEEKDAY(D141)=7),1,0)</f>
        <v>1</v>
      </c>
      <c r="N141" s="0" t="str">
        <f aca="false">IF(AND(MONTH(D141)&gt;=3,MONTH(D141)&lt;=6),"Summer",IF(AND(MONTH(D141)&gt;=7,MONTH(D141)&lt;=9),"Monsoon","Winter"))</f>
        <v>Summer</v>
      </c>
      <c r="O141" s="0" t="str">
        <f aca="false">IF(AND(L141&gt;=22,L141&lt;=25,E141&gt;=TIME(18,0,0)),"24H Night", IF(AND(L141&gt;=22,L141&lt;=25,E141&lt;TIME(18,0,0)),"24H Day", IF(AND(L141&gt;=11,L141&lt;=13,E141&gt;=TIME(18,0,0)),"12H Night", IF(AND(L141&gt;=11,L141&lt;=13,E141&lt;TIME(18,0,0)),"12H Day", IF(AND(L141&lt;10,E141&gt;=TIME(18,0,0)),"Couple Night", "Couple Day")))))</f>
        <v>24H Night</v>
      </c>
      <c r="P141" s="0" t="n">
        <f aca="false">WEEKDAY(D141,2)</f>
        <v>6</v>
      </c>
      <c r="Q141" s="0" t="n">
        <f aca="false">MONTH(D141)</f>
        <v>6</v>
      </c>
      <c r="R141" s="0" t="str">
        <f aca="false">"Q"&amp;ROUNDUP(MONTH(D141)/3,0)</f>
        <v>Q2</v>
      </c>
    </row>
    <row r="142" customFormat="false" ht="153.7" hidden="false" customHeight="false" outlineLevel="0" collapsed="false">
      <c r="A142" s="7" t="s">
        <v>462</v>
      </c>
      <c r="B142" s="7" t="s">
        <v>463</v>
      </c>
      <c r="C142" s="13" t="s">
        <v>464</v>
      </c>
      <c r="D142" s="11" t="n">
        <v>45445</v>
      </c>
      <c r="E142" s="12" t="n">
        <v>0.791666666700625</v>
      </c>
      <c r="F142" s="11" t="n">
        <v>45446</v>
      </c>
      <c r="G142" s="12" t="n">
        <v>0.75</v>
      </c>
      <c r="H142" s="10" t="n">
        <v>45823.0866508102</v>
      </c>
      <c r="I142" s="7" t="n">
        <v>5500</v>
      </c>
      <c r="J142" s="0" t="n">
        <f aca="false">IF(AND(D142&gt;=DATE(YEAR(D142),3,15),D142&lt;=DATE(YEAR(D142),6,10)),1,0)</f>
        <v>1</v>
      </c>
      <c r="K142" s="0" t="e">
        <f aca="false">VLOOKUP(D142,Festival_List!$A$2:$B$100,2,0)</f>
        <v>#N/A</v>
      </c>
      <c r="L142" s="0" t="n">
        <f aca="false">ROUND(((F142+G142)-(D142+E142))*24,0)</f>
        <v>23</v>
      </c>
      <c r="M142" s="0" t="n">
        <f aca="false">IF(OR(WEEKDAY(D142)=1,WEEKDAY(D142)=7),1,0)</f>
        <v>1</v>
      </c>
      <c r="N142" s="0" t="str">
        <f aca="false">IF(AND(MONTH(D142)&gt;=3,MONTH(D142)&lt;=6),"Summer",IF(AND(MONTH(D142)&gt;=7,MONTH(D142)&lt;=9),"Monsoon","Winter"))</f>
        <v>Summer</v>
      </c>
      <c r="O142" s="0" t="str">
        <f aca="false">IF(AND(L142&gt;=22,L142&lt;=25,E142&gt;=TIME(18,0,0)),"24H Night", IF(AND(L142&gt;=22,L142&lt;=25,E142&lt;TIME(18,0,0)),"24H Day", IF(AND(L142&gt;=11,L142&lt;=13,E142&gt;=TIME(18,0,0)),"12H Night", IF(AND(L142&gt;=11,L142&lt;=13,E142&lt;TIME(18,0,0)),"12H Day", IF(AND(L142&lt;10,E142&gt;=TIME(18,0,0)),"Couple Night", "Couple Day")))))</f>
        <v>24H Night</v>
      </c>
      <c r="P142" s="0" t="n">
        <f aca="false">WEEKDAY(D142,2)</f>
        <v>7</v>
      </c>
      <c r="Q142" s="0" t="n">
        <f aca="false">MONTH(D142)</f>
        <v>6</v>
      </c>
      <c r="R142" s="0" t="str">
        <f aca="false">"Q"&amp;ROUNDUP(MONTH(D142)/3,0)</f>
        <v>Q2</v>
      </c>
    </row>
    <row r="143" customFormat="false" ht="115.65" hidden="false" customHeight="false" outlineLevel="0" collapsed="false">
      <c r="A143" s="7" t="s">
        <v>465</v>
      </c>
      <c r="B143" s="7" t="s">
        <v>466</v>
      </c>
      <c r="C143" s="13" t="s">
        <v>467</v>
      </c>
      <c r="D143" s="11" t="n">
        <v>45446</v>
      </c>
      <c r="E143" s="12" t="n">
        <v>0.791666666700625</v>
      </c>
      <c r="F143" s="11" t="n">
        <v>45447</v>
      </c>
      <c r="G143" s="12" t="n">
        <v>0.75</v>
      </c>
      <c r="H143" s="10" t="n">
        <v>45823.0866508102</v>
      </c>
      <c r="I143" s="7" t="n">
        <v>6000</v>
      </c>
      <c r="J143" s="0" t="n">
        <f aca="false">IF(AND(D143&gt;=DATE(YEAR(D143),3,15),D143&lt;=DATE(YEAR(D143),6,10)),1,0)</f>
        <v>1</v>
      </c>
      <c r="K143" s="0" t="e">
        <f aca="false">VLOOKUP(D143,Festival_List!$A$2:$B$100,2,0)</f>
        <v>#N/A</v>
      </c>
      <c r="L143" s="0" t="n">
        <f aca="false">ROUND(((F143+G143)-(D143+E143))*24,0)</f>
        <v>23</v>
      </c>
      <c r="M143" s="0" t="n">
        <f aca="false">IF(OR(WEEKDAY(D143)=1,WEEKDAY(D143)=7),1,0)</f>
        <v>0</v>
      </c>
      <c r="N143" s="0" t="str">
        <f aca="false">IF(AND(MONTH(D143)&gt;=3,MONTH(D143)&lt;=6),"Summer",IF(AND(MONTH(D143)&gt;=7,MONTH(D143)&lt;=9),"Monsoon","Winter"))</f>
        <v>Summer</v>
      </c>
      <c r="O143" s="0" t="str">
        <f aca="false">IF(AND(L143&gt;=22,L143&lt;=25,E143&gt;=TIME(18,0,0)),"24H Night", IF(AND(L143&gt;=22,L143&lt;=25,E143&lt;TIME(18,0,0)),"24H Day", IF(AND(L143&gt;=11,L143&lt;=13,E143&gt;=TIME(18,0,0)),"12H Night", IF(AND(L143&gt;=11,L143&lt;=13,E143&lt;TIME(18,0,0)),"12H Day", IF(AND(L143&lt;10,E143&gt;=TIME(18,0,0)),"Couple Night", "Couple Day")))))</f>
        <v>24H Night</v>
      </c>
      <c r="P143" s="0" t="n">
        <f aca="false">WEEKDAY(D143,2)</f>
        <v>1</v>
      </c>
      <c r="Q143" s="0" t="n">
        <f aca="false">MONTH(D143)</f>
        <v>6</v>
      </c>
      <c r="R143" s="0" t="str">
        <f aca="false">"Q"&amp;ROUNDUP(MONTH(D143)/3,0)</f>
        <v>Q2</v>
      </c>
    </row>
    <row r="144" customFormat="false" ht="153.7" hidden="false" customHeight="false" outlineLevel="0" collapsed="false">
      <c r="A144" s="7" t="s">
        <v>468</v>
      </c>
      <c r="B144" s="7" t="s">
        <v>469</v>
      </c>
      <c r="C144" s="13" t="s">
        <v>470</v>
      </c>
      <c r="D144" s="11" t="n">
        <v>45447</v>
      </c>
      <c r="E144" s="12" t="n">
        <v>0.791666666700625</v>
      </c>
      <c r="F144" s="11" t="n">
        <v>45448</v>
      </c>
      <c r="G144" s="12" t="n">
        <v>0.75</v>
      </c>
      <c r="H144" s="10" t="n">
        <v>45823.0866508102</v>
      </c>
      <c r="I144" s="7" t="n">
        <v>6000</v>
      </c>
      <c r="J144" s="0" t="n">
        <f aca="false">IF(AND(D144&gt;=DATE(YEAR(D144),3,15),D144&lt;=DATE(YEAR(D144),6,10)),1,0)</f>
        <v>1</v>
      </c>
      <c r="K144" s="0" t="e">
        <f aca="false">VLOOKUP(D144,Festival_List!$A$2:$B$100,2,0)</f>
        <v>#N/A</v>
      </c>
      <c r="L144" s="0" t="n">
        <f aca="false">ROUND(((F144+G144)-(D144+E144))*24,0)</f>
        <v>23</v>
      </c>
      <c r="M144" s="0" t="n">
        <f aca="false">IF(OR(WEEKDAY(D144)=1,WEEKDAY(D144)=7),1,0)</f>
        <v>0</v>
      </c>
      <c r="N144" s="0" t="str">
        <f aca="false">IF(AND(MONTH(D144)&gt;=3,MONTH(D144)&lt;=6),"Summer",IF(AND(MONTH(D144)&gt;=7,MONTH(D144)&lt;=9),"Monsoon","Winter"))</f>
        <v>Summer</v>
      </c>
      <c r="O144" s="0" t="str">
        <f aca="false">IF(AND(L144&gt;=22,L144&lt;=25,E144&gt;=TIME(18,0,0)),"24H Night", IF(AND(L144&gt;=22,L144&lt;=25,E144&lt;TIME(18,0,0)),"24H Day", IF(AND(L144&gt;=11,L144&lt;=13,E144&gt;=TIME(18,0,0)),"12H Night", IF(AND(L144&gt;=11,L144&lt;=13,E144&lt;TIME(18,0,0)),"12H Day", IF(AND(L144&lt;10,E144&gt;=TIME(18,0,0)),"Couple Night", "Couple Day")))))</f>
        <v>24H Night</v>
      </c>
      <c r="P144" s="0" t="n">
        <f aca="false">WEEKDAY(D144,2)</f>
        <v>2</v>
      </c>
      <c r="Q144" s="0" t="n">
        <f aca="false">MONTH(D144)</f>
        <v>6</v>
      </c>
      <c r="R144" s="0" t="str">
        <f aca="false">"Q"&amp;ROUNDUP(MONTH(D144)/3,0)</f>
        <v>Q2</v>
      </c>
    </row>
    <row r="145" customFormat="false" ht="153.7" hidden="false" customHeight="false" outlineLevel="0" collapsed="false">
      <c r="A145" s="7" t="s">
        <v>471</v>
      </c>
      <c r="B145" s="7" t="s">
        <v>472</v>
      </c>
      <c r="C145" s="13" t="s">
        <v>473</v>
      </c>
      <c r="D145" s="11" t="n">
        <v>45448</v>
      </c>
      <c r="E145" s="12" t="n">
        <v>0.791666666700625</v>
      </c>
      <c r="F145" s="11" t="n">
        <v>45449</v>
      </c>
      <c r="G145" s="12" t="n">
        <v>0.75</v>
      </c>
      <c r="H145" s="10" t="n">
        <v>45823.0866508102</v>
      </c>
      <c r="I145" s="7" t="n">
        <v>6000</v>
      </c>
      <c r="J145" s="0" t="n">
        <f aca="false">IF(AND(D145&gt;=DATE(YEAR(D145),3,15),D145&lt;=DATE(YEAR(D145),6,10)),1,0)</f>
        <v>1</v>
      </c>
      <c r="K145" s="0" t="e">
        <f aca="false">VLOOKUP(D145,Festival_List!$A$2:$B$100,2,0)</f>
        <v>#N/A</v>
      </c>
      <c r="L145" s="0" t="n">
        <f aca="false">ROUND(((F145+G145)-(D145+E145))*24,0)</f>
        <v>23</v>
      </c>
      <c r="M145" s="0" t="n">
        <f aca="false">IF(OR(WEEKDAY(D145)=1,WEEKDAY(D145)=7),1,0)</f>
        <v>0</v>
      </c>
      <c r="N145" s="0" t="str">
        <f aca="false">IF(AND(MONTH(D145)&gt;=3,MONTH(D145)&lt;=6),"Summer",IF(AND(MONTH(D145)&gt;=7,MONTH(D145)&lt;=9),"Monsoon","Winter"))</f>
        <v>Summer</v>
      </c>
      <c r="O145" s="0" t="str">
        <f aca="false">IF(AND(L145&gt;=22,L145&lt;=25,E145&gt;=TIME(18,0,0)),"24H Night", IF(AND(L145&gt;=22,L145&lt;=25,E145&lt;TIME(18,0,0)),"24H Day", IF(AND(L145&gt;=11,L145&lt;=13,E145&gt;=TIME(18,0,0)),"12H Night", IF(AND(L145&gt;=11,L145&lt;=13,E145&lt;TIME(18,0,0)),"12H Day", IF(AND(L145&lt;10,E145&gt;=TIME(18,0,0)),"Couple Night", "Couple Day")))))</f>
        <v>24H Night</v>
      </c>
      <c r="P145" s="0" t="n">
        <f aca="false">WEEKDAY(D145,2)</f>
        <v>3</v>
      </c>
      <c r="Q145" s="0" t="n">
        <f aca="false">MONTH(D145)</f>
        <v>6</v>
      </c>
      <c r="R145" s="0" t="str">
        <f aca="false">"Q"&amp;ROUNDUP(MONTH(D145)/3,0)</f>
        <v>Q2</v>
      </c>
    </row>
    <row r="146" customFormat="false" ht="153.7" hidden="false" customHeight="false" outlineLevel="0" collapsed="false">
      <c r="A146" s="7" t="s">
        <v>474</v>
      </c>
      <c r="B146" s="7" t="s">
        <v>475</v>
      </c>
      <c r="C146" s="13" t="s">
        <v>476</v>
      </c>
      <c r="D146" s="11" t="n">
        <v>45449</v>
      </c>
      <c r="E146" s="12" t="n">
        <v>0.791666666700625</v>
      </c>
      <c r="F146" s="11" t="n">
        <v>45450</v>
      </c>
      <c r="G146" s="12" t="n">
        <v>0.75</v>
      </c>
      <c r="H146" s="10" t="n">
        <v>45449.7048685185</v>
      </c>
      <c r="I146" s="7" t="n">
        <v>5500</v>
      </c>
      <c r="J146" s="0" t="n">
        <f aca="false">IF(AND(D146&gt;=DATE(YEAR(D146),3,15),D146&lt;=DATE(YEAR(D146),6,10)),1,0)</f>
        <v>1</v>
      </c>
      <c r="K146" s="0" t="e">
        <f aca="false">VLOOKUP(D146,Festival_List!$A$2:$B$100,2,0)</f>
        <v>#N/A</v>
      </c>
      <c r="L146" s="0" t="n">
        <f aca="false">ROUND(((F146+G146)-(D146+E146))*24,0)</f>
        <v>23</v>
      </c>
      <c r="M146" s="0" t="n">
        <f aca="false">IF(OR(WEEKDAY(D146)=1,WEEKDAY(D146)=7),1,0)</f>
        <v>0</v>
      </c>
      <c r="N146" s="0" t="str">
        <f aca="false">IF(AND(MONTH(D146)&gt;=3,MONTH(D146)&lt;=6),"Summer",IF(AND(MONTH(D146)&gt;=7,MONTH(D146)&lt;=9),"Monsoon","Winter"))</f>
        <v>Summer</v>
      </c>
      <c r="O146" s="0" t="str">
        <f aca="false">IF(AND(L146&gt;=22,L146&lt;=25,E146&gt;=TIME(18,0,0)),"24H Night", IF(AND(L146&gt;=22,L146&lt;=25,E146&lt;TIME(18,0,0)),"24H Day", IF(AND(L146&gt;=11,L146&lt;=13,E146&gt;=TIME(18,0,0)),"12H Night", IF(AND(L146&gt;=11,L146&lt;=13,E146&lt;TIME(18,0,0)),"12H Day", IF(AND(L146&lt;10,E146&gt;=TIME(18,0,0)),"Couple Night", "Couple Day")))))</f>
        <v>24H Night</v>
      </c>
      <c r="P146" s="0" t="n">
        <f aca="false">WEEKDAY(D146,2)</f>
        <v>4</v>
      </c>
      <c r="Q146" s="0" t="n">
        <f aca="false">MONTH(D146)</f>
        <v>6</v>
      </c>
      <c r="R146" s="0" t="str">
        <f aca="false">"Q"&amp;ROUNDUP(MONTH(D146)/3,0)</f>
        <v>Q2</v>
      </c>
    </row>
    <row r="147" customFormat="false" ht="115.65" hidden="false" customHeight="false" outlineLevel="0" collapsed="false">
      <c r="A147" s="7" t="s">
        <v>477</v>
      </c>
      <c r="B147" s="7" t="s">
        <v>478</v>
      </c>
      <c r="C147" s="13" t="s">
        <v>479</v>
      </c>
      <c r="D147" s="11" t="n">
        <v>45450</v>
      </c>
      <c r="E147" s="12" t="n">
        <v>0.791666666700625</v>
      </c>
      <c r="F147" s="11" t="n">
        <v>45451</v>
      </c>
      <c r="G147" s="12" t="n">
        <v>0.75</v>
      </c>
      <c r="H147" s="10" t="n">
        <v>45823.0866508102</v>
      </c>
      <c r="I147" s="7" t="n">
        <v>5000</v>
      </c>
      <c r="J147" s="0" t="n">
        <f aca="false">IF(AND(D147&gt;=DATE(YEAR(D147),3,15),D147&lt;=DATE(YEAR(D147),6,10)),1,0)</f>
        <v>1</v>
      </c>
      <c r="K147" s="0" t="e">
        <f aca="false">VLOOKUP(D147,Festival_List!$A$2:$B$100,2,0)</f>
        <v>#N/A</v>
      </c>
      <c r="L147" s="0" t="n">
        <f aca="false">ROUND(((F147+G147)-(D147+E147))*24,0)</f>
        <v>23</v>
      </c>
      <c r="M147" s="0" t="n">
        <f aca="false">IF(OR(WEEKDAY(D147)=1,WEEKDAY(D147)=7),1,0)</f>
        <v>0</v>
      </c>
      <c r="N147" s="0" t="str">
        <f aca="false">IF(AND(MONTH(D147)&gt;=3,MONTH(D147)&lt;=6),"Summer",IF(AND(MONTH(D147)&gt;=7,MONTH(D147)&lt;=9),"Monsoon","Winter"))</f>
        <v>Summer</v>
      </c>
      <c r="O147" s="0" t="str">
        <f aca="false">IF(AND(L147&gt;=22,L147&lt;=25,E147&gt;=TIME(18,0,0)),"24H Night", IF(AND(L147&gt;=22,L147&lt;=25,E147&lt;TIME(18,0,0)),"24H Day", IF(AND(L147&gt;=11,L147&lt;=13,E147&gt;=TIME(18,0,0)),"12H Night", IF(AND(L147&gt;=11,L147&lt;=13,E147&lt;TIME(18,0,0)),"12H Day", IF(AND(L147&lt;10,E147&gt;=TIME(18,0,0)),"Couple Night", "Couple Day")))))</f>
        <v>24H Night</v>
      </c>
      <c r="P147" s="0" t="n">
        <f aca="false">WEEKDAY(D147,2)</f>
        <v>5</v>
      </c>
      <c r="Q147" s="0" t="n">
        <f aca="false">MONTH(D147)</f>
        <v>6</v>
      </c>
      <c r="R147" s="0" t="str">
        <f aca="false">"Q"&amp;ROUNDUP(MONTH(D147)/3,0)</f>
        <v>Q2</v>
      </c>
    </row>
    <row r="148" customFormat="false" ht="153.7" hidden="false" customHeight="false" outlineLevel="0" collapsed="false">
      <c r="A148" s="7" t="s">
        <v>480</v>
      </c>
      <c r="B148" s="7" t="s">
        <v>481</v>
      </c>
      <c r="C148" s="13" t="s">
        <v>482</v>
      </c>
      <c r="D148" s="11" t="n">
        <v>45451</v>
      </c>
      <c r="E148" s="12" t="n">
        <v>0.791666666700625</v>
      </c>
      <c r="F148" s="11" t="n">
        <v>45452</v>
      </c>
      <c r="G148" s="12" t="n">
        <v>0.75</v>
      </c>
      <c r="H148" s="10" t="n">
        <v>45823.0866508102</v>
      </c>
      <c r="I148" s="7" t="n">
        <v>13000</v>
      </c>
      <c r="J148" s="0" t="n">
        <f aca="false">IF(AND(D148&gt;=DATE(YEAR(D148),3,15),D148&lt;=DATE(YEAR(D148),6,10)),1,0)</f>
        <v>1</v>
      </c>
      <c r="K148" s="0" t="e">
        <f aca="false">VLOOKUP(D148,Festival_List!$A$2:$B$100,2,0)</f>
        <v>#N/A</v>
      </c>
      <c r="L148" s="0" t="n">
        <f aca="false">ROUND(((F148+G148)-(D148+E148))*24,0)</f>
        <v>23</v>
      </c>
      <c r="M148" s="0" t="n">
        <f aca="false">IF(OR(WEEKDAY(D148)=1,WEEKDAY(D148)=7),1,0)</f>
        <v>1</v>
      </c>
      <c r="N148" s="0" t="str">
        <f aca="false">IF(AND(MONTH(D148)&gt;=3,MONTH(D148)&lt;=6),"Summer",IF(AND(MONTH(D148)&gt;=7,MONTH(D148)&lt;=9),"Monsoon","Winter"))</f>
        <v>Summer</v>
      </c>
      <c r="O148" s="0" t="str">
        <f aca="false">IF(AND(L148&gt;=22,L148&lt;=25,E148&gt;=TIME(18,0,0)),"24H Night", IF(AND(L148&gt;=22,L148&lt;=25,E148&lt;TIME(18,0,0)),"24H Day", IF(AND(L148&gt;=11,L148&lt;=13,E148&gt;=TIME(18,0,0)),"12H Night", IF(AND(L148&gt;=11,L148&lt;=13,E148&lt;TIME(18,0,0)),"12H Day", IF(AND(L148&lt;10,E148&gt;=TIME(18,0,0)),"Couple Night", "Couple Day")))))</f>
        <v>24H Night</v>
      </c>
      <c r="P148" s="0" t="n">
        <f aca="false">WEEKDAY(D148,2)</f>
        <v>6</v>
      </c>
      <c r="Q148" s="0" t="n">
        <f aca="false">MONTH(D148)</f>
        <v>6</v>
      </c>
      <c r="R148" s="0" t="str">
        <f aca="false">"Q"&amp;ROUNDUP(MONTH(D148)/3,0)</f>
        <v>Q2</v>
      </c>
    </row>
    <row r="149" customFormat="false" ht="153.7" hidden="false" customHeight="false" outlineLevel="0" collapsed="false">
      <c r="A149" s="7" t="s">
        <v>483</v>
      </c>
      <c r="B149" s="7" t="s">
        <v>484</v>
      </c>
      <c r="C149" s="13" t="s">
        <v>485</v>
      </c>
      <c r="D149" s="11" t="n">
        <v>45452</v>
      </c>
      <c r="E149" s="12" t="n">
        <v>0.8125</v>
      </c>
      <c r="F149" s="11" t="n">
        <v>45453</v>
      </c>
      <c r="G149" s="12" t="n">
        <v>0.75</v>
      </c>
      <c r="H149" s="10" t="n">
        <v>45823.0866508102</v>
      </c>
      <c r="I149" s="7" t="n">
        <v>5500</v>
      </c>
      <c r="J149" s="0" t="n">
        <f aca="false">IF(AND(D149&gt;=DATE(YEAR(D149),3,15),D149&lt;=DATE(YEAR(D149),6,10)),1,0)</f>
        <v>1</v>
      </c>
      <c r="K149" s="0" t="e">
        <f aca="false">VLOOKUP(D149,Festival_List!$A$2:$B$100,2,0)</f>
        <v>#N/A</v>
      </c>
      <c r="L149" s="0" t="n">
        <f aca="false">ROUND(((F149+G149)-(D149+E149))*24,0)</f>
        <v>23</v>
      </c>
      <c r="M149" s="0" t="n">
        <f aca="false">IF(OR(WEEKDAY(D149)=1,WEEKDAY(D149)=7),1,0)</f>
        <v>1</v>
      </c>
      <c r="N149" s="0" t="str">
        <f aca="false">IF(AND(MONTH(D149)&gt;=3,MONTH(D149)&lt;=6),"Summer",IF(AND(MONTH(D149)&gt;=7,MONTH(D149)&lt;=9),"Monsoon","Winter"))</f>
        <v>Summer</v>
      </c>
      <c r="O149" s="0" t="str">
        <f aca="false">IF(AND(L149&gt;=22,L149&lt;=25,E149&gt;=TIME(18,0,0)),"24H Night", IF(AND(L149&gt;=22,L149&lt;=25,E149&lt;TIME(18,0,0)),"24H Day", IF(AND(L149&gt;=11,L149&lt;=13,E149&gt;=TIME(18,0,0)),"12H Night", IF(AND(L149&gt;=11,L149&lt;=13,E149&lt;TIME(18,0,0)),"12H Day", IF(AND(L149&lt;10,E149&gt;=TIME(18,0,0)),"Couple Night", "Couple Day")))))</f>
        <v>24H Night</v>
      </c>
      <c r="P149" s="0" t="n">
        <f aca="false">WEEKDAY(D149,2)</f>
        <v>7</v>
      </c>
      <c r="Q149" s="0" t="n">
        <f aca="false">MONTH(D149)</f>
        <v>6</v>
      </c>
      <c r="R149" s="0" t="str">
        <f aca="false">"Q"&amp;ROUNDUP(MONTH(D149)/3,0)</f>
        <v>Q2</v>
      </c>
    </row>
    <row r="150" customFormat="false" ht="13.8" hidden="false" customHeight="false" outlineLevel="0" collapsed="false">
      <c r="A150" s="7" t="s">
        <v>486</v>
      </c>
      <c r="B150" s="7" t="s">
        <v>487</v>
      </c>
      <c r="C150" s="7" t="s">
        <v>488</v>
      </c>
      <c r="D150" s="11" t="n">
        <v>45454</v>
      </c>
      <c r="E150" s="12" t="n">
        <v>0.541666666700625</v>
      </c>
      <c r="F150" s="11" t="n">
        <v>45454</v>
      </c>
      <c r="G150" s="12" t="n">
        <v>0.75</v>
      </c>
      <c r="H150" s="10" t="n">
        <v>45725.4726313658</v>
      </c>
      <c r="I150" s="7" t="n">
        <v>3000</v>
      </c>
      <c r="J150" s="0" t="n">
        <f aca="false">IF(AND(D150&gt;=DATE(YEAR(D150),3,15),D150&lt;=DATE(YEAR(D150),6,10)),1,0)</f>
        <v>0</v>
      </c>
      <c r="K150" s="0" t="e">
        <f aca="false">VLOOKUP(D150,Festival_List!$A$2:$B$100,2,0)</f>
        <v>#N/A</v>
      </c>
      <c r="L150" s="0" t="n">
        <f aca="false">ROUND(((F150+G150)-(D150+E150))*24,0)</f>
        <v>5</v>
      </c>
      <c r="M150" s="0" t="n">
        <f aca="false">IF(OR(WEEKDAY(D150)=1,WEEKDAY(D150)=7),1,0)</f>
        <v>0</v>
      </c>
      <c r="N150" s="0" t="str">
        <f aca="false">IF(AND(MONTH(D150)&gt;=3,MONTH(D150)&lt;=6),"Summer",IF(AND(MONTH(D150)&gt;=7,MONTH(D150)&lt;=9),"Monsoon","Winter"))</f>
        <v>Summer</v>
      </c>
      <c r="O150" s="0" t="str">
        <f aca="false">IF(AND(L150&gt;=22,L150&lt;=25,E150&gt;=TIME(18,0,0)),"24H Night", IF(AND(L150&gt;=22,L150&lt;=25,E150&lt;TIME(18,0,0)),"24H Day", IF(AND(L150&gt;=11,L150&lt;=13,E150&gt;=TIME(18,0,0)),"12H Night", IF(AND(L150&gt;=11,L150&lt;=13,E150&lt;TIME(18,0,0)),"12H Day", IF(AND(L150&lt;10,E150&gt;=TIME(18,0,0)),"Couple Night", "Couple Day")))))</f>
        <v>Couple Day</v>
      </c>
      <c r="P150" s="0" t="n">
        <f aca="false">WEEKDAY(D150,2)</f>
        <v>2</v>
      </c>
      <c r="Q150" s="0" t="n">
        <f aca="false">MONTH(D150)</f>
        <v>6</v>
      </c>
      <c r="R150" s="0" t="str">
        <f aca="false">"Q"&amp;ROUNDUP(MONTH(D150)/3,0)</f>
        <v>Q2</v>
      </c>
    </row>
    <row r="151" customFormat="false" ht="153.7" hidden="false" customHeight="false" outlineLevel="0" collapsed="false">
      <c r="A151" s="7" t="s">
        <v>489</v>
      </c>
      <c r="B151" s="7" t="s">
        <v>490</v>
      </c>
      <c r="C151" s="13" t="s">
        <v>491</v>
      </c>
      <c r="D151" s="11" t="n">
        <v>45454</v>
      </c>
      <c r="E151" s="12" t="n">
        <v>0.791666666700625</v>
      </c>
      <c r="F151" s="11" t="n">
        <v>45455</v>
      </c>
      <c r="G151" s="12" t="n">
        <v>0.75</v>
      </c>
      <c r="H151" s="10" t="n">
        <v>45449.8767451389</v>
      </c>
      <c r="I151" s="7" t="n">
        <v>5500</v>
      </c>
      <c r="J151" s="0" t="n">
        <f aca="false">IF(AND(D151&gt;=DATE(YEAR(D151),3,15),D151&lt;=DATE(YEAR(D151),6,10)),1,0)</f>
        <v>0</v>
      </c>
      <c r="K151" s="0" t="e">
        <f aca="false">VLOOKUP(D151,Festival_List!$A$2:$B$100,2,0)</f>
        <v>#N/A</v>
      </c>
      <c r="L151" s="0" t="n">
        <f aca="false">ROUND(((F151+G151)-(D151+E151))*24,0)</f>
        <v>23</v>
      </c>
      <c r="M151" s="0" t="n">
        <f aca="false">IF(OR(WEEKDAY(D151)=1,WEEKDAY(D151)=7),1,0)</f>
        <v>0</v>
      </c>
      <c r="N151" s="0" t="str">
        <f aca="false">IF(AND(MONTH(D151)&gt;=3,MONTH(D151)&lt;=6),"Summer",IF(AND(MONTH(D151)&gt;=7,MONTH(D151)&lt;=9),"Monsoon","Winter"))</f>
        <v>Summer</v>
      </c>
      <c r="O151" s="0" t="str">
        <f aca="false">IF(AND(L151&gt;=22,L151&lt;=25,E151&gt;=TIME(18,0,0)),"24H Night", IF(AND(L151&gt;=22,L151&lt;=25,E151&lt;TIME(18,0,0)),"24H Day", IF(AND(L151&gt;=11,L151&lt;=13,E151&gt;=TIME(18,0,0)),"12H Night", IF(AND(L151&gt;=11,L151&lt;=13,E151&lt;TIME(18,0,0)),"12H Day", IF(AND(L151&lt;10,E151&gt;=TIME(18,0,0)),"Couple Night", "Couple Day")))))</f>
        <v>24H Night</v>
      </c>
      <c r="P151" s="0" t="n">
        <f aca="false">WEEKDAY(D151,2)</f>
        <v>2</v>
      </c>
      <c r="Q151" s="0" t="n">
        <f aca="false">MONTH(D151)</f>
        <v>6</v>
      </c>
      <c r="R151" s="0" t="str">
        <f aca="false">"Q"&amp;ROUNDUP(MONTH(D151)/3,0)</f>
        <v>Q2</v>
      </c>
    </row>
    <row r="152" customFormat="false" ht="115.65" hidden="false" customHeight="false" outlineLevel="0" collapsed="false">
      <c r="A152" s="7" t="s">
        <v>492</v>
      </c>
      <c r="B152" s="7" t="s">
        <v>386</v>
      </c>
      <c r="C152" s="13" t="s">
        <v>493</v>
      </c>
      <c r="D152" s="11" t="n">
        <v>45455</v>
      </c>
      <c r="E152" s="12" t="n">
        <v>0.791666666700625</v>
      </c>
      <c r="F152" s="11" t="n">
        <v>45456</v>
      </c>
      <c r="G152" s="12" t="n">
        <v>0.75</v>
      </c>
      <c r="H152" s="10" t="n">
        <v>45454.4343599537</v>
      </c>
      <c r="I152" s="7" t="n">
        <v>5000</v>
      </c>
      <c r="J152" s="0" t="n">
        <f aca="false">IF(AND(D152&gt;=DATE(YEAR(D152),3,15),D152&lt;=DATE(YEAR(D152),6,10)),1,0)</f>
        <v>0</v>
      </c>
      <c r="K152" s="0" t="e">
        <f aca="false">VLOOKUP(D152,Festival_List!$A$2:$B$100,2,0)</f>
        <v>#N/A</v>
      </c>
      <c r="L152" s="0" t="n">
        <f aca="false">ROUND(((F152+G152)-(D152+E152))*24,0)</f>
        <v>23</v>
      </c>
      <c r="M152" s="0" t="n">
        <f aca="false">IF(OR(WEEKDAY(D152)=1,WEEKDAY(D152)=7),1,0)</f>
        <v>0</v>
      </c>
      <c r="N152" s="0" t="str">
        <f aca="false">IF(AND(MONTH(D152)&gt;=3,MONTH(D152)&lt;=6),"Summer",IF(AND(MONTH(D152)&gt;=7,MONTH(D152)&lt;=9),"Monsoon","Winter"))</f>
        <v>Summer</v>
      </c>
      <c r="O152" s="0" t="str">
        <f aca="false">IF(AND(L152&gt;=22,L152&lt;=25,E152&gt;=TIME(18,0,0)),"24H Night", IF(AND(L152&gt;=22,L152&lt;=25,E152&lt;TIME(18,0,0)),"24H Day", IF(AND(L152&gt;=11,L152&lt;=13,E152&gt;=TIME(18,0,0)),"12H Night", IF(AND(L152&gt;=11,L152&lt;=13,E152&lt;TIME(18,0,0)),"12H Day", IF(AND(L152&lt;10,E152&gt;=TIME(18,0,0)),"Couple Night", "Couple Day")))))</f>
        <v>24H Night</v>
      </c>
      <c r="P152" s="0" t="n">
        <f aca="false">WEEKDAY(D152,2)</f>
        <v>3</v>
      </c>
      <c r="Q152" s="0" t="n">
        <f aca="false">MONTH(D152)</f>
        <v>6</v>
      </c>
      <c r="R152" s="0" t="str">
        <f aca="false">"Q"&amp;ROUNDUP(MONTH(D152)/3,0)</f>
        <v>Q2</v>
      </c>
    </row>
    <row r="153" customFormat="false" ht="153.7" hidden="false" customHeight="false" outlineLevel="0" collapsed="false">
      <c r="A153" s="7" t="s">
        <v>494</v>
      </c>
      <c r="B153" s="7" t="s">
        <v>495</v>
      </c>
      <c r="C153" s="13" t="s">
        <v>496</v>
      </c>
      <c r="D153" s="11" t="n">
        <v>45456</v>
      </c>
      <c r="E153" s="12" t="n">
        <v>0.791666666700625</v>
      </c>
      <c r="F153" s="11" t="n">
        <v>45457</v>
      </c>
      <c r="G153" s="12" t="n">
        <v>0.75</v>
      </c>
      <c r="H153" s="10" t="n">
        <v>45454.6004908565</v>
      </c>
      <c r="I153" s="7" t="n">
        <v>5500</v>
      </c>
      <c r="J153" s="0" t="n">
        <f aca="false">IF(AND(D153&gt;=DATE(YEAR(D153),3,15),D153&lt;=DATE(YEAR(D153),6,10)),1,0)</f>
        <v>0</v>
      </c>
      <c r="K153" s="0" t="e">
        <f aca="false">VLOOKUP(D153,Festival_List!$A$2:$B$100,2,0)</f>
        <v>#N/A</v>
      </c>
      <c r="L153" s="0" t="n">
        <f aca="false">ROUND(((F153+G153)-(D153+E153))*24,0)</f>
        <v>23</v>
      </c>
      <c r="M153" s="0" t="n">
        <f aca="false">IF(OR(WEEKDAY(D153)=1,WEEKDAY(D153)=7),1,0)</f>
        <v>0</v>
      </c>
      <c r="N153" s="0" t="str">
        <f aca="false">IF(AND(MONTH(D153)&gt;=3,MONTH(D153)&lt;=6),"Summer",IF(AND(MONTH(D153)&gt;=7,MONTH(D153)&lt;=9),"Monsoon","Winter"))</f>
        <v>Summer</v>
      </c>
      <c r="O153" s="0" t="str">
        <f aca="false">IF(AND(L153&gt;=22,L153&lt;=25,E153&gt;=TIME(18,0,0)),"24H Night", IF(AND(L153&gt;=22,L153&lt;=25,E153&lt;TIME(18,0,0)),"24H Day", IF(AND(L153&gt;=11,L153&lt;=13,E153&gt;=TIME(18,0,0)),"12H Night", IF(AND(L153&gt;=11,L153&lt;=13,E153&lt;TIME(18,0,0)),"12H Day", IF(AND(L153&lt;10,E153&gt;=TIME(18,0,0)),"Couple Night", "Couple Day")))))</f>
        <v>24H Night</v>
      </c>
      <c r="P153" s="0" t="n">
        <f aca="false">WEEKDAY(D153,2)</f>
        <v>4</v>
      </c>
      <c r="Q153" s="0" t="n">
        <f aca="false">MONTH(D153)</f>
        <v>6</v>
      </c>
      <c r="R153" s="0" t="str">
        <f aca="false">"Q"&amp;ROUNDUP(MONTH(D153)/3,0)</f>
        <v>Q2</v>
      </c>
    </row>
    <row r="154" customFormat="false" ht="153.7" hidden="false" customHeight="false" outlineLevel="0" collapsed="false">
      <c r="A154" s="7" t="s">
        <v>497</v>
      </c>
      <c r="B154" s="7" t="s">
        <v>498</v>
      </c>
      <c r="C154" s="13" t="s">
        <v>499</v>
      </c>
      <c r="D154" s="11" t="n">
        <v>45457</v>
      </c>
      <c r="E154" s="12" t="n">
        <v>0.791666666700625</v>
      </c>
      <c r="F154" s="11" t="n">
        <v>45458</v>
      </c>
      <c r="G154" s="12" t="n">
        <v>0.75</v>
      </c>
      <c r="H154" s="10" t="n">
        <v>45455.5859603009</v>
      </c>
      <c r="I154" s="7" t="n">
        <v>6000</v>
      </c>
      <c r="J154" s="0" t="n">
        <f aca="false">IF(AND(D154&gt;=DATE(YEAR(D154),3,15),D154&lt;=DATE(YEAR(D154),6,10)),1,0)</f>
        <v>0</v>
      </c>
      <c r="K154" s="0" t="e">
        <f aca="false">VLOOKUP(D154,Festival_List!$A$2:$B$100,2,0)</f>
        <v>#N/A</v>
      </c>
      <c r="L154" s="0" t="n">
        <f aca="false">ROUND(((F154+G154)-(D154+E154))*24,0)</f>
        <v>23</v>
      </c>
      <c r="M154" s="0" t="n">
        <f aca="false">IF(OR(WEEKDAY(D154)=1,WEEKDAY(D154)=7),1,0)</f>
        <v>0</v>
      </c>
      <c r="N154" s="0" t="str">
        <f aca="false">IF(AND(MONTH(D154)&gt;=3,MONTH(D154)&lt;=6),"Summer",IF(AND(MONTH(D154)&gt;=7,MONTH(D154)&lt;=9),"Monsoon","Winter"))</f>
        <v>Summer</v>
      </c>
      <c r="O154" s="0" t="str">
        <f aca="false">IF(AND(L154&gt;=22,L154&lt;=25,E154&gt;=TIME(18,0,0)),"24H Night", IF(AND(L154&gt;=22,L154&lt;=25,E154&lt;TIME(18,0,0)),"24H Day", IF(AND(L154&gt;=11,L154&lt;=13,E154&gt;=TIME(18,0,0)),"12H Night", IF(AND(L154&gt;=11,L154&lt;=13,E154&lt;TIME(18,0,0)),"12H Day", IF(AND(L154&lt;10,E154&gt;=TIME(18,0,0)),"Couple Night", "Couple Day")))))</f>
        <v>24H Night</v>
      </c>
      <c r="P154" s="0" t="n">
        <f aca="false">WEEKDAY(D154,2)</f>
        <v>5</v>
      </c>
      <c r="Q154" s="0" t="n">
        <f aca="false">MONTH(D154)</f>
        <v>6</v>
      </c>
      <c r="R154" s="0" t="str">
        <f aca="false">"Q"&amp;ROUNDUP(MONTH(D154)/3,0)</f>
        <v>Q2</v>
      </c>
    </row>
    <row r="155" customFormat="false" ht="90.25" hidden="false" customHeight="false" outlineLevel="0" collapsed="false">
      <c r="A155" s="7" t="s">
        <v>500</v>
      </c>
      <c r="B155" s="7" t="s">
        <v>501</v>
      </c>
      <c r="C155" s="13" t="s">
        <v>502</v>
      </c>
      <c r="D155" s="11" t="n">
        <v>45458</v>
      </c>
      <c r="E155" s="12" t="n">
        <v>0.791666666700625</v>
      </c>
      <c r="F155" s="11" t="n">
        <v>45459</v>
      </c>
      <c r="G155" s="12" t="n">
        <v>0.291666666700625</v>
      </c>
      <c r="H155" s="10" t="n">
        <v>45458.6331325232</v>
      </c>
      <c r="I155" s="7" t="n">
        <v>3000</v>
      </c>
      <c r="J155" s="0" t="n">
        <f aca="false">IF(AND(D155&gt;=DATE(YEAR(D155),3,15),D155&lt;=DATE(YEAR(D155),6,10)),1,0)</f>
        <v>0</v>
      </c>
      <c r="K155" s="0" t="e">
        <f aca="false">VLOOKUP(D155,Festival_List!$A$2:$B$100,2,0)</f>
        <v>#N/A</v>
      </c>
      <c r="L155" s="0" t="n">
        <f aca="false">ROUND(((F155+G155)-(D155+E155))*24,0)</f>
        <v>12</v>
      </c>
      <c r="M155" s="0" t="n">
        <f aca="false">IF(OR(WEEKDAY(D155)=1,WEEKDAY(D155)=7),1,0)</f>
        <v>1</v>
      </c>
      <c r="N155" s="0" t="str">
        <f aca="false">IF(AND(MONTH(D155)&gt;=3,MONTH(D155)&lt;=6),"Summer",IF(AND(MONTH(D155)&gt;=7,MONTH(D155)&lt;=9),"Monsoon","Winter"))</f>
        <v>Summer</v>
      </c>
      <c r="O155" s="0" t="str">
        <f aca="false">IF(AND(L155&gt;=22,L155&lt;=25,E155&gt;=TIME(18,0,0)),"24H Night", IF(AND(L155&gt;=22,L155&lt;=25,E155&lt;TIME(18,0,0)),"24H Day", IF(AND(L155&gt;=11,L155&lt;=13,E155&gt;=TIME(18,0,0)),"12H Night", IF(AND(L155&gt;=11,L155&lt;=13,E155&lt;TIME(18,0,0)),"12H Day", IF(AND(L155&lt;10,E155&gt;=TIME(18,0,0)),"Couple Night", "Couple Day")))))</f>
        <v>12H Night</v>
      </c>
      <c r="P155" s="0" t="n">
        <f aca="false">WEEKDAY(D155,2)</f>
        <v>6</v>
      </c>
      <c r="Q155" s="0" t="n">
        <f aca="false">MONTH(D155)</f>
        <v>6</v>
      </c>
      <c r="R155" s="0" t="str">
        <f aca="false">"Q"&amp;ROUNDUP(MONTH(D155)/3,0)</f>
        <v>Q2</v>
      </c>
    </row>
    <row r="156" customFormat="false" ht="153.7" hidden="false" customHeight="false" outlineLevel="0" collapsed="false">
      <c r="A156" s="7" t="s">
        <v>503</v>
      </c>
      <c r="B156" s="7" t="s">
        <v>504</v>
      </c>
      <c r="C156" s="13" t="s">
        <v>505</v>
      </c>
      <c r="D156" s="11" t="n">
        <v>45459</v>
      </c>
      <c r="E156" s="12" t="n">
        <v>0.354166666700625</v>
      </c>
      <c r="F156" s="11" t="n">
        <v>45459</v>
      </c>
      <c r="G156" s="12" t="n">
        <v>0.854166666700625</v>
      </c>
      <c r="H156" s="10" t="n">
        <v>45458.5369914352</v>
      </c>
      <c r="I156" s="7" t="n">
        <v>10000</v>
      </c>
      <c r="J156" s="0" t="n">
        <f aca="false">IF(AND(D156&gt;=DATE(YEAR(D156),3,15),D156&lt;=DATE(YEAR(D156),6,10)),1,0)</f>
        <v>0</v>
      </c>
      <c r="K156" s="0" t="e">
        <f aca="false">VLOOKUP(D156,Festival_List!$A$2:$B$100,2,0)</f>
        <v>#N/A</v>
      </c>
      <c r="L156" s="0" t="n">
        <f aca="false">ROUND(((F156+G156)-(D156+E156))*24,0)</f>
        <v>12</v>
      </c>
      <c r="M156" s="0" t="n">
        <f aca="false">IF(OR(WEEKDAY(D156)=1,WEEKDAY(D156)=7),1,0)</f>
        <v>1</v>
      </c>
      <c r="N156" s="0" t="str">
        <f aca="false">IF(AND(MONTH(D156)&gt;=3,MONTH(D156)&lt;=6),"Summer",IF(AND(MONTH(D156)&gt;=7,MONTH(D156)&lt;=9),"Monsoon","Winter"))</f>
        <v>Summer</v>
      </c>
      <c r="O156" s="0" t="str">
        <f aca="false">IF(AND(L156&gt;=22,L156&lt;=25,E156&gt;=TIME(18,0,0)),"24H Night", IF(AND(L156&gt;=22,L156&lt;=25,E156&lt;TIME(18,0,0)),"24H Day", IF(AND(L156&gt;=11,L156&lt;=13,E156&gt;=TIME(18,0,0)),"12H Night", IF(AND(L156&gt;=11,L156&lt;=13,E156&lt;TIME(18,0,0)),"12H Day", IF(AND(L156&lt;10,E156&gt;=TIME(18,0,0)),"Couple Night", "Couple Day")))))</f>
        <v>12H Day</v>
      </c>
      <c r="P156" s="0" t="n">
        <f aca="false">WEEKDAY(D156,2)</f>
        <v>7</v>
      </c>
      <c r="Q156" s="0" t="n">
        <f aca="false">MONTH(D156)</f>
        <v>6</v>
      </c>
      <c r="R156" s="0" t="str">
        <f aca="false">"Q"&amp;ROUNDUP(MONTH(D156)/3,0)</f>
        <v>Q2</v>
      </c>
    </row>
    <row r="157" customFormat="false" ht="153.7" hidden="false" customHeight="false" outlineLevel="0" collapsed="false">
      <c r="A157" s="7" t="s">
        <v>506</v>
      </c>
      <c r="B157" s="7" t="s">
        <v>507</v>
      </c>
      <c r="C157" s="13" t="s">
        <v>508</v>
      </c>
      <c r="D157" s="11" t="n">
        <v>45459</v>
      </c>
      <c r="E157" s="12" t="n">
        <v>0.791666666700625</v>
      </c>
      <c r="F157" s="11" t="n">
        <v>45460</v>
      </c>
      <c r="G157" s="12" t="n">
        <v>0.75</v>
      </c>
      <c r="H157" s="10" t="n">
        <v>45851.356777662</v>
      </c>
      <c r="I157" s="7" t="n">
        <v>5500</v>
      </c>
      <c r="J157" s="0" t="n">
        <f aca="false">IF(AND(D157&gt;=DATE(YEAR(D157),3,15),D157&lt;=DATE(YEAR(D157),6,10)),1,0)</f>
        <v>0</v>
      </c>
      <c r="K157" s="0" t="e">
        <f aca="false">VLOOKUP(D157,Festival_List!$A$2:$B$100,2,0)</f>
        <v>#N/A</v>
      </c>
      <c r="L157" s="0" t="n">
        <f aca="false">ROUND(((F157+G157)-(D157+E157))*24,0)</f>
        <v>23</v>
      </c>
      <c r="M157" s="0" t="n">
        <f aca="false">IF(OR(WEEKDAY(D157)=1,WEEKDAY(D157)=7),1,0)</f>
        <v>1</v>
      </c>
      <c r="N157" s="0" t="str">
        <f aca="false">IF(AND(MONTH(D157)&gt;=3,MONTH(D157)&lt;=6),"Summer",IF(AND(MONTH(D157)&gt;=7,MONTH(D157)&lt;=9),"Monsoon","Winter"))</f>
        <v>Summer</v>
      </c>
      <c r="O157" s="0" t="str">
        <f aca="false">IF(AND(L157&gt;=22,L157&lt;=25,E157&gt;=TIME(18,0,0)),"24H Night", IF(AND(L157&gt;=22,L157&lt;=25,E157&lt;TIME(18,0,0)),"24H Day", IF(AND(L157&gt;=11,L157&lt;=13,E157&gt;=TIME(18,0,0)),"12H Night", IF(AND(L157&gt;=11,L157&lt;=13,E157&lt;TIME(18,0,0)),"12H Day", IF(AND(L157&lt;10,E157&gt;=TIME(18,0,0)),"Couple Night", "Couple Day")))))</f>
        <v>24H Night</v>
      </c>
      <c r="P157" s="0" t="n">
        <f aca="false">WEEKDAY(D157,2)</f>
        <v>7</v>
      </c>
      <c r="Q157" s="0" t="n">
        <f aca="false">MONTH(D157)</f>
        <v>6</v>
      </c>
      <c r="R157" s="0" t="str">
        <f aca="false">"Q"&amp;ROUNDUP(MONTH(D157)/3,0)</f>
        <v>Q2</v>
      </c>
    </row>
    <row r="158" customFormat="false" ht="13.8" hidden="false" customHeight="false" outlineLevel="0" collapsed="false">
      <c r="A158" s="7" t="s">
        <v>509</v>
      </c>
      <c r="B158" s="7" t="s">
        <v>510</v>
      </c>
      <c r="C158" s="7" t="s">
        <v>511</v>
      </c>
      <c r="D158" s="11" t="n">
        <v>45463</v>
      </c>
      <c r="E158" s="12" t="n">
        <v>0</v>
      </c>
      <c r="F158" s="11" t="n">
        <v>45463</v>
      </c>
      <c r="G158" s="12" t="n">
        <v>0.041666666700625</v>
      </c>
      <c r="H158" s="10" t="n">
        <v>45725.477065625</v>
      </c>
      <c r="I158" s="7" t="n">
        <v>2000</v>
      </c>
      <c r="J158" s="0" t="n">
        <f aca="false">IF(AND(D158&gt;=DATE(YEAR(D158),3,15),D158&lt;=DATE(YEAR(D158),6,10)),1,0)</f>
        <v>0</v>
      </c>
      <c r="K158" s="0" t="e">
        <f aca="false">VLOOKUP(D158,Festival_List!$A$2:$B$100,2,0)</f>
        <v>#N/A</v>
      </c>
      <c r="L158" s="0" t="n">
        <f aca="false">ROUND(((F158+G158)-(D158+E158))*24,0)</f>
        <v>1</v>
      </c>
      <c r="M158" s="0" t="n">
        <f aca="false">IF(OR(WEEKDAY(D158)=1,WEEKDAY(D158)=7),1,0)</f>
        <v>0</v>
      </c>
      <c r="N158" s="0" t="str">
        <f aca="false">IF(AND(MONTH(D158)&gt;=3,MONTH(D158)&lt;=6),"Summer",IF(AND(MONTH(D158)&gt;=7,MONTH(D158)&lt;=9),"Monsoon","Winter"))</f>
        <v>Summer</v>
      </c>
      <c r="O158" s="0" t="str">
        <f aca="false">IF(AND(L158&gt;=22,L158&lt;=25,E158&gt;=TIME(18,0,0)),"24H Night", IF(AND(L158&gt;=22,L158&lt;=25,E158&lt;TIME(18,0,0)),"24H Day", IF(AND(L158&gt;=11,L158&lt;=13,E158&gt;=TIME(18,0,0)),"12H Night", IF(AND(L158&gt;=11,L158&lt;=13,E158&lt;TIME(18,0,0)),"12H Day", IF(AND(L158&lt;10,E158&gt;=TIME(18,0,0)),"Couple Night", "Couple Day")))))</f>
        <v>Couple Day</v>
      </c>
      <c r="P158" s="0" t="n">
        <f aca="false">WEEKDAY(D158,2)</f>
        <v>4</v>
      </c>
      <c r="Q158" s="0" t="n">
        <f aca="false">MONTH(D158)</f>
        <v>6</v>
      </c>
      <c r="R158" s="0" t="str">
        <f aca="false">"Q"&amp;ROUNDUP(MONTH(D158)/3,0)</f>
        <v>Q2</v>
      </c>
    </row>
    <row r="159" customFormat="false" ht="166.4" hidden="false" customHeight="false" outlineLevel="0" collapsed="false">
      <c r="A159" s="7" t="s">
        <v>512</v>
      </c>
      <c r="B159" s="7" t="s">
        <v>513</v>
      </c>
      <c r="C159" s="13" t="s">
        <v>514</v>
      </c>
      <c r="D159" s="11" t="n">
        <v>45464</v>
      </c>
      <c r="E159" s="12" t="n">
        <v>0.291666666700625</v>
      </c>
      <c r="F159" s="11" t="n">
        <v>45464</v>
      </c>
      <c r="G159" s="12" t="n">
        <v>0.75</v>
      </c>
      <c r="H159" s="10" t="n">
        <v>45464.8313875</v>
      </c>
      <c r="I159" s="7" t="n">
        <v>4000</v>
      </c>
      <c r="J159" s="0" t="n">
        <f aca="false">IF(AND(D159&gt;=DATE(YEAR(D159),3,15),D159&lt;=DATE(YEAR(D159),6,10)),1,0)</f>
        <v>0</v>
      </c>
      <c r="K159" s="0" t="e">
        <f aca="false">VLOOKUP(D159,Festival_List!$A$2:$B$100,2,0)</f>
        <v>#N/A</v>
      </c>
      <c r="L159" s="0" t="n">
        <f aca="false">ROUND(((F159+G159)-(D159+E159))*24,0)</f>
        <v>11</v>
      </c>
      <c r="M159" s="0" t="n">
        <f aca="false">IF(OR(WEEKDAY(D159)=1,WEEKDAY(D159)=7),1,0)</f>
        <v>0</v>
      </c>
      <c r="N159" s="0" t="str">
        <f aca="false">IF(AND(MONTH(D159)&gt;=3,MONTH(D159)&lt;=6),"Summer",IF(AND(MONTH(D159)&gt;=7,MONTH(D159)&lt;=9),"Monsoon","Winter"))</f>
        <v>Summer</v>
      </c>
      <c r="O159" s="0" t="str">
        <f aca="false">IF(AND(L159&gt;=22,L159&lt;=25,E159&gt;=TIME(18,0,0)),"24H Night", IF(AND(L159&gt;=22,L159&lt;=25,E159&lt;TIME(18,0,0)),"24H Day", IF(AND(L159&gt;=11,L159&lt;=13,E159&gt;=TIME(18,0,0)),"12H Night", IF(AND(L159&gt;=11,L159&lt;=13,E159&lt;TIME(18,0,0)),"12H Day", IF(AND(L159&lt;10,E159&gt;=TIME(18,0,0)),"Couple Night", "Couple Day")))))</f>
        <v>12H Day</v>
      </c>
      <c r="P159" s="0" t="n">
        <f aca="false">WEEKDAY(D159,2)</f>
        <v>5</v>
      </c>
      <c r="Q159" s="0" t="n">
        <f aca="false">MONTH(D159)</f>
        <v>6</v>
      </c>
      <c r="R159" s="0" t="str">
        <f aca="false">"Q"&amp;ROUNDUP(MONTH(D159)/3,0)</f>
        <v>Q2</v>
      </c>
    </row>
    <row r="160" customFormat="false" ht="153.7" hidden="false" customHeight="false" outlineLevel="0" collapsed="false">
      <c r="A160" s="7" t="s">
        <v>515</v>
      </c>
      <c r="B160" s="7" t="s">
        <v>516</v>
      </c>
      <c r="C160" s="13" t="s">
        <v>517</v>
      </c>
      <c r="D160" s="11" t="n">
        <v>45465</v>
      </c>
      <c r="E160" s="12" t="n">
        <v>0.291666666700625</v>
      </c>
      <c r="F160" s="11" t="n">
        <v>45465</v>
      </c>
      <c r="G160" s="12" t="n">
        <v>0.75</v>
      </c>
      <c r="H160" s="10" t="n">
        <v>45464.8830373843</v>
      </c>
      <c r="I160" s="7" t="n">
        <v>3200</v>
      </c>
      <c r="J160" s="0" t="n">
        <f aca="false">IF(AND(D160&gt;=DATE(YEAR(D160),3,15),D160&lt;=DATE(YEAR(D160),6,10)),1,0)</f>
        <v>0</v>
      </c>
      <c r="K160" s="0" t="e">
        <f aca="false">VLOOKUP(D160,Festival_List!$A$2:$B$100,2,0)</f>
        <v>#N/A</v>
      </c>
      <c r="L160" s="0" t="n">
        <f aca="false">ROUND(((F160+G160)-(D160+E160))*24,0)</f>
        <v>11</v>
      </c>
      <c r="M160" s="0" t="n">
        <f aca="false">IF(OR(WEEKDAY(D160)=1,WEEKDAY(D160)=7),1,0)</f>
        <v>1</v>
      </c>
      <c r="N160" s="0" t="str">
        <f aca="false">IF(AND(MONTH(D160)&gt;=3,MONTH(D160)&lt;=6),"Summer",IF(AND(MONTH(D160)&gt;=7,MONTH(D160)&lt;=9),"Monsoon","Winter"))</f>
        <v>Summer</v>
      </c>
      <c r="O160" s="0" t="str">
        <f aca="false">IF(AND(L160&gt;=22,L160&lt;=25,E160&gt;=TIME(18,0,0)),"24H Night", IF(AND(L160&gt;=22,L160&lt;=25,E160&lt;TIME(18,0,0)),"24H Day", IF(AND(L160&gt;=11,L160&lt;=13,E160&gt;=TIME(18,0,0)),"12H Night", IF(AND(L160&gt;=11,L160&lt;=13,E160&lt;TIME(18,0,0)),"12H Day", IF(AND(L160&lt;10,E160&gt;=TIME(18,0,0)),"Couple Night", "Couple Day")))))</f>
        <v>12H Day</v>
      </c>
      <c r="P160" s="0" t="n">
        <f aca="false">WEEKDAY(D160,2)</f>
        <v>6</v>
      </c>
      <c r="Q160" s="0" t="n">
        <f aca="false">MONTH(D160)</f>
        <v>6</v>
      </c>
      <c r="R160" s="0" t="str">
        <f aca="false">"Q"&amp;ROUNDUP(MONTH(D160)/3,0)</f>
        <v>Q2</v>
      </c>
    </row>
    <row r="161" customFormat="false" ht="153.7" hidden="false" customHeight="false" outlineLevel="0" collapsed="false">
      <c r="A161" s="7" t="s">
        <v>518</v>
      </c>
      <c r="B161" s="7" t="s">
        <v>519</v>
      </c>
      <c r="C161" s="13" t="s">
        <v>520</v>
      </c>
      <c r="D161" s="11" t="n">
        <v>45465</v>
      </c>
      <c r="E161" s="12" t="n">
        <v>0.791666666700625</v>
      </c>
      <c r="F161" s="11" t="n">
        <v>45466</v>
      </c>
      <c r="G161" s="12" t="n">
        <v>0.75</v>
      </c>
      <c r="H161" s="10" t="n">
        <v>45464.51970625</v>
      </c>
      <c r="I161" s="7" t="n">
        <v>7000</v>
      </c>
      <c r="J161" s="0" t="n">
        <f aca="false">IF(AND(D161&gt;=DATE(YEAR(D161),3,15),D161&lt;=DATE(YEAR(D161),6,10)),1,0)</f>
        <v>0</v>
      </c>
      <c r="K161" s="0" t="e">
        <f aca="false">VLOOKUP(D161,Festival_List!$A$2:$B$100,2,0)</f>
        <v>#N/A</v>
      </c>
      <c r="L161" s="0" t="n">
        <f aca="false">ROUND(((F161+G161)-(D161+E161))*24,0)</f>
        <v>23</v>
      </c>
      <c r="M161" s="0" t="n">
        <f aca="false">IF(OR(WEEKDAY(D161)=1,WEEKDAY(D161)=7),1,0)</f>
        <v>1</v>
      </c>
      <c r="N161" s="0" t="str">
        <f aca="false">IF(AND(MONTH(D161)&gt;=3,MONTH(D161)&lt;=6),"Summer",IF(AND(MONTH(D161)&gt;=7,MONTH(D161)&lt;=9),"Monsoon","Winter"))</f>
        <v>Summer</v>
      </c>
      <c r="O161" s="0" t="str">
        <f aca="false">IF(AND(L161&gt;=22,L161&lt;=25,E161&gt;=TIME(18,0,0)),"24H Night", IF(AND(L161&gt;=22,L161&lt;=25,E161&lt;TIME(18,0,0)),"24H Day", IF(AND(L161&gt;=11,L161&lt;=13,E161&gt;=TIME(18,0,0)),"12H Night", IF(AND(L161&gt;=11,L161&lt;=13,E161&lt;TIME(18,0,0)),"12H Day", IF(AND(L161&lt;10,E161&gt;=TIME(18,0,0)),"Couple Night", "Couple Day")))))</f>
        <v>24H Night</v>
      </c>
      <c r="P161" s="0" t="n">
        <f aca="false">WEEKDAY(D161,2)</f>
        <v>6</v>
      </c>
      <c r="Q161" s="0" t="n">
        <f aca="false">MONTH(D161)</f>
        <v>6</v>
      </c>
      <c r="R161" s="0" t="str">
        <f aca="false">"Q"&amp;ROUNDUP(MONTH(D161)/3,0)</f>
        <v>Q2</v>
      </c>
    </row>
    <row r="162" customFormat="false" ht="153.7" hidden="false" customHeight="false" outlineLevel="0" collapsed="false">
      <c r="A162" s="7" t="s">
        <v>521</v>
      </c>
      <c r="B162" s="7" t="s">
        <v>522</v>
      </c>
      <c r="C162" s="13" t="s">
        <v>523</v>
      </c>
      <c r="D162" s="11" t="n">
        <v>45466</v>
      </c>
      <c r="E162" s="12" t="n">
        <v>0.8125</v>
      </c>
      <c r="F162" s="11" t="n">
        <v>45467</v>
      </c>
      <c r="G162" s="12" t="n">
        <v>0.8125</v>
      </c>
      <c r="H162" s="10" t="n">
        <v>45473.0187716435</v>
      </c>
      <c r="I162" s="7" t="n">
        <v>3300</v>
      </c>
      <c r="J162" s="0" t="n">
        <f aca="false">IF(AND(D162&gt;=DATE(YEAR(D162),3,15),D162&lt;=DATE(YEAR(D162),6,10)),1,0)</f>
        <v>0</v>
      </c>
      <c r="K162" s="0" t="e">
        <f aca="false">VLOOKUP(D162,Festival_List!$A$2:$B$100,2,0)</f>
        <v>#N/A</v>
      </c>
      <c r="L162" s="0" t="n">
        <f aca="false">ROUND(((F162+G162)-(D162+E162))*24,0)</f>
        <v>24</v>
      </c>
      <c r="M162" s="0" t="n">
        <f aca="false">IF(OR(WEEKDAY(D162)=1,WEEKDAY(D162)=7),1,0)</f>
        <v>1</v>
      </c>
      <c r="N162" s="0" t="str">
        <f aca="false">IF(AND(MONTH(D162)&gt;=3,MONTH(D162)&lt;=6),"Summer",IF(AND(MONTH(D162)&gt;=7,MONTH(D162)&lt;=9),"Monsoon","Winter"))</f>
        <v>Summer</v>
      </c>
      <c r="O162" s="0" t="str">
        <f aca="false">IF(AND(L162&gt;=22,L162&lt;=25,E162&gt;=TIME(18,0,0)),"24H Night", IF(AND(L162&gt;=22,L162&lt;=25,E162&lt;TIME(18,0,0)),"24H Day", IF(AND(L162&gt;=11,L162&lt;=13,E162&gt;=TIME(18,0,0)),"12H Night", IF(AND(L162&gt;=11,L162&lt;=13,E162&lt;TIME(18,0,0)),"12H Day", IF(AND(L162&lt;10,E162&gt;=TIME(18,0,0)),"Couple Night", "Couple Day")))))</f>
        <v>24H Night</v>
      </c>
      <c r="P162" s="0" t="n">
        <f aca="false">WEEKDAY(D162,2)</f>
        <v>7</v>
      </c>
      <c r="Q162" s="0" t="n">
        <f aca="false">MONTH(D162)</f>
        <v>6</v>
      </c>
      <c r="R162" s="0" t="str">
        <f aca="false">"Q"&amp;ROUNDUP(MONTH(D162)/3,0)</f>
        <v>Q2</v>
      </c>
    </row>
    <row r="163" customFormat="false" ht="153.7" hidden="false" customHeight="false" outlineLevel="0" collapsed="false">
      <c r="A163" s="7" t="s">
        <v>524</v>
      </c>
      <c r="B163" s="7" t="s">
        <v>525</v>
      </c>
      <c r="C163" s="13" t="s">
        <v>526</v>
      </c>
      <c r="D163" s="11" t="n">
        <v>45467</v>
      </c>
      <c r="E163" s="12" t="n">
        <v>0.833333333299375</v>
      </c>
      <c r="F163" s="11" t="n">
        <v>45468</v>
      </c>
      <c r="G163" s="12" t="n">
        <v>0.333333333299375</v>
      </c>
      <c r="H163" s="10" t="n">
        <v>45460.454002662</v>
      </c>
      <c r="I163" s="7" t="n">
        <v>3000</v>
      </c>
      <c r="J163" s="0" t="n">
        <f aca="false">IF(AND(D163&gt;=DATE(YEAR(D163),3,15),D163&lt;=DATE(YEAR(D163),6,10)),1,0)</f>
        <v>0</v>
      </c>
      <c r="K163" s="0" t="e">
        <f aca="false">VLOOKUP(D163,Festival_List!$A$2:$B$100,2,0)</f>
        <v>#N/A</v>
      </c>
      <c r="L163" s="0" t="n">
        <f aca="false">ROUND(((F163+G163)-(D163+E163))*24,0)</f>
        <v>12</v>
      </c>
      <c r="M163" s="0" t="n">
        <f aca="false">IF(OR(WEEKDAY(D163)=1,WEEKDAY(D163)=7),1,0)</f>
        <v>0</v>
      </c>
      <c r="N163" s="0" t="str">
        <f aca="false">IF(AND(MONTH(D163)&gt;=3,MONTH(D163)&lt;=6),"Summer",IF(AND(MONTH(D163)&gt;=7,MONTH(D163)&lt;=9),"Monsoon","Winter"))</f>
        <v>Summer</v>
      </c>
      <c r="O163" s="0" t="str">
        <f aca="false">IF(AND(L163&gt;=22,L163&lt;=25,E163&gt;=TIME(18,0,0)),"24H Night", IF(AND(L163&gt;=22,L163&lt;=25,E163&lt;TIME(18,0,0)),"24H Day", IF(AND(L163&gt;=11,L163&lt;=13,E163&gt;=TIME(18,0,0)),"12H Night", IF(AND(L163&gt;=11,L163&lt;=13,E163&lt;TIME(18,0,0)),"12H Day", IF(AND(L163&lt;10,E163&gt;=TIME(18,0,0)),"Couple Night", "Couple Day")))))</f>
        <v>12H Night</v>
      </c>
      <c r="P163" s="0" t="n">
        <f aca="false">WEEKDAY(D163,2)</f>
        <v>1</v>
      </c>
      <c r="Q163" s="0" t="n">
        <f aca="false">MONTH(D163)</f>
        <v>6</v>
      </c>
      <c r="R163" s="0" t="str">
        <f aca="false">"Q"&amp;ROUNDUP(MONTH(D163)/3,0)</f>
        <v>Q2</v>
      </c>
    </row>
    <row r="164" customFormat="false" ht="13.8" hidden="false" customHeight="false" outlineLevel="0" collapsed="false">
      <c r="A164" s="7" t="s">
        <v>527</v>
      </c>
      <c r="B164" s="7" t="s">
        <v>528</v>
      </c>
      <c r="C164" s="7" t="s">
        <v>529</v>
      </c>
      <c r="D164" s="11" t="n">
        <v>45471</v>
      </c>
      <c r="E164" s="12" t="n">
        <v>0.541666666700625</v>
      </c>
      <c r="F164" s="11" t="n">
        <v>45471</v>
      </c>
      <c r="G164" s="12" t="n">
        <v>0.75</v>
      </c>
      <c r="H164" s="10" t="n">
        <v>45725.4772949074</v>
      </c>
      <c r="I164" s="7" t="n">
        <v>700</v>
      </c>
      <c r="J164" s="0" t="n">
        <f aca="false">IF(AND(D164&gt;=DATE(YEAR(D164),3,15),D164&lt;=DATE(YEAR(D164),6,10)),1,0)</f>
        <v>0</v>
      </c>
      <c r="K164" s="0" t="e">
        <f aca="false">VLOOKUP(D164,Festival_List!$A$2:$B$100,2,0)</f>
        <v>#N/A</v>
      </c>
      <c r="L164" s="0" t="n">
        <f aca="false">ROUND(((F164+G164)-(D164+E164))*24,0)</f>
        <v>5</v>
      </c>
      <c r="M164" s="0" t="n">
        <f aca="false">IF(OR(WEEKDAY(D164)=1,WEEKDAY(D164)=7),1,0)</f>
        <v>0</v>
      </c>
      <c r="N164" s="0" t="str">
        <f aca="false">IF(AND(MONTH(D164)&gt;=3,MONTH(D164)&lt;=6),"Summer",IF(AND(MONTH(D164)&gt;=7,MONTH(D164)&lt;=9),"Monsoon","Winter"))</f>
        <v>Summer</v>
      </c>
      <c r="O164" s="0" t="str">
        <f aca="false">IF(AND(L164&gt;=22,L164&lt;=25,E164&gt;=TIME(18,0,0)),"24H Night", IF(AND(L164&gt;=22,L164&lt;=25,E164&lt;TIME(18,0,0)),"24H Day", IF(AND(L164&gt;=11,L164&lt;=13,E164&gt;=TIME(18,0,0)),"12H Night", IF(AND(L164&gt;=11,L164&lt;=13,E164&lt;TIME(18,0,0)),"12H Day", IF(AND(L164&lt;10,E164&gt;=TIME(18,0,0)),"Couple Night", "Couple Day")))))</f>
        <v>Couple Day</v>
      </c>
      <c r="P164" s="0" t="n">
        <f aca="false">WEEKDAY(D164,2)</f>
        <v>5</v>
      </c>
      <c r="Q164" s="0" t="n">
        <f aca="false">MONTH(D164)</f>
        <v>6</v>
      </c>
      <c r="R164" s="0" t="str">
        <f aca="false">"Q"&amp;ROUNDUP(MONTH(D164)/3,0)</f>
        <v>Q2</v>
      </c>
    </row>
    <row r="165" customFormat="false" ht="153.7" hidden="false" customHeight="false" outlineLevel="0" collapsed="false">
      <c r="A165" s="7" t="s">
        <v>530</v>
      </c>
      <c r="B165" s="7" t="s">
        <v>458</v>
      </c>
      <c r="C165" s="13" t="s">
        <v>531</v>
      </c>
      <c r="D165" s="11" t="n">
        <v>45472</v>
      </c>
      <c r="E165" s="12" t="n">
        <v>0.375</v>
      </c>
      <c r="F165" s="11" t="n">
        <v>45472</v>
      </c>
      <c r="G165" s="12" t="n">
        <v>0.75</v>
      </c>
      <c r="H165" s="10" t="n">
        <v>45851.356777662</v>
      </c>
      <c r="I165" s="7" t="n">
        <v>3000</v>
      </c>
      <c r="J165" s="0" t="n">
        <f aca="false">IF(AND(D165&gt;=DATE(YEAR(D165),3,15),D165&lt;=DATE(YEAR(D165),6,10)),1,0)</f>
        <v>0</v>
      </c>
      <c r="K165" s="0" t="e">
        <f aca="false">VLOOKUP(D165,Festival_List!$A$2:$B$100,2,0)</f>
        <v>#N/A</v>
      </c>
      <c r="L165" s="0" t="n">
        <f aca="false">ROUND(((F165+G165)-(D165+E165))*24,0)</f>
        <v>9</v>
      </c>
      <c r="M165" s="0" t="n">
        <f aca="false">IF(OR(WEEKDAY(D165)=1,WEEKDAY(D165)=7),1,0)</f>
        <v>1</v>
      </c>
      <c r="N165" s="0" t="str">
        <f aca="false">IF(AND(MONTH(D165)&gt;=3,MONTH(D165)&lt;=6),"Summer",IF(AND(MONTH(D165)&gt;=7,MONTH(D165)&lt;=9),"Monsoon","Winter"))</f>
        <v>Summer</v>
      </c>
      <c r="O165" s="0" t="str">
        <f aca="false">IF(AND(L165&gt;=22,L165&lt;=25,E165&gt;=TIME(18,0,0)),"24H Night", IF(AND(L165&gt;=22,L165&lt;=25,E165&lt;TIME(18,0,0)),"24H Day", IF(AND(L165&gt;=11,L165&lt;=13,E165&gt;=TIME(18,0,0)),"12H Night", IF(AND(L165&gt;=11,L165&lt;=13,E165&lt;TIME(18,0,0)),"12H Day", IF(AND(L165&lt;10,E165&gt;=TIME(18,0,0)),"Couple Night", "Couple Day")))))</f>
        <v>Couple Day</v>
      </c>
      <c r="P165" s="0" t="n">
        <f aca="false">WEEKDAY(D165,2)</f>
        <v>6</v>
      </c>
      <c r="Q165" s="0" t="n">
        <f aca="false">MONTH(D165)</f>
        <v>6</v>
      </c>
      <c r="R165" s="0" t="str">
        <f aca="false">"Q"&amp;ROUNDUP(MONTH(D165)/3,0)</f>
        <v>Q2</v>
      </c>
    </row>
    <row r="166" customFormat="false" ht="13.8" hidden="false" customHeight="false" outlineLevel="0" collapsed="false">
      <c r="A166" s="7" t="s">
        <v>532</v>
      </c>
      <c r="B166" s="7" t="s">
        <v>533</v>
      </c>
      <c r="C166" s="7" t="s">
        <v>534</v>
      </c>
      <c r="D166" s="11" t="n">
        <v>45472</v>
      </c>
      <c r="E166" s="12" t="n">
        <v>0.75</v>
      </c>
      <c r="F166" s="11" t="n">
        <v>45473</v>
      </c>
      <c r="G166" s="12" t="n">
        <v>0.75</v>
      </c>
      <c r="H166" s="10" t="n">
        <v>45725.4775052083</v>
      </c>
      <c r="I166" s="7" t="n">
        <v>6000</v>
      </c>
      <c r="J166" s="0" t="n">
        <f aca="false">IF(AND(D166&gt;=DATE(YEAR(D166),3,15),D166&lt;=DATE(YEAR(D166),6,10)),1,0)</f>
        <v>0</v>
      </c>
      <c r="K166" s="0" t="e">
        <f aca="false">VLOOKUP(D166,Festival_List!$A$2:$B$100,2,0)</f>
        <v>#N/A</v>
      </c>
      <c r="L166" s="0" t="n">
        <f aca="false">ROUND(((F166+G166)-(D166+E166))*24,0)</f>
        <v>24</v>
      </c>
      <c r="M166" s="0" t="n">
        <f aca="false">IF(OR(WEEKDAY(D166)=1,WEEKDAY(D166)=7),1,0)</f>
        <v>1</v>
      </c>
      <c r="N166" s="0" t="str">
        <f aca="false">IF(AND(MONTH(D166)&gt;=3,MONTH(D166)&lt;=6),"Summer",IF(AND(MONTH(D166)&gt;=7,MONTH(D166)&lt;=9),"Monsoon","Winter"))</f>
        <v>Summer</v>
      </c>
      <c r="O166" s="0" t="str">
        <f aca="false">IF(AND(L166&gt;=22,L166&lt;=25,E166&gt;=TIME(18,0,0)),"24H Night", IF(AND(L166&gt;=22,L166&lt;=25,E166&lt;TIME(18,0,0)),"24H Day", IF(AND(L166&gt;=11,L166&lt;=13,E166&gt;=TIME(18,0,0)),"12H Night", IF(AND(L166&gt;=11,L166&lt;=13,E166&lt;TIME(18,0,0)),"12H Day", IF(AND(L166&lt;10,E166&gt;=TIME(18,0,0)),"Couple Night", "Couple Day")))))</f>
        <v>24H Night</v>
      </c>
      <c r="P166" s="0" t="n">
        <f aca="false">WEEKDAY(D166,2)</f>
        <v>6</v>
      </c>
      <c r="Q166" s="0" t="n">
        <f aca="false">MONTH(D166)</f>
        <v>6</v>
      </c>
      <c r="R166" s="0" t="str">
        <f aca="false">"Q"&amp;ROUNDUP(MONTH(D166)/3,0)</f>
        <v>Q2</v>
      </c>
    </row>
    <row r="167" customFormat="false" ht="153.7" hidden="false" customHeight="false" outlineLevel="0" collapsed="false">
      <c r="A167" s="7" t="s">
        <v>535</v>
      </c>
      <c r="B167" s="7" t="s">
        <v>536</v>
      </c>
      <c r="C167" s="13" t="s">
        <v>537</v>
      </c>
      <c r="D167" s="11" t="n">
        <v>45474</v>
      </c>
      <c r="E167" s="12" t="n">
        <v>0.416666666700625</v>
      </c>
      <c r="F167" s="11" t="n">
        <v>45474</v>
      </c>
      <c r="G167" s="12" t="n">
        <v>0.875</v>
      </c>
      <c r="H167" s="10" t="n">
        <v>45851.356777662</v>
      </c>
      <c r="I167" s="7" t="n">
        <v>2500</v>
      </c>
      <c r="J167" s="0" t="n">
        <f aca="false">IF(AND(D167&gt;=DATE(YEAR(D167),3,15),D167&lt;=DATE(YEAR(D167),6,10)),1,0)</f>
        <v>0</v>
      </c>
      <c r="K167" s="0" t="e">
        <f aca="false">VLOOKUP(D167,Festival_List!$A$2:$B$100,2,0)</f>
        <v>#N/A</v>
      </c>
      <c r="L167" s="0" t="n">
        <f aca="false">ROUND(((F167+G167)-(D167+E167))*24,0)</f>
        <v>11</v>
      </c>
      <c r="M167" s="0" t="n">
        <f aca="false">IF(OR(WEEKDAY(D167)=1,WEEKDAY(D167)=7),1,0)</f>
        <v>0</v>
      </c>
      <c r="N167" s="0" t="str">
        <f aca="false">IF(AND(MONTH(D167)&gt;=3,MONTH(D167)&lt;=6),"Summer",IF(AND(MONTH(D167)&gt;=7,MONTH(D167)&lt;=9),"Monsoon","Winter"))</f>
        <v>Monsoon</v>
      </c>
      <c r="O167" s="0" t="str">
        <f aca="false">IF(AND(L167&gt;=22,L167&lt;=25,E167&gt;=TIME(18,0,0)),"24H Night", IF(AND(L167&gt;=22,L167&lt;=25,E167&lt;TIME(18,0,0)),"24H Day", IF(AND(L167&gt;=11,L167&lt;=13,E167&gt;=TIME(18,0,0)),"12H Night", IF(AND(L167&gt;=11,L167&lt;=13,E167&lt;TIME(18,0,0)),"12H Day", IF(AND(L167&lt;10,E167&gt;=TIME(18,0,0)),"Couple Night", "Couple Day")))))</f>
        <v>12H Day</v>
      </c>
      <c r="P167" s="0" t="n">
        <f aca="false">WEEKDAY(D167,2)</f>
        <v>1</v>
      </c>
      <c r="Q167" s="0" t="n">
        <f aca="false">MONTH(D167)</f>
        <v>7</v>
      </c>
      <c r="R167" s="0" t="str">
        <f aca="false">"Q"&amp;ROUNDUP(MONTH(D167)/3,0)</f>
        <v>Q3</v>
      </c>
    </row>
    <row r="168" customFormat="false" ht="153.7" hidden="false" customHeight="false" outlineLevel="0" collapsed="false">
      <c r="A168" s="7" t="s">
        <v>538</v>
      </c>
      <c r="B168" s="7" t="s">
        <v>539</v>
      </c>
      <c r="C168" s="13" t="s">
        <v>540</v>
      </c>
      <c r="D168" s="11" t="n">
        <v>45475</v>
      </c>
      <c r="E168" s="12" t="n">
        <v>0.333333333299375</v>
      </c>
      <c r="F168" s="11" t="n">
        <v>45475</v>
      </c>
      <c r="G168" s="12" t="n">
        <v>0.75</v>
      </c>
      <c r="H168" s="10" t="n">
        <v>45472.7470047454</v>
      </c>
      <c r="I168" s="7" t="n">
        <v>3000</v>
      </c>
      <c r="J168" s="0" t="n">
        <f aca="false">IF(AND(D168&gt;=DATE(YEAR(D168),3,15),D168&lt;=DATE(YEAR(D168),6,10)),1,0)</f>
        <v>0</v>
      </c>
      <c r="K168" s="0" t="e">
        <f aca="false">VLOOKUP(D168,Festival_List!$A$2:$B$100,2,0)</f>
        <v>#N/A</v>
      </c>
      <c r="L168" s="0" t="n">
        <f aca="false">ROUND(((F168+G168)-(D168+E168))*24,0)</f>
        <v>10</v>
      </c>
      <c r="M168" s="0" t="n">
        <f aca="false">IF(OR(WEEKDAY(D168)=1,WEEKDAY(D168)=7),1,0)</f>
        <v>0</v>
      </c>
      <c r="N168" s="0" t="str">
        <f aca="false">IF(AND(MONTH(D168)&gt;=3,MONTH(D168)&lt;=6),"Summer",IF(AND(MONTH(D168)&gt;=7,MONTH(D168)&lt;=9),"Monsoon","Winter"))</f>
        <v>Monsoon</v>
      </c>
      <c r="O168" s="0" t="str">
        <f aca="false">IF(AND(L168&gt;=22,L168&lt;=25,E168&gt;=TIME(18,0,0)),"24H Night", IF(AND(L168&gt;=22,L168&lt;=25,E168&lt;TIME(18,0,0)),"24H Day", IF(AND(L168&gt;=11,L168&lt;=13,E168&gt;=TIME(18,0,0)),"12H Night", IF(AND(L168&gt;=11,L168&lt;=13,E168&lt;TIME(18,0,0)),"12H Day", IF(AND(L168&lt;10,E168&gt;=TIME(18,0,0)),"Couple Night", "Couple Day")))))</f>
        <v>Couple Day</v>
      </c>
      <c r="P168" s="0" t="n">
        <f aca="false">WEEKDAY(D168,2)</f>
        <v>2</v>
      </c>
      <c r="Q168" s="0" t="n">
        <f aca="false">MONTH(D168)</f>
        <v>7</v>
      </c>
      <c r="R168" s="0" t="str">
        <f aca="false">"Q"&amp;ROUNDUP(MONTH(D168)/3,0)</f>
        <v>Q3</v>
      </c>
    </row>
    <row r="169" customFormat="false" ht="153.7" hidden="false" customHeight="false" outlineLevel="0" collapsed="false">
      <c r="A169" s="7" t="s">
        <v>541</v>
      </c>
      <c r="B169" s="7" t="s">
        <v>287</v>
      </c>
      <c r="C169" s="13" t="s">
        <v>542</v>
      </c>
      <c r="D169" s="11" t="n">
        <v>45476</v>
      </c>
      <c r="E169" s="12" t="n">
        <v>0.791666666700625</v>
      </c>
      <c r="F169" s="11" t="n">
        <v>45477</v>
      </c>
      <c r="G169" s="12" t="n">
        <v>0.75</v>
      </c>
      <c r="H169" s="10" t="n">
        <v>45477.6642193287</v>
      </c>
      <c r="I169" s="7" t="n">
        <v>3000</v>
      </c>
      <c r="J169" s="0" t="n">
        <f aca="false">IF(AND(D169&gt;=DATE(YEAR(D169),3,15),D169&lt;=DATE(YEAR(D169),6,10)),1,0)</f>
        <v>0</v>
      </c>
      <c r="K169" s="0" t="e">
        <f aca="false">VLOOKUP(D169,Festival_List!$A$2:$B$100,2,0)</f>
        <v>#N/A</v>
      </c>
      <c r="L169" s="0" t="n">
        <f aca="false">ROUND(((F169+G169)-(D169+E169))*24,0)</f>
        <v>23</v>
      </c>
      <c r="M169" s="0" t="n">
        <f aca="false">IF(OR(WEEKDAY(D169)=1,WEEKDAY(D169)=7),1,0)</f>
        <v>0</v>
      </c>
      <c r="N169" s="0" t="str">
        <f aca="false">IF(AND(MONTH(D169)&gt;=3,MONTH(D169)&lt;=6),"Summer",IF(AND(MONTH(D169)&gt;=7,MONTH(D169)&lt;=9),"Monsoon","Winter"))</f>
        <v>Monsoon</v>
      </c>
      <c r="O169" s="0" t="str">
        <f aca="false">IF(AND(L169&gt;=22,L169&lt;=25,E169&gt;=TIME(18,0,0)),"24H Night", IF(AND(L169&gt;=22,L169&lt;=25,E169&lt;TIME(18,0,0)),"24H Day", IF(AND(L169&gt;=11,L169&lt;=13,E169&gt;=TIME(18,0,0)),"12H Night", IF(AND(L169&gt;=11,L169&lt;=13,E169&lt;TIME(18,0,0)),"12H Day", IF(AND(L169&lt;10,E169&gt;=TIME(18,0,0)),"Couple Night", "Couple Day")))))</f>
        <v>24H Night</v>
      </c>
      <c r="P169" s="0" t="n">
        <f aca="false">WEEKDAY(D169,2)</f>
        <v>3</v>
      </c>
      <c r="Q169" s="0" t="n">
        <f aca="false">MONTH(D169)</f>
        <v>7</v>
      </c>
      <c r="R169" s="0" t="str">
        <f aca="false">"Q"&amp;ROUNDUP(MONTH(D169)/3,0)</f>
        <v>Q3</v>
      </c>
    </row>
    <row r="170" customFormat="false" ht="141" hidden="false" customHeight="false" outlineLevel="0" collapsed="false">
      <c r="A170" s="7" t="s">
        <v>543</v>
      </c>
      <c r="B170" s="7" t="s">
        <v>544</v>
      </c>
      <c r="C170" s="13" t="s">
        <v>545</v>
      </c>
      <c r="D170" s="11" t="n">
        <v>45478</v>
      </c>
      <c r="E170" s="12" t="n">
        <v>0.333333333299375</v>
      </c>
      <c r="F170" s="11" t="n">
        <v>45478</v>
      </c>
      <c r="G170" s="12" t="n">
        <v>0.708333333299375</v>
      </c>
      <c r="H170" s="10" t="n">
        <v>45467.4833490741</v>
      </c>
      <c r="I170" s="7" t="n">
        <v>2500</v>
      </c>
      <c r="J170" s="0" t="n">
        <f aca="false">IF(AND(D170&gt;=DATE(YEAR(D170),3,15),D170&lt;=DATE(YEAR(D170),6,10)),1,0)</f>
        <v>0</v>
      </c>
      <c r="K170" s="0" t="e">
        <f aca="false">VLOOKUP(D170,Festival_List!$A$2:$B$100,2,0)</f>
        <v>#N/A</v>
      </c>
      <c r="L170" s="0" t="n">
        <f aca="false">ROUND(((F170+G170)-(D170+E170))*24,0)</f>
        <v>9</v>
      </c>
      <c r="M170" s="0" t="n">
        <f aca="false">IF(OR(WEEKDAY(D170)=1,WEEKDAY(D170)=7),1,0)</f>
        <v>0</v>
      </c>
      <c r="N170" s="0" t="str">
        <f aca="false">IF(AND(MONTH(D170)&gt;=3,MONTH(D170)&lt;=6),"Summer",IF(AND(MONTH(D170)&gt;=7,MONTH(D170)&lt;=9),"Monsoon","Winter"))</f>
        <v>Monsoon</v>
      </c>
      <c r="O170" s="0" t="str">
        <f aca="false">IF(AND(L170&gt;=22,L170&lt;=25,E170&gt;=TIME(18,0,0)),"24H Night", IF(AND(L170&gt;=22,L170&lt;=25,E170&lt;TIME(18,0,0)),"24H Day", IF(AND(L170&gt;=11,L170&lt;=13,E170&gt;=TIME(18,0,0)),"12H Night", IF(AND(L170&gt;=11,L170&lt;=13,E170&lt;TIME(18,0,0)),"12H Day", IF(AND(L170&lt;10,E170&gt;=TIME(18,0,0)),"Couple Night", "Couple Day")))))</f>
        <v>Couple Day</v>
      </c>
      <c r="P170" s="0" t="n">
        <f aca="false">WEEKDAY(D170,2)</f>
        <v>5</v>
      </c>
      <c r="Q170" s="0" t="n">
        <f aca="false">MONTH(D170)</f>
        <v>7</v>
      </c>
      <c r="R170" s="0" t="str">
        <f aca="false">"Q"&amp;ROUNDUP(MONTH(D170)/3,0)</f>
        <v>Q3</v>
      </c>
    </row>
    <row r="171" customFormat="false" ht="153.7" hidden="false" customHeight="false" outlineLevel="0" collapsed="false">
      <c r="A171" s="7" t="s">
        <v>546</v>
      </c>
      <c r="B171" s="7" t="s">
        <v>547</v>
      </c>
      <c r="C171" s="13" t="s">
        <v>548</v>
      </c>
      <c r="D171" s="11" t="n">
        <v>45479</v>
      </c>
      <c r="E171" s="12" t="n">
        <v>0.791666666700625</v>
      </c>
      <c r="F171" s="11" t="n">
        <v>45480</v>
      </c>
      <c r="G171" s="12" t="n">
        <v>0.75</v>
      </c>
      <c r="H171" s="10" t="n">
        <v>45477.7955975694</v>
      </c>
      <c r="I171" s="7" t="n">
        <v>5500</v>
      </c>
      <c r="J171" s="0" t="n">
        <f aca="false">IF(AND(D171&gt;=DATE(YEAR(D171),3,15),D171&lt;=DATE(YEAR(D171),6,10)),1,0)</f>
        <v>0</v>
      </c>
      <c r="K171" s="0" t="e">
        <f aca="false">VLOOKUP(D171,Festival_List!$A$2:$B$100,2,0)</f>
        <v>#N/A</v>
      </c>
      <c r="L171" s="0" t="n">
        <f aca="false">ROUND(((F171+G171)-(D171+E171))*24,0)</f>
        <v>23</v>
      </c>
      <c r="M171" s="0" t="n">
        <f aca="false">IF(OR(WEEKDAY(D171)=1,WEEKDAY(D171)=7),1,0)</f>
        <v>1</v>
      </c>
      <c r="N171" s="0" t="str">
        <f aca="false">IF(AND(MONTH(D171)&gt;=3,MONTH(D171)&lt;=6),"Summer",IF(AND(MONTH(D171)&gt;=7,MONTH(D171)&lt;=9),"Monsoon","Winter"))</f>
        <v>Monsoon</v>
      </c>
      <c r="O171" s="0" t="str">
        <f aca="false">IF(AND(L171&gt;=22,L171&lt;=25,E171&gt;=TIME(18,0,0)),"24H Night", IF(AND(L171&gt;=22,L171&lt;=25,E171&lt;TIME(18,0,0)),"24H Day", IF(AND(L171&gt;=11,L171&lt;=13,E171&gt;=TIME(18,0,0)),"12H Night", IF(AND(L171&gt;=11,L171&lt;=13,E171&lt;TIME(18,0,0)),"12H Day", IF(AND(L171&lt;10,E171&gt;=TIME(18,0,0)),"Couple Night", "Couple Day")))))</f>
        <v>24H Night</v>
      </c>
      <c r="P171" s="0" t="n">
        <f aca="false">WEEKDAY(D171,2)</f>
        <v>6</v>
      </c>
      <c r="Q171" s="0" t="n">
        <f aca="false">MONTH(D171)</f>
        <v>7</v>
      </c>
      <c r="R171" s="0" t="str">
        <f aca="false">"Q"&amp;ROUNDUP(MONTH(D171)/3,0)</f>
        <v>Q3</v>
      </c>
    </row>
    <row r="172" customFormat="false" ht="153.7" hidden="false" customHeight="false" outlineLevel="0" collapsed="false">
      <c r="A172" s="7" t="s">
        <v>549</v>
      </c>
      <c r="B172" s="7" t="s">
        <v>550</v>
      </c>
      <c r="C172" s="13" t="s">
        <v>551</v>
      </c>
      <c r="D172" s="11" t="n">
        <v>45483</v>
      </c>
      <c r="E172" s="12" t="n">
        <v>0.291666666700625</v>
      </c>
      <c r="F172" s="11" t="n">
        <v>45483</v>
      </c>
      <c r="G172" s="12" t="n">
        <v>0.75</v>
      </c>
      <c r="H172" s="10" t="n">
        <v>45851.356777662</v>
      </c>
      <c r="I172" s="7" t="n">
        <v>2500</v>
      </c>
      <c r="J172" s="0" t="n">
        <f aca="false">IF(AND(D172&gt;=DATE(YEAR(D172),3,15),D172&lt;=DATE(YEAR(D172),6,10)),1,0)</f>
        <v>0</v>
      </c>
      <c r="K172" s="0" t="e">
        <f aca="false">VLOOKUP(D172,Festival_List!$A$2:$B$100,2,0)</f>
        <v>#N/A</v>
      </c>
      <c r="L172" s="0" t="n">
        <f aca="false">ROUND(((F172+G172)-(D172+E172))*24,0)</f>
        <v>11</v>
      </c>
      <c r="M172" s="0" t="n">
        <f aca="false">IF(OR(WEEKDAY(D172)=1,WEEKDAY(D172)=7),1,0)</f>
        <v>0</v>
      </c>
      <c r="N172" s="0" t="str">
        <f aca="false">IF(AND(MONTH(D172)&gt;=3,MONTH(D172)&lt;=6),"Summer",IF(AND(MONTH(D172)&gt;=7,MONTH(D172)&lt;=9),"Monsoon","Winter"))</f>
        <v>Monsoon</v>
      </c>
      <c r="O172" s="0" t="str">
        <f aca="false">IF(AND(L172&gt;=22,L172&lt;=25,E172&gt;=TIME(18,0,0)),"24H Night", IF(AND(L172&gt;=22,L172&lt;=25,E172&lt;TIME(18,0,0)),"24H Day", IF(AND(L172&gt;=11,L172&lt;=13,E172&gt;=TIME(18,0,0)),"12H Night", IF(AND(L172&gt;=11,L172&lt;=13,E172&lt;TIME(18,0,0)),"12H Day", IF(AND(L172&lt;10,E172&gt;=TIME(18,0,0)),"Couple Night", "Couple Day")))))</f>
        <v>12H Day</v>
      </c>
      <c r="P172" s="0" t="n">
        <f aca="false">WEEKDAY(D172,2)</f>
        <v>3</v>
      </c>
      <c r="Q172" s="0" t="n">
        <f aca="false">MONTH(D172)</f>
        <v>7</v>
      </c>
      <c r="R172" s="0" t="str">
        <f aca="false">"Q"&amp;ROUNDUP(MONTH(D172)/3,0)</f>
        <v>Q3</v>
      </c>
    </row>
    <row r="173" customFormat="false" ht="153.7" hidden="false" customHeight="false" outlineLevel="0" collapsed="false">
      <c r="A173" s="7" t="s">
        <v>552</v>
      </c>
      <c r="B173" s="7" t="s">
        <v>553</v>
      </c>
      <c r="C173" s="13" t="s">
        <v>554</v>
      </c>
      <c r="D173" s="11" t="n">
        <v>45484</v>
      </c>
      <c r="E173" s="12" t="n">
        <v>0.291666666700625</v>
      </c>
      <c r="F173" s="11" t="n">
        <v>45484</v>
      </c>
      <c r="G173" s="12" t="n">
        <v>0.75</v>
      </c>
      <c r="H173" s="10" t="n">
        <v>45482.7936113426</v>
      </c>
      <c r="I173" s="7" t="n">
        <v>2500</v>
      </c>
      <c r="J173" s="0" t="n">
        <f aca="false">IF(AND(D173&gt;=DATE(YEAR(D173),3,15),D173&lt;=DATE(YEAR(D173),6,10)),1,0)</f>
        <v>0</v>
      </c>
      <c r="K173" s="0" t="e">
        <f aca="false">VLOOKUP(D173,Festival_List!$A$2:$B$100,2,0)</f>
        <v>#N/A</v>
      </c>
      <c r="L173" s="0" t="n">
        <f aca="false">ROUND(((F173+G173)-(D173+E173))*24,0)</f>
        <v>11</v>
      </c>
      <c r="M173" s="0" t="n">
        <f aca="false">IF(OR(WEEKDAY(D173)=1,WEEKDAY(D173)=7),1,0)</f>
        <v>0</v>
      </c>
      <c r="N173" s="0" t="str">
        <f aca="false">IF(AND(MONTH(D173)&gt;=3,MONTH(D173)&lt;=6),"Summer",IF(AND(MONTH(D173)&gt;=7,MONTH(D173)&lt;=9),"Monsoon","Winter"))</f>
        <v>Monsoon</v>
      </c>
      <c r="O173" s="0" t="str">
        <f aca="false">IF(AND(L173&gt;=22,L173&lt;=25,E173&gt;=TIME(18,0,0)),"24H Night", IF(AND(L173&gt;=22,L173&lt;=25,E173&lt;TIME(18,0,0)),"24H Day", IF(AND(L173&gt;=11,L173&lt;=13,E173&gt;=TIME(18,0,0)),"12H Night", IF(AND(L173&gt;=11,L173&lt;=13,E173&lt;TIME(18,0,0)),"12H Day", IF(AND(L173&lt;10,E173&gt;=TIME(18,0,0)),"Couple Night", "Couple Day")))))</f>
        <v>12H Day</v>
      </c>
      <c r="P173" s="0" t="n">
        <f aca="false">WEEKDAY(D173,2)</f>
        <v>4</v>
      </c>
      <c r="Q173" s="0" t="n">
        <f aca="false">MONTH(D173)</f>
        <v>7</v>
      </c>
      <c r="R173" s="0" t="str">
        <f aca="false">"Q"&amp;ROUNDUP(MONTH(D173)/3,0)</f>
        <v>Q3</v>
      </c>
    </row>
    <row r="174" customFormat="false" ht="13.8" hidden="false" customHeight="false" outlineLevel="0" collapsed="false">
      <c r="A174" s="7" t="s">
        <v>555</v>
      </c>
      <c r="B174" s="7" t="s">
        <v>533</v>
      </c>
      <c r="C174" s="7" t="s">
        <v>511</v>
      </c>
      <c r="D174" s="11" t="n">
        <v>45484</v>
      </c>
      <c r="E174" s="12" t="n">
        <v>0.958333333299375</v>
      </c>
      <c r="F174" s="11" t="n">
        <v>45485</v>
      </c>
      <c r="G174" s="12" t="n">
        <v>0.458333333299375</v>
      </c>
      <c r="H174" s="10" t="n">
        <v>45725.4777640046</v>
      </c>
      <c r="I174" s="7" t="n">
        <v>2000</v>
      </c>
      <c r="J174" s="0" t="n">
        <f aca="false">IF(AND(D174&gt;=DATE(YEAR(D174),3,15),D174&lt;=DATE(YEAR(D174),6,10)),1,0)</f>
        <v>0</v>
      </c>
      <c r="K174" s="0" t="e">
        <f aca="false">VLOOKUP(D174,Festival_List!$A$2:$B$100,2,0)</f>
        <v>#N/A</v>
      </c>
      <c r="L174" s="0" t="n">
        <f aca="false">ROUND(((F174+G174)-(D174+E174))*24,0)</f>
        <v>12</v>
      </c>
      <c r="M174" s="0" t="n">
        <f aca="false">IF(OR(WEEKDAY(D174)=1,WEEKDAY(D174)=7),1,0)</f>
        <v>0</v>
      </c>
      <c r="N174" s="0" t="str">
        <f aca="false">IF(AND(MONTH(D174)&gt;=3,MONTH(D174)&lt;=6),"Summer",IF(AND(MONTH(D174)&gt;=7,MONTH(D174)&lt;=9),"Monsoon","Winter"))</f>
        <v>Monsoon</v>
      </c>
      <c r="O174" s="0" t="str">
        <f aca="false">IF(AND(L174&gt;=22,L174&lt;=25,E174&gt;=TIME(18,0,0)),"24H Night", IF(AND(L174&gt;=22,L174&lt;=25,E174&lt;TIME(18,0,0)),"24H Day", IF(AND(L174&gt;=11,L174&lt;=13,E174&gt;=TIME(18,0,0)),"12H Night", IF(AND(L174&gt;=11,L174&lt;=13,E174&lt;TIME(18,0,0)),"12H Day", IF(AND(L174&lt;10,E174&gt;=TIME(18,0,0)),"Couple Night", "Couple Day")))))</f>
        <v>12H Night</v>
      </c>
      <c r="P174" s="0" t="n">
        <f aca="false">WEEKDAY(D174,2)</f>
        <v>4</v>
      </c>
      <c r="Q174" s="0" t="n">
        <f aca="false">MONTH(D174)</f>
        <v>7</v>
      </c>
      <c r="R174" s="0" t="str">
        <f aca="false">"Q"&amp;ROUNDUP(MONTH(D174)/3,0)</f>
        <v>Q3</v>
      </c>
    </row>
    <row r="175" customFormat="false" ht="52.2" hidden="false" customHeight="false" outlineLevel="0" collapsed="false">
      <c r="A175" s="7" t="s">
        <v>556</v>
      </c>
      <c r="B175" s="7" t="s">
        <v>557</v>
      </c>
      <c r="C175" s="13" t="s">
        <v>558</v>
      </c>
      <c r="D175" s="11" t="n">
        <v>45486</v>
      </c>
      <c r="E175" s="12" t="n">
        <v>0.791666666700625</v>
      </c>
      <c r="F175" s="11" t="n">
        <v>45487</v>
      </c>
      <c r="G175" s="12" t="n">
        <v>0.75</v>
      </c>
      <c r="H175" s="10" t="n">
        <v>45489.7242612269</v>
      </c>
      <c r="I175" s="7" t="n">
        <v>4500</v>
      </c>
      <c r="J175" s="0" t="n">
        <f aca="false">IF(AND(D175&gt;=DATE(YEAR(D175),3,15),D175&lt;=DATE(YEAR(D175),6,10)),1,0)</f>
        <v>0</v>
      </c>
      <c r="K175" s="0" t="e">
        <f aca="false">VLOOKUP(D175,Festival_List!$A$2:$B$100,2,0)</f>
        <v>#N/A</v>
      </c>
      <c r="L175" s="0" t="n">
        <f aca="false">ROUND(((F175+G175)-(D175+E175))*24,0)</f>
        <v>23</v>
      </c>
      <c r="M175" s="0" t="n">
        <f aca="false">IF(OR(WEEKDAY(D175)=1,WEEKDAY(D175)=7),1,0)</f>
        <v>1</v>
      </c>
      <c r="N175" s="0" t="str">
        <f aca="false">IF(AND(MONTH(D175)&gt;=3,MONTH(D175)&lt;=6),"Summer",IF(AND(MONTH(D175)&gt;=7,MONTH(D175)&lt;=9),"Monsoon","Winter"))</f>
        <v>Monsoon</v>
      </c>
      <c r="O175" s="0" t="str">
        <f aca="false">IF(AND(L175&gt;=22,L175&lt;=25,E175&gt;=TIME(18,0,0)),"24H Night", IF(AND(L175&gt;=22,L175&lt;=25,E175&lt;TIME(18,0,0)),"24H Day", IF(AND(L175&gt;=11,L175&lt;=13,E175&gt;=TIME(18,0,0)),"12H Night", IF(AND(L175&gt;=11,L175&lt;=13,E175&lt;TIME(18,0,0)),"12H Day", IF(AND(L175&lt;10,E175&gt;=TIME(18,0,0)),"Couple Night", "Couple Day")))))</f>
        <v>24H Night</v>
      </c>
      <c r="P175" s="0" t="n">
        <f aca="false">WEEKDAY(D175,2)</f>
        <v>6</v>
      </c>
      <c r="Q175" s="0" t="n">
        <f aca="false">MONTH(D175)</f>
        <v>7</v>
      </c>
      <c r="R175" s="0" t="str">
        <f aca="false">"Q"&amp;ROUNDUP(MONTH(D175)/3,0)</f>
        <v>Q3</v>
      </c>
    </row>
    <row r="176" customFormat="false" ht="153.7" hidden="false" customHeight="false" outlineLevel="0" collapsed="false">
      <c r="A176" s="7" t="s">
        <v>559</v>
      </c>
      <c r="B176" s="7" t="s">
        <v>560</v>
      </c>
      <c r="C176" s="13" t="s">
        <v>561</v>
      </c>
      <c r="D176" s="11" t="n">
        <v>45490</v>
      </c>
      <c r="E176" s="12" t="n">
        <v>0.375</v>
      </c>
      <c r="F176" s="11" t="n">
        <v>45490</v>
      </c>
      <c r="G176" s="12" t="n">
        <v>0.75</v>
      </c>
      <c r="H176" s="10" t="n">
        <v>45489.855634838</v>
      </c>
      <c r="I176" s="7" t="n">
        <v>3000</v>
      </c>
      <c r="J176" s="0" t="n">
        <f aca="false">IF(AND(D176&gt;=DATE(YEAR(D176),3,15),D176&lt;=DATE(YEAR(D176),6,10)),1,0)</f>
        <v>0</v>
      </c>
      <c r="K176" s="0" t="str">
        <f aca="false">VLOOKUP(D176,Festival_List!$A$2:$B$100,2,0)</f>
        <v>Muharram</v>
      </c>
      <c r="L176" s="0" t="n">
        <f aca="false">ROUND(((F176+G176)-(D176+E176))*24,0)</f>
        <v>9</v>
      </c>
      <c r="M176" s="0" t="n">
        <f aca="false">IF(OR(WEEKDAY(D176)=1,WEEKDAY(D176)=7),1,0)</f>
        <v>0</v>
      </c>
      <c r="N176" s="0" t="str">
        <f aca="false">IF(AND(MONTH(D176)&gt;=3,MONTH(D176)&lt;=6),"Summer",IF(AND(MONTH(D176)&gt;=7,MONTH(D176)&lt;=9),"Monsoon","Winter"))</f>
        <v>Monsoon</v>
      </c>
      <c r="O176" s="0" t="str">
        <f aca="false">IF(AND(L176&gt;=22,L176&lt;=25,E176&gt;=TIME(18,0,0)),"24H Night", IF(AND(L176&gt;=22,L176&lt;=25,E176&lt;TIME(18,0,0)),"24H Day", IF(AND(L176&gt;=11,L176&lt;=13,E176&gt;=TIME(18,0,0)),"12H Night", IF(AND(L176&gt;=11,L176&lt;=13,E176&lt;TIME(18,0,0)),"12H Day", IF(AND(L176&lt;10,E176&gt;=TIME(18,0,0)),"Couple Night", "Couple Day")))))</f>
        <v>Couple Day</v>
      </c>
      <c r="P176" s="0" t="n">
        <f aca="false">WEEKDAY(D176,2)</f>
        <v>3</v>
      </c>
      <c r="Q176" s="0" t="n">
        <f aca="false">MONTH(D176)</f>
        <v>7</v>
      </c>
      <c r="R176" s="0" t="str">
        <f aca="false">"Q"&amp;ROUNDUP(MONTH(D176)/3,0)</f>
        <v>Q3</v>
      </c>
    </row>
    <row r="177" customFormat="false" ht="153.7" hidden="false" customHeight="false" outlineLevel="0" collapsed="false">
      <c r="A177" s="7" t="s">
        <v>562</v>
      </c>
      <c r="B177" s="7" t="s">
        <v>563</v>
      </c>
      <c r="C177" s="13" t="s">
        <v>564</v>
      </c>
      <c r="D177" s="11" t="n">
        <v>45491</v>
      </c>
      <c r="E177" s="12" t="n">
        <v>0.375</v>
      </c>
      <c r="F177" s="11" t="n">
        <v>45491</v>
      </c>
      <c r="G177" s="12" t="n">
        <v>0.75</v>
      </c>
      <c r="H177" s="10" t="n">
        <v>45491.3672627315</v>
      </c>
      <c r="I177" s="7" t="n">
        <v>2000</v>
      </c>
      <c r="J177" s="0" t="n">
        <f aca="false">IF(AND(D177&gt;=DATE(YEAR(D177),3,15),D177&lt;=DATE(YEAR(D177),6,10)),1,0)</f>
        <v>0</v>
      </c>
      <c r="K177" s="0" t="e">
        <f aca="false">VLOOKUP(D177,Festival_List!$A$2:$B$100,2,0)</f>
        <v>#N/A</v>
      </c>
      <c r="L177" s="0" t="n">
        <f aca="false">ROUND(((F177+G177)-(D177+E177))*24,0)</f>
        <v>9</v>
      </c>
      <c r="M177" s="0" t="n">
        <f aca="false">IF(OR(WEEKDAY(D177)=1,WEEKDAY(D177)=7),1,0)</f>
        <v>0</v>
      </c>
      <c r="N177" s="0" t="str">
        <f aca="false">IF(AND(MONTH(D177)&gt;=3,MONTH(D177)&lt;=6),"Summer",IF(AND(MONTH(D177)&gt;=7,MONTH(D177)&lt;=9),"Monsoon","Winter"))</f>
        <v>Monsoon</v>
      </c>
      <c r="O177" s="0" t="str">
        <f aca="false">IF(AND(L177&gt;=22,L177&lt;=25,E177&gt;=TIME(18,0,0)),"24H Night", IF(AND(L177&gt;=22,L177&lt;=25,E177&lt;TIME(18,0,0)),"24H Day", IF(AND(L177&gt;=11,L177&lt;=13,E177&gt;=TIME(18,0,0)),"12H Night", IF(AND(L177&gt;=11,L177&lt;=13,E177&lt;TIME(18,0,0)),"12H Day", IF(AND(L177&lt;10,E177&gt;=TIME(18,0,0)),"Couple Night", "Couple Day")))))</f>
        <v>Couple Day</v>
      </c>
      <c r="P177" s="0" t="n">
        <f aca="false">WEEKDAY(D177,2)</f>
        <v>4</v>
      </c>
      <c r="Q177" s="0" t="n">
        <f aca="false">MONTH(D177)</f>
        <v>7</v>
      </c>
      <c r="R177" s="0" t="str">
        <f aca="false">"Q"&amp;ROUNDUP(MONTH(D177)/3,0)</f>
        <v>Q3</v>
      </c>
    </row>
    <row r="178" customFormat="false" ht="153.7" hidden="false" customHeight="false" outlineLevel="0" collapsed="false">
      <c r="A178" s="7" t="s">
        <v>565</v>
      </c>
      <c r="B178" s="7" t="s">
        <v>566</v>
      </c>
      <c r="C178" s="13" t="s">
        <v>567</v>
      </c>
      <c r="D178" s="11" t="n">
        <v>45492</v>
      </c>
      <c r="E178" s="12" t="n">
        <v>0.333333333299375</v>
      </c>
      <c r="F178" s="11" t="n">
        <v>45492</v>
      </c>
      <c r="G178" s="12" t="n">
        <v>0.75</v>
      </c>
      <c r="H178" s="10" t="n">
        <v>45492.4495846065</v>
      </c>
      <c r="I178" s="7" t="n">
        <v>3000</v>
      </c>
      <c r="J178" s="0" t="n">
        <f aca="false">IF(AND(D178&gt;=DATE(YEAR(D178),3,15),D178&lt;=DATE(YEAR(D178),6,10)),1,0)</f>
        <v>0</v>
      </c>
      <c r="K178" s="0" t="e">
        <f aca="false">VLOOKUP(D178,Festival_List!$A$2:$B$100,2,0)</f>
        <v>#N/A</v>
      </c>
      <c r="L178" s="0" t="n">
        <f aca="false">ROUND(((F178+G178)-(D178+E178))*24,0)</f>
        <v>10</v>
      </c>
      <c r="M178" s="0" t="n">
        <f aca="false">IF(OR(WEEKDAY(D178)=1,WEEKDAY(D178)=7),1,0)</f>
        <v>0</v>
      </c>
      <c r="N178" s="0" t="str">
        <f aca="false">IF(AND(MONTH(D178)&gt;=3,MONTH(D178)&lt;=6),"Summer",IF(AND(MONTH(D178)&gt;=7,MONTH(D178)&lt;=9),"Monsoon","Winter"))</f>
        <v>Monsoon</v>
      </c>
      <c r="O178" s="0" t="str">
        <f aca="false">IF(AND(L178&gt;=22,L178&lt;=25,E178&gt;=TIME(18,0,0)),"24H Night", IF(AND(L178&gt;=22,L178&lt;=25,E178&lt;TIME(18,0,0)),"24H Day", IF(AND(L178&gt;=11,L178&lt;=13,E178&gt;=TIME(18,0,0)),"12H Night", IF(AND(L178&gt;=11,L178&lt;=13,E178&lt;TIME(18,0,0)),"12H Day", IF(AND(L178&lt;10,E178&gt;=TIME(18,0,0)),"Couple Night", "Couple Day")))))</f>
        <v>Couple Day</v>
      </c>
      <c r="P178" s="0" t="n">
        <f aca="false">WEEKDAY(D178,2)</f>
        <v>5</v>
      </c>
      <c r="Q178" s="0" t="n">
        <f aca="false">MONTH(D178)</f>
        <v>7</v>
      </c>
      <c r="R178" s="0" t="str">
        <f aca="false">"Q"&amp;ROUNDUP(MONTH(D178)/3,0)</f>
        <v>Q3</v>
      </c>
    </row>
    <row r="179" customFormat="false" ht="153.7" hidden="false" customHeight="false" outlineLevel="0" collapsed="false">
      <c r="A179" s="7" t="s">
        <v>568</v>
      </c>
      <c r="B179" s="7" t="s">
        <v>569</v>
      </c>
      <c r="C179" s="13" t="s">
        <v>570</v>
      </c>
      <c r="D179" s="11" t="n">
        <v>45497</v>
      </c>
      <c r="E179" s="12" t="n">
        <v>0.375</v>
      </c>
      <c r="F179" s="11" t="n">
        <v>45497</v>
      </c>
      <c r="G179" s="12" t="n">
        <v>0.75</v>
      </c>
      <c r="H179" s="10" t="n">
        <v>45495.3592376157</v>
      </c>
      <c r="I179" s="7" t="n">
        <v>2000</v>
      </c>
      <c r="J179" s="0" t="n">
        <f aca="false">IF(AND(D179&gt;=DATE(YEAR(D179),3,15),D179&lt;=DATE(YEAR(D179),6,10)),1,0)</f>
        <v>0</v>
      </c>
      <c r="K179" s="0" t="e">
        <f aca="false">VLOOKUP(D179,Festival_List!$A$2:$B$100,2,0)</f>
        <v>#N/A</v>
      </c>
      <c r="L179" s="0" t="n">
        <f aca="false">ROUND(((F179+G179)-(D179+E179))*24,0)</f>
        <v>9</v>
      </c>
      <c r="M179" s="0" t="n">
        <f aca="false">IF(OR(WEEKDAY(D179)=1,WEEKDAY(D179)=7),1,0)</f>
        <v>0</v>
      </c>
      <c r="N179" s="0" t="str">
        <f aca="false">IF(AND(MONTH(D179)&gt;=3,MONTH(D179)&lt;=6),"Summer",IF(AND(MONTH(D179)&gt;=7,MONTH(D179)&lt;=9),"Monsoon","Winter"))</f>
        <v>Monsoon</v>
      </c>
      <c r="O179" s="0" t="str">
        <f aca="false">IF(AND(L179&gt;=22,L179&lt;=25,E179&gt;=TIME(18,0,0)),"24H Night", IF(AND(L179&gt;=22,L179&lt;=25,E179&lt;TIME(18,0,0)),"24H Day", IF(AND(L179&gt;=11,L179&lt;=13,E179&gt;=TIME(18,0,0)),"12H Night", IF(AND(L179&gt;=11,L179&lt;=13,E179&lt;TIME(18,0,0)),"12H Day", IF(AND(L179&lt;10,E179&gt;=TIME(18,0,0)),"Couple Night", "Couple Day")))))</f>
        <v>Couple Day</v>
      </c>
      <c r="P179" s="0" t="n">
        <f aca="false">WEEKDAY(D179,2)</f>
        <v>3</v>
      </c>
      <c r="Q179" s="0" t="n">
        <f aca="false">MONTH(D179)</f>
        <v>7</v>
      </c>
      <c r="R179" s="0" t="str">
        <f aca="false">"Q"&amp;ROUNDUP(MONTH(D179)/3,0)</f>
        <v>Q3</v>
      </c>
    </row>
    <row r="180" customFormat="false" ht="153.7" hidden="false" customHeight="false" outlineLevel="0" collapsed="false">
      <c r="A180" s="7" t="s">
        <v>571</v>
      </c>
      <c r="B180" s="7" t="s">
        <v>572</v>
      </c>
      <c r="C180" s="13" t="s">
        <v>573</v>
      </c>
      <c r="D180" s="11" t="n">
        <v>45499</v>
      </c>
      <c r="E180" s="12" t="n">
        <v>0.416666666700625</v>
      </c>
      <c r="F180" s="11" t="n">
        <v>45499</v>
      </c>
      <c r="G180" s="12" t="n">
        <v>0.916666666700625</v>
      </c>
      <c r="H180" s="10" t="n">
        <v>45865.3883543981</v>
      </c>
      <c r="I180" s="7" t="n">
        <v>3500</v>
      </c>
      <c r="J180" s="0" t="n">
        <f aca="false">IF(AND(D180&gt;=DATE(YEAR(D180),3,15),D180&lt;=DATE(YEAR(D180),6,10)),1,0)</f>
        <v>0</v>
      </c>
      <c r="K180" s="0" t="e">
        <f aca="false">VLOOKUP(D180,Festival_List!$A$2:$B$100,2,0)</f>
        <v>#N/A</v>
      </c>
      <c r="L180" s="0" t="n">
        <f aca="false">ROUND(((F180+G180)-(D180+E180))*24,0)</f>
        <v>12</v>
      </c>
      <c r="M180" s="0" t="n">
        <f aca="false">IF(OR(WEEKDAY(D180)=1,WEEKDAY(D180)=7),1,0)</f>
        <v>0</v>
      </c>
      <c r="N180" s="0" t="str">
        <f aca="false">IF(AND(MONTH(D180)&gt;=3,MONTH(D180)&lt;=6),"Summer",IF(AND(MONTH(D180)&gt;=7,MONTH(D180)&lt;=9),"Monsoon","Winter"))</f>
        <v>Monsoon</v>
      </c>
      <c r="O180" s="0" t="str">
        <f aca="false">IF(AND(L180&gt;=22,L180&lt;=25,E180&gt;=TIME(18,0,0)),"24H Night", IF(AND(L180&gt;=22,L180&lt;=25,E180&lt;TIME(18,0,0)),"24H Day", IF(AND(L180&gt;=11,L180&lt;=13,E180&gt;=TIME(18,0,0)),"12H Night", IF(AND(L180&gt;=11,L180&lt;=13,E180&lt;TIME(18,0,0)),"12H Day", IF(AND(L180&lt;10,E180&gt;=TIME(18,0,0)),"Couple Night", "Couple Day")))))</f>
        <v>12H Day</v>
      </c>
      <c r="P180" s="0" t="n">
        <f aca="false">WEEKDAY(D180,2)</f>
        <v>5</v>
      </c>
      <c r="Q180" s="0" t="n">
        <f aca="false">MONTH(D180)</f>
        <v>7</v>
      </c>
      <c r="R180" s="0" t="str">
        <f aca="false">"Q"&amp;ROUNDUP(MONTH(D180)/3,0)</f>
        <v>Q3</v>
      </c>
    </row>
    <row r="181" customFormat="false" ht="179.1" hidden="false" customHeight="false" outlineLevel="0" collapsed="false">
      <c r="A181" s="7" t="s">
        <v>574</v>
      </c>
      <c r="B181" s="7" t="s">
        <v>575</v>
      </c>
      <c r="C181" s="13" t="s">
        <v>576</v>
      </c>
      <c r="D181" s="11" t="n">
        <v>45500</v>
      </c>
      <c r="E181" s="12" t="n">
        <v>0.375</v>
      </c>
      <c r="F181" s="11" t="n">
        <v>45500</v>
      </c>
      <c r="G181" s="12" t="n">
        <v>0.75</v>
      </c>
      <c r="H181" s="10" t="n">
        <v>45500.4297081018</v>
      </c>
      <c r="I181" s="7" t="n">
        <v>2500</v>
      </c>
      <c r="J181" s="0" t="n">
        <f aca="false">IF(AND(D181&gt;=DATE(YEAR(D181),3,15),D181&lt;=DATE(YEAR(D181),6,10)),1,0)</f>
        <v>0</v>
      </c>
      <c r="K181" s="0" t="e">
        <f aca="false">VLOOKUP(D181,Festival_List!$A$2:$B$100,2,0)</f>
        <v>#N/A</v>
      </c>
      <c r="L181" s="0" t="n">
        <f aca="false">ROUND(((F181+G181)-(D181+E181))*24,0)</f>
        <v>9</v>
      </c>
      <c r="M181" s="0" t="n">
        <f aca="false">IF(OR(WEEKDAY(D181)=1,WEEKDAY(D181)=7),1,0)</f>
        <v>1</v>
      </c>
      <c r="N181" s="0" t="str">
        <f aca="false">IF(AND(MONTH(D181)&gt;=3,MONTH(D181)&lt;=6),"Summer",IF(AND(MONTH(D181)&gt;=7,MONTH(D181)&lt;=9),"Monsoon","Winter"))</f>
        <v>Monsoon</v>
      </c>
      <c r="O181" s="0" t="str">
        <f aca="false">IF(AND(L181&gt;=22,L181&lt;=25,E181&gt;=TIME(18,0,0)),"24H Night", IF(AND(L181&gt;=22,L181&lt;=25,E181&lt;TIME(18,0,0)),"24H Day", IF(AND(L181&gt;=11,L181&lt;=13,E181&gt;=TIME(18,0,0)),"12H Night", IF(AND(L181&gt;=11,L181&lt;=13,E181&lt;TIME(18,0,0)),"12H Day", IF(AND(L181&lt;10,E181&gt;=TIME(18,0,0)),"Couple Night", "Couple Day")))))</f>
        <v>Couple Day</v>
      </c>
      <c r="P181" s="0" t="n">
        <f aca="false">WEEKDAY(D181,2)</f>
        <v>6</v>
      </c>
      <c r="Q181" s="0" t="n">
        <f aca="false">MONTH(D181)</f>
        <v>7</v>
      </c>
      <c r="R181" s="0" t="str">
        <f aca="false">"Q"&amp;ROUNDUP(MONTH(D181)/3,0)</f>
        <v>Q3</v>
      </c>
    </row>
    <row r="182" customFormat="false" ht="153.7" hidden="false" customHeight="false" outlineLevel="0" collapsed="false">
      <c r="A182" s="7" t="s">
        <v>577</v>
      </c>
      <c r="B182" s="7" t="s">
        <v>311</v>
      </c>
      <c r="C182" s="13" t="s">
        <v>578</v>
      </c>
      <c r="D182" s="11" t="n">
        <v>45500</v>
      </c>
      <c r="E182" s="12" t="n">
        <v>0.791666666700625</v>
      </c>
      <c r="F182" s="11" t="n">
        <v>45501</v>
      </c>
      <c r="G182" s="12" t="n">
        <v>0.75</v>
      </c>
      <c r="H182" s="10" t="n">
        <v>45879.0244480324</v>
      </c>
      <c r="I182" s="7" t="n">
        <v>5000</v>
      </c>
      <c r="J182" s="0" t="n">
        <f aca="false">IF(AND(D182&gt;=DATE(YEAR(D182),3,15),D182&lt;=DATE(YEAR(D182),6,10)),1,0)</f>
        <v>0</v>
      </c>
      <c r="K182" s="0" t="e">
        <f aca="false">VLOOKUP(D182,Festival_List!$A$2:$B$100,2,0)</f>
        <v>#N/A</v>
      </c>
      <c r="L182" s="0" t="n">
        <f aca="false">ROUND(((F182+G182)-(D182+E182))*24,0)</f>
        <v>23</v>
      </c>
      <c r="M182" s="0" t="n">
        <f aca="false">IF(OR(WEEKDAY(D182)=1,WEEKDAY(D182)=7),1,0)</f>
        <v>1</v>
      </c>
      <c r="N182" s="0" t="str">
        <f aca="false">IF(AND(MONTH(D182)&gt;=3,MONTH(D182)&lt;=6),"Summer",IF(AND(MONTH(D182)&gt;=7,MONTH(D182)&lt;=9),"Monsoon","Winter"))</f>
        <v>Monsoon</v>
      </c>
      <c r="O182" s="0" t="str">
        <f aca="false">IF(AND(L182&gt;=22,L182&lt;=25,E182&gt;=TIME(18,0,0)),"24H Night", IF(AND(L182&gt;=22,L182&lt;=25,E182&lt;TIME(18,0,0)),"24H Day", IF(AND(L182&gt;=11,L182&lt;=13,E182&gt;=TIME(18,0,0)),"12H Night", IF(AND(L182&gt;=11,L182&lt;=13,E182&lt;TIME(18,0,0)),"12H Day", IF(AND(L182&lt;10,E182&gt;=TIME(18,0,0)),"Couple Night", "Couple Day")))))</f>
        <v>24H Night</v>
      </c>
      <c r="P182" s="0" t="n">
        <f aca="false">WEEKDAY(D182,2)</f>
        <v>6</v>
      </c>
      <c r="Q182" s="0" t="n">
        <f aca="false">MONTH(D182)</f>
        <v>7</v>
      </c>
      <c r="R182" s="0" t="str">
        <f aca="false">"Q"&amp;ROUNDUP(MONTH(D182)/3,0)</f>
        <v>Q3</v>
      </c>
    </row>
    <row r="183" customFormat="false" ht="13.8" hidden="false" customHeight="false" outlineLevel="0" collapsed="false">
      <c r="A183" s="7" t="s">
        <v>579</v>
      </c>
      <c r="B183" s="7" t="s">
        <v>487</v>
      </c>
      <c r="C183" s="7" t="s">
        <v>580</v>
      </c>
      <c r="D183" s="11" t="n">
        <v>45502</v>
      </c>
      <c r="E183" s="12" t="n">
        <v>0.541666666700625</v>
      </c>
      <c r="F183" s="11" t="n">
        <v>45502</v>
      </c>
      <c r="G183" s="12" t="n">
        <v>0.75</v>
      </c>
      <c r="H183" s="10" t="n">
        <v>45725.4780189815</v>
      </c>
      <c r="I183" s="7" t="n">
        <v>1000</v>
      </c>
      <c r="J183" s="0" t="n">
        <f aca="false">IF(AND(D183&gt;=DATE(YEAR(D183),3,15),D183&lt;=DATE(YEAR(D183),6,10)),1,0)</f>
        <v>0</v>
      </c>
      <c r="K183" s="0" t="e">
        <f aca="false">VLOOKUP(D183,Festival_List!$A$2:$B$100,2,0)</f>
        <v>#N/A</v>
      </c>
      <c r="L183" s="0" t="n">
        <f aca="false">ROUND(((F183+G183)-(D183+E183))*24,0)</f>
        <v>5</v>
      </c>
      <c r="M183" s="0" t="n">
        <f aca="false">IF(OR(WEEKDAY(D183)=1,WEEKDAY(D183)=7),1,0)</f>
        <v>0</v>
      </c>
      <c r="N183" s="0" t="str">
        <f aca="false">IF(AND(MONTH(D183)&gt;=3,MONTH(D183)&lt;=6),"Summer",IF(AND(MONTH(D183)&gt;=7,MONTH(D183)&lt;=9),"Monsoon","Winter"))</f>
        <v>Monsoon</v>
      </c>
      <c r="O183" s="0" t="str">
        <f aca="false">IF(AND(L183&gt;=22,L183&lt;=25,E183&gt;=TIME(18,0,0)),"24H Night", IF(AND(L183&gt;=22,L183&lt;=25,E183&lt;TIME(18,0,0)),"24H Day", IF(AND(L183&gt;=11,L183&lt;=13,E183&gt;=TIME(18,0,0)),"12H Night", IF(AND(L183&gt;=11,L183&lt;=13,E183&lt;TIME(18,0,0)),"12H Day", IF(AND(L183&lt;10,E183&gt;=TIME(18,0,0)),"Couple Night", "Couple Day")))))</f>
        <v>Couple Day</v>
      </c>
      <c r="P183" s="0" t="n">
        <f aca="false">WEEKDAY(D183,2)</f>
        <v>1</v>
      </c>
      <c r="Q183" s="0" t="n">
        <f aca="false">MONTH(D183)</f>
        <v>7</v>
      </c>
      <c r="R183" s="0" t="str">
        <f aca="false">"Q"&amp;ROUNDUP(MONTH(D183)/3,0)</f>
        <v>Q3</v>
      </c>
    </row>
    <row r="184" customFormat="false" ht="90.25" hidden="false" customHeight="false" outlineLevel="0" collapsed="false">
      <c r="A184" s="7" t="s">
        <v>581</v>
      </c>
      <c r="B184" s="7" t="s">
        <v>582</v>
      </c>
      <c r="C184" s="13" t="s">
        <v>583</v>
      </c>
      <c r="D184" s="11" t="n">
        <v>45503</v>
      </c>
      <c r="E184" s="12" t="n">
        <v>0.333333333299375</v>
      </c>
      <c r="F184" s="11" t="n">
        <v>45503</v>
      </c>
      <c r="G184" s="12" t="n">
        <v>0.75</v>
      </c>
      <c r="H184" s="10" t="n">
        <v>45503.6310987269</v>
      </c>
      <c r="I184" s="7" t="n">
        <v>1500</v>
      </c>
      <c r="J184" s="0" t="n">
        <f aca="false">IF(AND(D184&gt;=DATE(YEAR(D184),3,15),D184&lt;=DATE(YEAR(D184),6,10)),1,0)</f>
        <v>0</v>
      </c>
      <c r="K184" s="0" t="e">
        <f aca="false">VLOOKUP(D184,Festival_List!$A$2:$B$100,2,0)</f>
        <v>#N/A</v>
      </c>
      <c r="L184" s="0" t="n">
        <f aca="false">ROUND(((F184+G184)-(D184+E184))*24,0)</f>
        <v>10</v>
      </c>
      <c r="M184" s="0" t="n">
        <f aca="false">IF(OR(WEEKDAY(D184)=1,WEEKDAY(D184)=7),1,0)</f>
        <v>0</v>
      </c>
      <c r="N184" s="0" t="str">
        <f aca="false">IF(AND(MONTH(D184)&gt;=3,MONTH(D184)&lt;=6),"Summer",IF(AND(MONTH(D184)&gt;=7,MONTH(D184)&lt;=9),"Monsoon","Winter"))</f>
        <v>Monsoon</v>
      </c>
      <c r="O184" s="0" t="str">
        <f aca="false">IF(AND(L184&gt;=22,L184&lt;=25,E184&gt;=TIME(18,0,0)),"24H Night", IF(AND(L184&gt;=22,L184&lt;=25,E184&lt;TIME(18,0,0)),"24H Day", IF(AND(L184&gt;=11,L184&lt;=13,E184&gt;=TIME(18,0,0)),"12H Night", IF(AND(L184&gt;=11,L184&lt;=13,E184&lt;TIME(18,0,0)),"12H Day", IF(AND(L184&lt;10,E184&gt;=TIME(18,0,0)),"Couple Night", "Couple Day")))))</f>
        <v>Couple Day</v>
      </c>
      <c r="P184" s="0" t="n">
        <f aca="false">WEEKDAY(D184,2)</f>
        <v>2</v>
      </c>
      <c r="Q184" s="0" t="n">
        <f aca="false">MONTH(D184)</f>
        <v>7</v>
      </c>
      <c r="R184" s="0" t="str">
        <f aca="false">"Q"&amp;ROUNDUP(MONTH(D184)/3,0)</f>
        <v>Q3</v>
      </c>
    </row>
    <row r="185" customFormat="false" ht="153.7" hidden="false" customHeight="false" outlineLevel="0" collapsed="false">
      <c r="A185" s="7" t="s">
        <v>584</v>
      </c>
      <c r="B185" s="7" t="s">
        <v>539</v>
      </c>
      <c r="C185" s="13" t="s">
        <v>585</v>
      </c>
      <c r="D185" s="11" t="n">
        <v>45504</v>
      </c>
      <c r="E185" s="12" t="n">
        <v>0.791666666700625</v>
      </c>
      <c r="F185" s="11" t="n">
        <v>45505</v>
      </c>
      <c r="G185" s="12" t="n">
        <v>0.25</v>
      </c>
      <c r="H185" s="10" t="n">
        <v>45504.8248350694</v>
      </c>
      <c r="I185" s="7" t="n">
        <v>2000</v>
      </c>
      <c r="J185" s="0" t="n">
        <f aca="false">IF(AND(D185&gt;=DATE(YEAR(D185),3,15),D185&lt;=DATE(YEAR(D185),6,10)),1,0)</f>
        <v>0</v>
      </c>
      <c r="K185" s="0" t="e">
        <f aca="false">VLOOKUP(D185,Festival_List!$A$2:$B$100,2,0)</f>
        <v>#N/A</v>
      </c>
      <c r="L185" s="0" t="n">
        <f aca="false">ROUND(((F185+G185)-(D185+E185))*24,0)</f>
        <v>11</v>
      </c>
      <c r="M185" s="0" t="n">
        <f aca="false">IF(OR(WEEKDAY(D185)=1,WEEKDAY(D185)=7),1,0)</f>
        <v>0</v>
      </c>
      <c r="N185" s="0" t="str">
        <f aca="false">IF(AND(MONTH(D185)&gt;=3,MONTH(D185)&lt;=6),"Summer",IF(AND(MONTH(D185)&gt;=7,MONTH(D185)&lt;=9),"Monsoon","Winter"))</f>
        <v>Monsoon</v>
      </c>
      <c r="O185" s="0" t="str">
        <f aca="false">IF(AND(L185&gt;=22,L185&lt;=25,E185&gt;=TIME(18,0,0)),"24H Night", IF(AND(L185&gt;=22,L185&lt;=25,E185&lt;TIME(18,0,0)),"24H Day", IF(AND(L185&gt;=11,L185&lt;=13,E185&gt;=TIME(18,0,0)),"12H Night", IF(AND(L185&gt;=11,L185&lt;=13,E185&lt;TIME(18,0,0)),"12H Day", IF(AND(L185&lt;10,E185&gt;=TIME(18,0,0)),"Couple Night", "Couple Day")))))</f>
        <v>12H Night</v>
      </c>
      <c r="P185" s="0" t="n">
        <f aca="false">WEEKDAY(D185,2)</f>
        <v>3</v>
      </c>
      <c r="Q185" s="0" t="n">
        <f aca="false">MONTH(D185)</f>
        <v>7</v>
      </c>
      <c r="R185" s="0" t="str">
        <f aca="false">"Q"&amp;ROUNDUP(MONTH(D185)/3,0)</f>
        <v>Q3</v>
      </c>
    </row>
    <row r="186" customFormat="false" ht="153.7" hidden="false" customHeight="false" outlineLevel="0" collapsed="false">
      <c r="A186" s="7" t="s">
        <v>586</v>
      </c>
      <c r="B186" s="7" t="s">
        <v>536</v>
      </c>
      <c r="C186" s="13" t="s">
        <v>587</v>
      </c>
      <c r="D186" s="11" t="n">
        <v>45505</v>
      </c>
      <c r="E186" s="12" t="n">
        <v>0.333333333299375</v>
      </c>
      <c r="F186" s="11" t="n">
        <v>45505</v>
      </c>
      <c r="G186" s="12" t="n">
        <v>0.75</v>
      </c>
      <c r="H186" s="10" t="n">
        <v>45500.6185157407</v>
      </c>
      <c r="I186" s="7" t="n">
        <v>2500</v>
      </c>
      <c r="J186" s="0" t="n">
        <f aca="false">IF(AND(D186&gt;=DATE(YEAR(D186),3,15),D186&lt;=DATE(YEAR(D186),6,10)),1,0)</f>
        <v>0</v>
      </c>
      <c r="K186" s="0" t="e">
        <f aca="false">VLOOKUP(D186,Festival_List!$A$2:$B$100,2,0)</f>
        <v>#N/A</v>
      </c>
      <c r="L186" s="0" t="n">
        <f aca="false">ROUND(((F186+G186)-(D186+E186))*24,0)</f>
        <v>10</v>
      </c>
      <c r="M186" s="0" t="n">
        <f aca="false">IF(OR(WEEKDAY(D186)=1,WEEKDAY(D186)=7),1,0)</f>
        <v>0</v>
      </c>
      <c r="N186" s="0" t="str">
        <f aca="false">IF(AND(MONTH(D186)&gt;=3,MONTH(D186)&lt;=6),"Summer",IF(AND(MONTH(D186)&gt;=7,MONTH(D186)&lt;=9),"Monsoon","Winter"))</f>
        <v>Monsoon</v>
      </c>
      <c r="O186" s="0" t="str">
        <f aca="false">IF(AND(L186&gt;=22,L186&lt;=25,E186&gt;=TIME(18,0,0)),"24H Night", IF(AND(L186&gt;=22,L186&lt;=25,E186&lt;TIME(18,0,0)),"24H Day", IF(AND(L186&gt;=11,L186&lt;=13,E186&gt;=TIME(18,0,0)),"12H Night", IF(AND(L186&gt;=11,L186&lt;=13,E186&lt;TIME(18,0,0)),"12H Day", IF(AND(L186&lt;10,E186&gt;=TIME(18,0,0)),"Couple Night", "Couple Day")))))</f>
        <v>Couple Day</v>
      </c>
      <c r="P186" s="0" t="n">
        <f aca="false">WEEKDAY(D186,2)</f>
        <v>4</v>
      </c>
      <c r="Q186" s="0" t="n">
        <f aca="false">MONTH(D186)</f>
        <v>8</v>
      </c>
      <c r="R186" s="0" t="str">
        <f aca="false">"Q"&amp;ROUNDUP(MONTH(D186)/3,0)</f>
        <v>Q3</v>
      </c>
    </row>
    <row r="187" customFormat="false" ht="13.8" hidden="false" customHeight="false" outlineLevel="0" collapsed="false">
      <c r="A187" s="7" t="s">
        <v>588</v>
      </c>
      <c r="B187" s="7" t="s">
        <v>487</v>
      </c>
      <c r="C187" s="7" t="s">
        <v>589</v>
      </c>
      <c r="D187" s="11" t="n">
        <v>45505</v>
      </c>
      <c r="E187" s="12" t="n">
        <v>0.791666666700625</v>
      </c>
      <c r="F187" s="11" t="n">
        <v>45506</v>
      </c>
      <c r="G187" s="12" t="n">
        <v>0.291666666700625</v>
      </c>
      <c r="H187" s="10" t="n">
        <v>45725.4782289352</v>
      </c>
      <c r="I187" s="7" t="n">
        <v>1500</v>
      </c>
      <c r="J187" s="0" t="n">
        <f aca="false">IF(AND(D187&gt;=DATE(YEAR(D187),3,15),D187&lt;=DATE(YEAR(D187),6,10)),1,0)</f>
        <v>0</v>
      </c>
      <c r="K187" s="0" t="e">
        <f aca="false">VLOOKUP(D187,Festival_List!$A$2:$B$100,2,0)</f>
        <v>#N/A</v>
      </c>
      <c r="L187" s="0" t="n">
        <f aca="false">ROUND(((F187+G187)-(D187+E187))*24,0)</f>
        <v>12</v>
      </c>
      <c r="M187" s="0" t="n">
        <f aca="false">IF(OR(WEEKDAY(D187)=1,WEEKDAY(D187)=7),1,0)</f>
        <v>0</v>
      </c>
      <c r="N187" s="0" t="str">
        <f aca="false">IF(AND(MONTH(D187)&gt;=3,MONTH(D187)&lt;=6),"Summer",IF(AND(MONTH(D187)&gt;=7,MONTH(D187)&lt;=9),"Monsoon","Winter"))</f>
        <v>Monsoon</v>
      </c>
      <c r="O187" s="0" t="str">
        <f aca="false">IF(AND(L187&gt;=22,L187&lt;=25,E187&gt;=TIME(18,0,0)),"24H Night", IF(AND(L187&gt;=22,L187&lt;=25,E187&lt;TIME(18,0,0)),"24H Day", IF(AND(L187&gt;=11,L187&lt;=13,E187&gt;=TIME(18,0,0)),"12H Night", IF(AND(L187&gt;=11,L187&lt;=13,E187&lt;TIME(18,0,0)),"12H Day", IF(AND(L187&lt;10,E187&gt;=TIME(18,0,0)),"Couple Night", "Couple Day")))))</f>
        <v>12H Night</v>
      </c>
      <c r="P187" s="0" t="n">
        <f aca="false">WEEKDAY(D187,2)</f>
        <v>4</v>
      </c>
      <c r="Q187" s="0" t="n">
        <f aca="false">MONTH(D187)</f>
        <v>8</v>
      </c>
      <c r="R187" s="0" t="str">
        <f aca="false">"Q"&amp;ROUNDUP(MONTH(D187)/3,0)</f>
        <v>Q3</v>
      </c>
    </row>
    <row r="188" customFormat="false" ht="153.7" hidden="false" customHeight="false" outlineLevel="0" collapsed="false">
      <c r="A188" s="7" t="s">
        <v>590</v>
      </c>
      <c r="B188" s="7" t="s">
        <v>539</v>
      </c>
      <c r="C188" s="13" t="s">
        <v>591</v>
      </c>
      <c r="D188" s="11" t="n">
        <v>45507</v>
      </c>
      <c r="E188" s="12" t="n">
        <v>0.333333333299375</v>
      </c>
      <c r="F188" s="11" t="n">
        <v>45507</v>
      </c>
      <c r="G188" s="12" t="n">
        <v>0.75</v>
      </c>
      <c r="H188" s="10" t="n">
        <v>45505.8576418981</v>
      </c>
      <c r="I188" s="7" t="n">
        <v>3000</v>
      </c>
      <c r="J188" s="0" t="n">
        <f aca="false">IF(AND(D188&gt;=DATE(YEAR(D188),3,15),D188&lt;=DATE(YEAR(D188),6,10)),1,0)</f>
        <v>0</v>
      </c>
      <c r="K188" s="0" t="e">
        <f aca="false">VLOOKUP(D188,Festival_List!$A$2:$B$100,2,0)</f>
        <v>#N/A</v>
      </c>
      <c r="L188" s="0" t="n">
        <f aca="false">ROUND(((F188+G188)-(D188+E188))*24,0)</f>
        <v>10</v>
      </c>
      <c r="M188" s="0" t="n">
        <f aca="false">IF(OR(WEEKDAY(D188)=1,WEEKDAY(D188)=7),1,0)</f>
        <v>1</v>
      </c>
      <c r="N188" s="0" t="str">
        <f aca="false">IF(AND(MONTH(D188)&gt;=3,MONTH(D188)&lt;=6),"Summer",IF(AND(MONTH(D188)&gt;=7,MONTH(D188)&lt;=9),"Monsoon","Winter"))</f>
        <v>Monsoon</v>
      </c>
      <c r="O188" s="0" t="str">
        <f aca="false">IF(AND(L188&gt;=22,L188&lt;=25,E188&gt;=TIME(18,0,0)),"24H Night", IF(AND(L188&gt;=22,L188&lt;=25,E188&lt;TIME(18,0,0)),"24H Day", IF(AND(L188&gt;=11,L188&lt;=13,E188&gt;=TIME(18,0,0)),"12H Night", IF(AND(L188&gt;=11,L188&lt;=13,E188&lt;TIME(18,0,0)),"12H Day", IF(AND(L188&lt;10,E188&gt;=TIME(18,0,0)),"Couple Night", "Couple Day")))))</f>
        <v>Couple Day</v>
      </c>
      <c r="P188" s="0" t="n">
        <f aca="false">WEEKDAY(D188,2)</f>
        <v>6</v>
      </c>
      <c r="Q188" s="0" t="n">
        <f aca="false">MONTH(D188)</f>
        <v>8</v>
      </c>
      <c r="R188" s="0" t="str">
        <f aca="false">"Q"&amp;ROUNDUP(MONTH(D188)/3,0)</f>
        <v>Q3</v>
      </c>
    </row>
    <row r="189" customFormat="false" ht="179.1" hidden="false" customHeight="false" outlineLevel="0" collapsed="false">
      <c r="A189" s="7" t="s">
        <v>592</v>
      </c>
      <c r="B189" s="7" t="s">
        <v>593</v>
      </c>
      <c r="C189" s="13" t="s">
        <v>594</v>
      </c>
      <c r="D189" s="11" t="n">
        <v>45507</v>
      </c>
      <c r="E189" s="12" t="n">
        <v>0.791666666700625</v>
      </c>
      <c r="F189" s="11" t="n">
        <v>45508</v>
      </c>
      <c r="G189" s="12" t="n">
        <v>0.75</v>
      </c>
      <c r="H189" s="10" t="n">
        <v>45508.6474638889</v>
      </c>
      <c r="I189" s="7" t="n">
        <v>3000</v>
      </c>
      <c r="J189" s="0" t="n">
        <f aca="false">IF(AND(D189&gt;=DATE(YEAR(D189),3,15),D189&lt;=DATE(YEAR(D189),6,10)),1,0)</f>
        <v>0</v>
      </c>
      <c r="K189" s="0" t="e">
        <f aca="false">VLOOKUP(D189,Festival_List!$A$2:$B$100,2,0)</f>
        <v>#N/A</v>
      </c>
      <c r="L189" s="0" t="n">
        <f aca="false">ROUND(((F189+G189)-(D189+E189))*24,0)</f>
        <v>23</v>
      </c>
      <c r="M189" s="0" t="n">
        <f aca="false">IF(OR(WEEKDAY(D189)=1,WEEKDAY(D189)=7),1,0)</f>
        <v>1</v>
      </c>
      <c r="N189" s="0" t="str">
        <f aca="false">IF(AND(MONTH(D189)&gt;=3,MONTH(D189)&lt;=6),"Summer",IF(AND(MONTH(D189)&gt;=7,MONTH(D189)&lt;=9),"Monsoon","Winter"))</f>
        <v>Monsoon</v>
      </c>
      <c r="O189" s="0" t="str">
        <f aca="false">IF(AND(L189&gt;=22,L189&lt;=25,E189&gt;=TIME(18,0,0)),"24H Night", IF(AND(L189&gt;=22,L189&lt;=25,E189&lt;TIME(18,0,0)),"24H Day", IF(AND(L189&gt;=11,L189&lt;=13,E189&gt;=TIME(18,0,0)),"12H Night", IF(AND(L189&gt;=11,L189&lt;=13,E189&lt;TIME(18,0,0)),"12H Day", IF(AND(L189&lt;10,E189&gt;=TIME(18,0,0)),"Couple Night", "Couple Day")))))</f>
        <v>24H Night</v>
      </c>
      <c r="P189" s="0" t="n">
        <f aca="false">WEEKDAY(D189,2)</f>
        <v>6</v>
      </c>
      <c r="Q189" s="0" t="n">
        <f aca="false">MONTH(D189)</f>
        <v>8</v>
      </c>
      <c r="R189" s="0" t="str">
        <f aca="false">"Q"&amp;ROUNDUP(MONTH(D189)/3,0)</f>
        <v>Q3</v>
      </c>
    </row>
    <row r="190" customFormat="false" ht="13.8" hidden="false" customHeight="false" outlineLevel="0" collapsed="false">
      <c r="A190" s="7" t="s">
        <v>595</v>
      </c>
      <c r="B190" s="7" t="s">
        <v>596</v>
      </c>
      <c r="C190" s="7" t="s">
        <v>444</v>
      </c>
      <c r="D190" s="11" t="n">
        <v>45510</v>
      </c>
      <c r="E190" s="12" t="n">
        <v>0.458333333299375</v>
      </c>
      <c r="F190" s="11" t="n">
        <v>45511</v>
      </c>
      <c r="G190" s="12" t="n">
        <v>0.458333333299375</v>
      </c>
      <c r="H190" s="10" t="n">
        <v>45725.4784056713</v>
      </c>
      <c r="I190" s="7" t="n">
        <v>3000</v>
      </c>
      <c r="J190" s="0" t="n">
        <f aca="false">IF(AND(D190&gt;=DATE(YEAR(D190),3,15),D190&lt;=DATE(YEAR(D190),6,10)),1,0)</f>
        <v>0</v>
      </c>
      <c r="K190" s="0" t="e">
        <f aca="false">VLOOKUP(D190,Festival_List!$A$2:$B$100,2,0)</f>
        <v>#N/A</v>
      </c>
      <c r="L190" s="0" t="n">
        <f aca="false">ROUND(((F190+G190)-(D190+E190))*24,0)</f>
        <v>24</v>
      </c>
      <c r="M190" s="0" t="n">
        <f aca="false">IF(OR(WEEKDAY(D190)=1,WEEKDAY(D190)=7),1,0)</f>
        <v>0</v>
      </c>
      <c r="N190" s="0" t="str">
        <f aca="false">IF(AND(MONTH(D190)&gt;=3,MONTH(D190)&lt;=6),"Summer",IF(AND(MONTH(D190)&gt;=7,MONTH(D190)&lt;=9),"Monsoon","Winter"))</f>
        <v>Monsoon</v>
      </c>
      <c r="O190" s="0" t="str">
        <f aca="false">IF(AND(L190&gt;=22,L190&lt;=25,E190&gt;=TIME(18,0,0)),"24H Night", IF(AND(L190&gt;=22,L190&lt;=25,E190&lt;TIME(18,0,0)),"24H Day", IF(AND(L190&gt;=11,L190&lt;=13,E190&gt;=TIME(18,0,0)),"12H Night", IF(AND(L190&gt;=11,L190&lt;=13,E190&lt;TIME(18,0,0)),"12H Day", IF(AND(L190&lt;10,E190&gt;=TIME(18,0,0)),"Couple Night", "Couple Day")))))</f>
        <v>24H Day</v>
      </c>
      <c r="P190" s="0" t="n">
        <f aca="false">WEEKDAY(D190,2)</f>
        <v>2</v>
      </c>
      <c r="Q190" s="0" t="n">
        <f aca="false">MONTH(D190)</f>
        <v>8</v>
      </c>
      <c r="R190" s="0" t="str">
        <f aca="false">"Q"&amp;ROUNDUP(MONTH(D190)/3,0)</f>
        <v>Q3</v>
      </c>
    </row>
    <row r="191" customFormat="false" ht="153.7" hidden="false" customHeight="false" outlineLevel="0" collapsed="false">
      <c r="A191" s="7" t="s">
        <v>597</v>
      </c>
      <c r="B191" s="7" t="s">
        <v>598</v>
      </c>
      <c r="C191" s="13" t="s">
        <v>599</v>
      </c>
      <c r="D191" s="11" t="n">
        <v>45511</v>
      </c>
      <c r="E191" s="12" t="n">
        <v>0.5</v>
      </c>
      <c r="F191" s="11" t="n">
        <v>45512</v>
      </c>
      <c r="G191" s="12" t="n">
        <v>0.458333333299375</v>
      </c>
      <c r="H191" s="10" t="n">
        <v>45511.3454289352</v>
      </c>
      <c r="I191" s="7" t="n">
        <v>3500</v>
      </c>
      <c r="J191" s="0" t="n">
        <f aca="false">IF(AND(D191&gt;=DATE(YEAR(D191),3,15),D191&lt;=DATE(YEAR(D191),6,10)),1,0)</f>
        <v>0</v>
      </c>
      <c r="K191" s="0" t="e">
        <f aca="false">VLOOKUP(D191,Festival_List!$A$2:$B$100,2,0)</f>
        <v>#N/A</v>
      </c>
      <c r="L191" s="0" t="n">
        <f aca="false">ROUND(((F191+G191)-(D191+E191))*24,0)</f>
        <v>23</v>
      </c>
      <c r="M191" s="0" t="n">
        <f aca="false">IF(OR(WEEKDAY(D191)=1,WEEKDAY(D191)=7),1,0)</f>
        <v>0</v>
      </c>
      <c r="N191" s="0" t="str">
        <f aca="false">IF(AND(MONTH(D191)&gt;=3,MONTH(D191)&lt;=6),"Summer",IF(AND(MONTH(D191)&gt;=7,MONTH(D191)&lt;=9),"Monsoon","Winter"))</f>
        <v>Monsoon</v>
      </c>
      <c r="O191" s="0" t="str">
        <f aca="false">IF(AND(L191&gt;=22,L191&lt;=25,E191&gt;=TIME(18,0,0)),"24H Night", IF(AND(L191&gt;=22,L191&lt;=25,E191&lt;TIME(18,0,0)),"24H Day", IF(AND(L191&gt;=11,L191&lt;=13,E191&gt;=TIME(18,0,0)),"12H Night", IF(AND(L191&gt;=11,L191&lt;=13,E191&lt;TIME(18,0,0)),"12H Day", IF(AND(L191&lt;10,E191&gt;=TIME(18,0,0)),"Couple Night", "Couple Day")))))</f>
        <v>24H Day</v>
      </c>
      <c r="P191" s="0" t="n">
        <f aca="false">WEEKDAY(D191,2)</f>
        <v>3</v>
      </c>
      <c r="Q191" s="0" t="n">
        <f aca="false">MONTH(D191)</f>
        <v>8</v>
      </c>
      <c r="R191" s="0" t="str">
        <f aca="false">"Q"&amp;ROUNDUP(MONTH(D191)/3,0)</f>
        <v>Q3</v>
      </c>
    </row>
    <row r="192" customFormat="false" ht="153.7" hidden="false" customHeight="false" outlineLevel="0" collapsed="false">
      <c r="A192" s="7" t="s">
        <v>600</v>
      </c>
      <c r="B192" s="7" t="s">
        <v>601</v>
      </c>
      <c r="C192" s="13" t="s">
        <v>602</v>
      </c>
      <c r="D192" s="11" t="n">
        <v>45515</v>
      </c>
      <c r="E192" s="12" t="n">
        <v>0.916666666700625</v>
      </c>
      <c r="F192" s="11" t="n">
        <v>45516</v>
      </c>
      <c r="G192" s="12" t="n">
        <v>0.416666666700625</v>
      </c>
      <c r="H192" s="10" t="n">
        <v>45515.9653594907</v>
      </c>
      <c r="I192" s="7" t="n">
        <v>3000</v>
      </c>
      <c r="J192" s="0" t="n">
        <f aca="false">IF(AND(D192&gt;=DATE(YEAR(D192),3,15),D192&lt;=DATE(YEAR(D192),6,10)),1,0)</f>
        <v>0</v>
      </c>
      <c r="K192" s="0" t="e">
        <f aca="false">VLOOKUP(D192,Festival_List!$A$2:$B$100,2,0)</f>
        <v>#N/A</v>
      </c>
      <c r="L192" s="0" t="n">
        <f aca="false">ROUND(((F192+G192)-(D192+E192))*24,0)</f>
        <v>12</v>
      </c>
      <c r="M192" s="0" t="n">
        <f aca="false">IF(OR(WEEKDAY(D192)=1,WEEKDAY(D192)=7),1,0)</f>
        <v>1</v>
      </c>
      <c r="N192" s="0" t="str">
        <f aca="false">IF(AND(MONTH(D192)&gt;=3,MONTH(D192)&lt;=6),"Summer",IF(AND(MONTH(D192)&gt;=7,MONTH(D192)&lt;=9),"Monsoon","Winter"))</f>
        <v>Monsoon</v>
      </c>
      <c r="O192" s="0" t="str">
        <f aca="false">IF(AND(L192&gt;=22,L192&lt;=25,E192&gt;=TIME(18,0,0)),"24H Night", IF(AND(L192&gt;=22,L192&lt;=25,E192&lt;TIME(18,0,0)),"24H Day", IF(AND(L192&gt;=11,L192&lt;=13,E192&gt;=TIME(18,0,0)),"12H Night", IF(AND(L192&gt;=11,L192&lt;=13,E192&lt;TIME(18,0,0)),"12H Day", IF(AND(L192&lt;10,E192&gt;=TIME(18,0,0)),"Couple Night", "Couple Day")))))</f>
        <v>12H Night</v>
      </c>
      <c r="P192" s="0" t="n">
        <f aca="false">WEEKDAY(D192,2)</f>
        <v>7</v>
      </c>
      <c r="Q192" s="0" t="n">
        <f aca="false">MONTH(D192)</f>
        <v>8</v>
      </c>
      <c r="R192" s="0" t="str">
        <f aca="false">"Q"&amp;ROUNDUP(MONTH(D192)/3,0)</f>
        <v>Q3</v>
      </c>
    </row>
    <row r="193" customFormat="false" ht="13.8" hidden="false" customHeight="false" outlineLevel="0" collapsed="false">
      <c r="A193" s="7" t="s">
        <v>603</v>
      </c>
      <c r="B193" s="7" t="s">
        <v>604</v>
      </c>
      <c r="C193" s="7" t="s">
        <v>605</v>
      </c>
      <c r="D193" s="11" t="n">
        <v>45516</v>
      </c>
      <c r="E193" s="12" t="n">
        <v>0.583333333299375</v>
      </c>
      <c r="F193" s="11" t="n">
        <v>45516</v>
      </c>
      <c r="G193" s="12" t="n">
        <v>0.75</v>
      </c>
      <c r="H193" s="10" t="n">
        <v>45725.4785725695</v>
      </c>
      <c r="I193" s="7" t="n">
        <v>1000</v>
      </c>
      <c r="J193" s="0" t="n">
        <f aca="false">IF(AND(D193&gt;=DATE(YEAR(D193),3,15),D193&lt;=DATE(YEAR(D193),6,10)),1,0)</f>
        <v>0</v>
      </c>
      <c r="K193" s="0" t="e">
        <f aca="false">VLOOKUP(D193,Festival_List!$A$2:$B$100,2,0)</f>
        <v>#N/A</v>
      </c>
      <c r="L193" s="0" t="n">
        <f aca="false">ROUND(((F193+G193)-(D193+E193))*24,0)</f>
        <v>4</v>
      </c>
      <c r="M193" s="0" t="n">
        <f aca="false">IF(OR(WEEKDAY(D193)=1,WEEKDAY(D193)=7),1,0)</f>
        <v>0</v>
      </c>
      <c r="N193" s="0" t="str">
        <f aca="false">IF(AND(MONTH(D193)&gt;=3,MONTH(D193)&lt;=6),"Summer",IF(AND(MONTH(D193)&gt;=7,MONTH(D193)&lt;=9),"Monsoon","Winter"))</f>
        <v>Monsoon</v>
      </c>
      <c r="O193" s="0" t="str">
        <f aca="false">IF(AND(L193&gt;=22,L193&lt;=25,E193&gt;=TIME(18,0,0)),"24H Night", IF(AND(L193&gt;=22,L193&lt;=25,E193&lt;TIME(18,0,0)),"24H Day", IF(AND(L193&gt;=11,L193&lt;=13,E193&gt;=TIME(18,0,0)),"12H Night", IF(AND(L193&gt;=11,L193&lt;=13,E193&lt;TIME(18,0,0)),"12H Day", IF(AND(L193&lt;10,E193&gt;=TIME(18,0,0)),"Couple Night", "Couple Day")))))</f>
        <v>Couple Day</v>
      </c>
      <c r="P193" s="0" t="n">
        <f aca="false">WEEKDAY(D193,2)</f>
        <v>1</v>
      </c>
      <c r="Q193" s="0" t="n">
        <f aca="false">MONTH(D193)</f>
        <v>8</v>
      </c>
      <c r="R193" s="0" t="str">
        <f aca="false">"Q"&amp;ROUNDUP(MONTH(D193)/3,0)</f>
        <v>Q3</v>
      </c>
    </row>
    <row r="194" customFormat="false" ht="153.7" hidden="false" customHeight="false" outlineLevel="0" collapsed="false">
      <c r="A194" s="7" t="s">
        <v>606</v>
      </c>
      <c r="B194" s="7" t="s">
        <v>598</v>
      </c>
      <c r="C194" s="13" t="s">
        <v>607</v>
      </c>
      <c r="D194" s="11" t="n">
        <v>45518</v>
      </c>
      <c r="E194" s="12" t="n">
        <v>0.333333333299375</v>
      </c>
      <c r="F194" s="11" t="n">
        <v>45518</v>
      </c>
      <c r="G194" s="12" t="n">
        <v>0.78125</v>
      </c>
      <c r="H194" s="10" t="n">
        <v>45892.9966358796</v>
      </c>
      <c r="I194" s="7" t="n">
        <v>3000</v>
      </c>
      <c r="J194" s="0" t="n">
        <f aca="false">IF(AND(D194&gt;=DATE(YEAR(D194),3,15),D194&lt;=DATE(YEAR(D194),6,10)),1,0)</f>
        <v>0</v>
      </c>
      <c r="K194" s="0" t="e">
        <f aca="false">VLOOKUP(D194,Festival_List!$A$2:$B$100,2,0)</f>
        <v>#N/A</v>
      </c>
      <c r="L194" s="0" t="n">
        <f aca="false">ROUND(((F194+G194)-(D194+E194))*24,0)</f>
        <v>11</v>
      </c>
      <c r="M194" s="0" t="n">
        <f aca="false">IF(OR(WEEKDAY(D194)=1,WEEKDAY(D194)=7),1,0)</f>
        <v>0</v>
      </c>
      <c r="N194" s="0" t="str">
        <f aca="false">IF(AND(MONTH(D194)&gt;=3,MONTH(D194)&lt;=6),"Summer",IF(AND(MONTH(D194)&gt;=7,MONTH(D194)&lt;=9),"Monsoon","Winter"))</f>
        <v>Monsoon</v>
      </c>
      <c r="O194" s="0" t="str">
        <f aca="false">IF(AND(L194&gt;=22,L194&lt;=25,E194&gt;=TIME(18,0,0)),"24H Night", IF(AND(L194&gt;=22,L194&lt;=25,E194&lt;TIME(18,0,0)),"24H Day", IF(AND(L194&gt;=11,L194&lt;=13,E194&gt;=TIME(18,0,0)),"12H Night", IF(AND(L194&gt;=11,L194&lt;=13,E194&lt;TIME(18,0,0)),"12H Day", IF(AND(L194&lt;10,E194&gt;=TIME(18,0,0)),"Couple Night", "Couple Day")))))</f>
        <v>12H Day</v>
      </c>
      <c r="P194" s="0" t="n">
        <f aca="false">WEEKDAY(D194,2)</f>
        <v>3</v>
      </c>
      <c r="Q194" s="0" t="n">
        <f aca="false">MONTH(D194)</f>
        <v>8</v>
      </c>
      <c r="R194" s="0" t="str">
        <f aca="false">"Q"&amp;ROUNDUP(MONTH(D194)/3,0)</f>
        <v>Q3</v>
      </c>
    </row>
    <row r="195" customFormat="false" ht="153.7" hidden="false" customHeight="false" outlineLevel="0" collapsed="false">
      <c r="A195" s="7" t="s">
        <v>608</v>
      </c>
      <c r="B195" s="7" t="s">
        <v>609</v>
      </c>
      <c r="C195" s="13" t="s">
        <v>610</v>
      </c>
      <c r="D195" s="11" t="n">
        <v>45518</v>
      </c>
      <c r="E195" s="12" t="n">
        <v>0.791666666700625</v>
      </c>
      <c r="F195" s="11" t="n">
        <v>45519</v>
      </c>
      <c r="G195" s="12" t="n">
        <v>0.291666666700625</v>
      </c>
      <c r="H195" s="10" t="n">
        <v>45519.7760142361</v>
      </c>
      <c r="I195" s="7" t="n">
        <v>500</v>
      </c>
      <c r="J195" s="0" t="n">
        <f aca="false">IF(AND(D195&gt;=DATE(YEAR(D195),3,15),D195&lt;=DATE(YEAR(D195),6,10)),1,0)</f>
        <v>0</v>
      </c>
      <c r="K195" s="0" t="e">
        <f aca="false">VLOOKUP(D195,Festival_List!$A$2:$B$100,2,0)</f>
        <v>#N/A</v>
      </c>
      <c r="L195" s="0" t="n">
        <f aca="false">ROUND(((F195+G195)-(D195+E195))*24,0)</f>
        <v>12</v>
      </c>
      <c r="M195" s="0" t="n">
        <f aca="false">IF(OR(WEEKDAY(D195)=1,WEEKDAY(D195)=7),1,0)</f>
        <v>0</v>
      </c>
      <c r="N195" s="0" t="str">
        <f aca="false">IF(AND(MONTH(D195)&gt;=3,MONTH(D195)&lt;=6),"Summer",IF(AND(MONTH(D195)&gt;=7,MONTH(D195)&lt;=9),"Monsoon","Winter"))</f>
        <v>Monsoon</v>
      </c>
      <c r="O195" s="0" t="str">
        <f aca="false">IF(AND(L195&gt;=22,L195&lt;=25,E195&gt;=TIME(18,0,0)),"24H Night", IF(AND(L195&gt;=22,L195&lt;=25,E195&lt;TIME(18,0,0)),"24H Day", IF(AND(L195&gt;=11,L195&lt;=13,E195&gt;=TIME(18,0,0)),"12H Night", IF(AND(L195&gt;=11,L195&lt;=13,E195&lt;TIME(18,0,0)),"12H Day", IF(AND(L195&lt;10,E195&gt;=TIME(18,0,0)),"Couple Night", "Couple Day")))))</f>
        <v>12H Night</v>
      </c>
      <c r="P195" s="0" t="n">
        <f aca="false">WEEKDAY(D195,2)</f>
        <v>3</v>
      </c>
      <c r="Q195" s="0" t="n">
        <f aca="false">MONTH(D195)</f>
        <v>8</v>
      </c>
      <c r="R195" s="0" t="str">
        <f aca="false">"Q"&amp;ROUNDUP(MONTH(D195)/3,0)</f>
        <v>Q3</v>
      </c>
    </row>
    <row r="196" customFormat="false" ht="13.8" hidden="false" customHeight="false" outlineLevel="0" collapsed="false">
      <c r="A196" s="7" t="s">
        <v>611</v>
      </c>
      <c r="B196" s="7" t="s">
        <v>612</v>
      </c>
      <c r="C196" s="7" t="s">
        <v>605</v>
      </c>
      <c r="D196" s="11" t="n">
        <v>45520</v>
      </c>
      <c r="E196" s="12" t="n">
        <v>0.458333333299375</v>
      </c>
      <c r="F196" s="11" t="n">
        <v>45520</v>
      </c>
      <c r="G196" s="12" t="n">
        <v>0.958333333299375</v>
      </c>
      <c r="H196" s="10" t="n">
        <v>45725.4787446759</v>
      </c>
      <c r="I196" s="7" t="n">
        <v>1000</v>
      </c>
      <c r="J196" s="0" t="n">
        <f aca="false">IF(AND(D196&gt;=DATE(YEAR(D196),3,15),D196&lt;=DATE(YEAR(D196),6,10)),1,0)</f>
        <v>0</v>
      </c>
      <c r="K196" s="0" t="e">
        <f aca="false">VLOOKUP(D196,Festival_List!$A$2:$B$100,2,0)</f>
        <v>#N/A</v>
      </c>
      <c r="L196" s="0" t="n">
        <f aca="false">ROUND(((F196+G196)-(D196+E196))*24,0)</f>
        <v>12</v>
      </c>
      <c r="M196" s="0" t="n">
        <f aca="false">IF(OR(WEEKDAY(D196)=1,WEEKDAY(D196)=7),1,0)</f>
        <v>0</v>
      </c>
      <c r="N196" s="0" t="str">
        <f aca="false">IF(AND(MONTH(D196)&gt;=3,MONTH(D196)&lt;=6),"Summer",IF(AND(MONTH(D196)&gt;=7,MONTH(D196)&lt;=9),"Monsoon","Winter"))</f>
        <v>Monsoon</v>
      </c>
      <c r="O196" s="0" t="str">
        <f aca="false">IF(AND(L196&gt;=22,L196&lt;=25,E196&gt;=TIME(18,0,0)),"24H Night", IF(AND(L196&gt;=22,L196&lt;=25,E196&lt;TIME(18,0,0)),"24H Day", IF(AND(L196&gt;=11,L196&lt;=13,E196&gt;=TIME(18,0,0)),"12H Night", IF(AND(L196&gt;=11,L196&lt;=13,E196&lt;TIME(18,0,0)),"12H Day", IF(AND(L196&lt;10,E196&gt;=TIME(18,0,0)),"Couple Night", "Couple Day")))))</f>
        <v>12H Day</v>
      </c>
      <c r="P196" s="0" t="n">
        <f aca="false">WEEKDAY(D196,2)</f>
        <v>5</v>
      </c>
      <c r="Q196" s="0" t="n">
        <f aca="false">MONTH(D196)</f>
        <v>8</v>
      </c>
      <c r="R196" s="0" t="str">
        <f aca="false">"Q"&amp;ROUNDUP(MONTH(D196)/3,0)</f>
        <v>Q3</v>
      </c>
    </row>
    <row r="197" customFormat="false" ht="115.65" hidden="false" customHeight="false" outlineLevel="0" collapsed="false">
      <c r="A197" s="7" t="s">
        <v>613</v>
      </c>
      <c r="B197" s="7" t="s">
        <v>490</v>
      </c>
      <c r="C197" s="13" t="s">
        <v>614</v>
      </c>
      <c r="D197" s="11" t="n">
        <v>45521</v>
      </c>
      <c r="E197" s="12" t="n">
        <v>0.5</v>
      </c>
      <c r="F197" s="11" t="n">
        <v>45521</v>
      </c>
      <c r="G197" s="12" t="n">
        <v>0.75</v>
      </c>
      <c r="H197" s="10" t="n">
        <v>45524.9321760417</v>
      </c>
      <c r="I197" s="7" t="n">
        <v>1200</v>
      </c>
      <c r="J197" s="0" t="n">
        <f aca="false">IF(AND(D197&gt;=DATE(YEAR(D197),3,15),D197&lt;=DATE(YEAR(D197),6,10)),1,0)</f>
        <v>0</v>
      </c>
      <c r="K197" s="0" t="e">
        <f aca="false">VLOOKUP(D197,Festival_List!$A$2:$B$100,2,0)</f>
        <v>#N/A</v>
      </c>
      <c r="L197" s="0" t="n">
        <f aca="false">ROUND(((F197+G197)-(D197+E197))*24,0)</f>
        <v>6</v>
      </c>
      <c r="M197" s="0" t="n">
        <f aca="false">IF(OR(WEEKDAY(D197)=1,WEEKDAY(D197)=7),1,0)</f>
        <v>1</v>
      </c>
      <c r="N197" s="0" t="str">
        <f aca="false">IF(AND(MONTH(D197)&gt;=3,MONTH(D197)&lt;=6),"Summer",IF(AND(MONTH(D197)&gt;=7,MONTH(D197)&lt;=9),"Monsoon","Winter"))</f>
        <v>Monsoon</v>
      </c>
      <c r="O197" s="0" t="str">
        <f aca="false">IF(AND(L197&gt;=22,L197&lt;=25,E197&gt;=TIME(18,0,0)),"24H Night", IF(AND(L197&gt;=22,L197&lt;=25,E197&lt;TIME(18,0,0)),"24H Day", IF(AND(L197&gt;=11,L197&lt;=13,E197&gt;=TIME(18,0,0)),"12H Night", IF(AND(L197&gt;=11,L197&lt;=13,E197&lt;TIME(18,0,0)),"12H Day", IF(AND(L197&lt;10,E197&gt;=TIME(18,0,0)),"Couple Night", "Couple Day")))))</f>
        <v>Couple Day</v>
      </c>
      <c r="P197" s="0" t="n">
        <f aca="false">WEEKDAY(D197,2)</f>
        <v>6</v>
      </c>
      <c r="Q197" s="0" t="n">
        <f aca="false">MONTH(D197)</f>
        <v>8</v>
      </c>
      <c r="R197" s="0" t="str">
        <f aca="false">"Q"&amp;ROUNDUP(MONTH(D197)/3,0)</f>
        <v>Q3</v>
      </c>
    </row>
    <row r="198" customFormat="false" ht="153.7" hidden="false" customHeight="false" outlineLevel="0" collapsed="false">
      <c r="A198" s="7" t="s">
        <v>615</v>
      </c>
      <c r="B198" s="7" t="s">
        <v>616</v>
      </c>
      <c r="C198" s="13" t="s">
        <v>617</v>
      </c>
      <c r="D198" s="11" t="n">
        <v>45522</v>
      </c>
      <c r="E198" s="12" t="n">
        <v>0.791666666700625</v>
      </c>
      <c r="F198" s="11" t="n">
        <v>45523</v>
      </c>
      <c r="G198" s="12" t="n">
        <v>0.75</v>
      </c>
      <c r="H198" s="10" t="n">
        <v>45892.9966358796</v>
      </c>
      <c r="I198" s="7" t="n">
        <v>4500</v>
      </c>
      <c r="J198" s="0" t="n">
        <f aca="false">IF(AND(D198&gt;=DATE(YEAR(D198),3,15),D198&lt;=DATE(YEAR(D198),6,10)),1,0)</f>
        <v>0</v>
      </c>
      <c r="K198" s="0" t="e">
        <f aca="false">VLOOKUP(D198,Festival_List!$A$2:$B$100,2,0)</f>
        <v>#N/A</v>
      </c>
      <c r="L198" s="0" t="n">
        <f aca="false">ROUND(((F198+G198)-(D198+E198))*24,0)</f>
        <v>23</v>
      </c>
      <c r="M198" s="0" t="n">
        <f aca="false">IF(OR(WEEKDAY(D198)=1,WEEKDAY(D198)=7),1,0)</f>
        <v>1</v>
      </c>
      <c r="N198" s="0" t="str">
        <f aca="false">IF(AND(MONTH(D198)&gt;=3,MONTH(D198)&lt;=6),"Summer",IF(AND(MONTH(D198)&gt;=7,MONTH(D198)&lt;=9),"Monsoon","Winter"))</f>
        <v>Monsoon</v>
      </c>
      <c r="O198" s="0" t="str">
        <f aca="false">IF(AND(L198&gt;=22,L198&lt;=25,E198&gt;=TIME(18,0,0)),"24H Night", IF(AND(L198&gt;=22,L198&lt;=25,E198&lt;TIME(18,0,0)),"24H Day", IF(AND(L198&gt;=11,L198&lt;=13,E198&gt;=TIME(18,0,0)),"12H Night", IF(AND(L198&gt;=11,L198&lt;=13,E198&lt;TIME(18,0,0)),"12H Day", IF(AND(L198&lt;10,E198&gt;=TIME(18,0,0)),"Couple Night", "Couple Day")))))</f>
        <v>24H Night</v>
      </c>
      <c r="P198" s="0" t="n">
        <f aca="false">WEEKDAY(D198,2)</f>
        <v>7</v>
      </c>
      <c r="Q198" s="0" t="n">
        <f aca="false">MONTH(D198)</f>
        <v>8</v>
      </c>
      <c r="R198" s="0" t="str">
        <f aca="false">"Q"&amp;ROUNDUP(MONTH(D198)/3,0)</f>
        <v>Q3</v>
      </c>
    </row>
    <row r="199" customFormat="false" ht="13.8" hidden="false" customHeight="false" outlineLevel="0" collapsed="false">
      <c r="A199" s="7" t="s">
        <v>618</v>
      </c>
      <c r="B199" s="7" t="s">
        <v>612</v>
      </c>
      <c r="C199" s="7" t="s">
        <v>605</v>
      </c>
      <c r="D199" s="11" t="n">
        <v>45524</v>
      </c>
      <c r="E199" s="12" t="n">
        <v>0.458333333299375</v>
      </c>
      <c r="F199" s="11" t="n">
        <v>45524</v>
      </c>
      <c r="G199" s="12" t="n">
        <v>0.75</v>
      </c>
      <c r="H199" s="10" t="n">
        <v>45725.4795841435</v>
      </c>
      <c r="I199" s="7" t="n">
        <v>1000</v>
      </c>
      <c r="J199" s="0" t="n">
        <f aca="false">IF(AND(D199&gt;=DATE(YEAR(D199),3,15),D199&lt;=DATE(YEAR(D199),6,10)),1,0)</f>
        <v>0</v>
      </c>
      <c r="K199" s="0" t="e">
        <f aca="false">VLOOKUP(D199,Festival_List!$A$2:$B$100,2,0)</f>
        <v>#N/A</v>
      </c>
      <c r="L199" s="0" t="n">
        <f aca="false">ROUND(((F199+G199)-(D199+E199))*24,0)</f>
        <v>7</v>
      </c>
      <c r="M199" s="0" t="n">
        <f aca="false">IF(OR(WEEKDAY(D199)=1,WEEKDAY(D199)=7),1,0)</f>
        <v>0</v>
      </c>
      <c r="N199" s="0" t="str">
        <f aca="false">IF(AND(MONTH(D199)&gt;=3,MONTH(D199)&lt;=6),"Summer",IF(AND(MONTH(D199)&gt;=7,MONTH(D199)&lt;=9),"Monsoon","Winter"))</f>
        <v>Monsoon</v>
      </c>
      <c r="O199" s="0" t="str">
        <f aca="false">IF(AND(L199&gt;=22,L199&lt;=25,E199&gt;=TIME(18,0,0)),"24H Night", IF(AND(L199&gt;=22,L199&lt;=25,E199&lt;TIME(18,0,0)),"24H Day", IF(AND(L199&gt;=11,L199&lt;=13,E199&gt;=TIME(18,0,0)),"12H Night", IF(AND(L199&gt;=11,L199&lt;=13,E199&lt;TIME(18,0,0)),"12H Day", IF(AND(L199&lt;10,E199&gt;=TIME(18,0,0)),"Couple Night", "Couple Day")))))</f>
        <v>Couple Day</v>
      </c>
      <c r="P199" s="0" t="n">
        <f aca="false">WEEKDAY(D199,2)</f>
        <v>2</v>
      </c>
      <c r="Q199" s="0" t="n">
        <f aca="false">MONTH(D199)</f>
        <v>8</v>
      </c>
      <c r="R199" s="0" t="str">
        <f aca="false">"Q"&amp;ROUNDUP(MONTH(D199)/3,0)</f>
        <v>Q3</v>
      </c>
    </row>
    <row r="200" customFormat="false" ht="153.7" hidden="false" customHeight="false" outlineLevel="0" collapsed="false">
      <c r="A200" s="7" t="s">
        <v>619</v>
      </c>
      <c r="B200" s="7" t="s">
        <v>620</v>
      </c>
      <c r="C200" s="13" t="s">
        <v>621</v>
      </c>
      <c r="D200" s="11" t="n">
        <v>45524</v>
      </c>
      <c r="E200" s="12" t="n">
        <v>0.791666666700625</v>
      </c>
      <c r="F200" s="11" t="n">
        <v>45526</v>
      </c>
      <c r="G200" s="12" t="n">
        <v>0.75</v>
      </c>
      <c r="H200" s="10" t="n">
        <v>45892.9966358796</v>
      </c>
      <c r="I200" s="7" t="n">
        <v>6500</v>
      </c>
      <c r="J200" s="0" t="n">
        <f aca="false">IF(AND(D200&gt;=DATE(YEAR(D200),3,15),D200&lt;=DATE(YEAR(D200),6,10)),1,0)</f>
        <v>0</v>
      </c>
      <c r="K200" s="0" t="e">
        <f aca="false">VLOOKUP(D200,Festival_List!$A$2:$B$100,2,0)</f>
        <v>#N/A</v>
      </c>
      <c r="L200" s="0" t="n">
        <f aca="false">ROUND(((F200+G200)-(D200+E200))*24,0)</f>
        <v>47</v>
      </c>
      <c r="M200" s="0" t="n">
        <f aca="false">IF(OR(WEEKDAY(D200)=1,WEEKDAY(D200)=7),1,0)</f>
        <v>0</v>
      </c>
      <c r="N200" s="0" t="str">
        <f aca="false">IF(AND(MONTH(D200)&gt;=3,MONTH(D200)&lt;=6),"Summer",IF(AND(MONTH(D200)&gt;=7,MONTH(D200)&lt;=9),"Monsoon","Winter"))</f>
        <v>Monsoon</v>
      </c>
      <c r="O200" s="0" t="str">
        <f aca="false">IF(AND(L200&gt;=22,L200&lt;=25,E200&gt;=TIME(18,0,0)),"24H Night", IF(AND(L200&gt;=22,L200&lt;=25,E200&lt;TIME(18,0,0)),"24H Day", IF(AND(L200&gt;=11,L200&lt;=13,E200&gt;=TIME(18,0,0)),"12H Night", IF(AND(L200&gt;=11,L200&lt;=13,E200&lt;TIME(18,0,0)),"12H Day", IF(AND(L200&lt;10,E200&gt;=TIME(18,0,0)),"Couple Night", "Couple Day")))))</f>
        <v>Couple Day</v>
      </c>
      <c r="P200" s="0" t="n">
        <f aca="false">WEEKDAY(D200,2)</f>
        <v>2</v>
      </c>
      <c r="Q200" s="0" t="n">
        <f aca="false">MONTH(D200)</f>
        <v>8</v>
      </c>
      <c r="R200" s="0" t="str">
        <f aca="false">"Q"&amp;ROUNDUP(MONTH(D200)/3,0)</f>
        <v>Q3</v>
      </c>
    </row>
    <row r="201" customFormat="false" ht="153.7" hidden="false" customHeight="false" outlineLevel="0" collapsed="false">
      <c r="A201" s="7" t="s">
        <v>622</v>
      </c>
      <c r="B201" s="7" t="s">
        <v>623</v>
      </c>
      <c r="C201" s="13" t="s">
        <v>624</v>
      </c>
      <c r="D201" s="11" t="n">
        <v>45527</v>
      </c>
      <c r="E201" s="12" t="n">
        <v>0.875</v>
      </c>
      <c r="F201" s="11" t="n">
        <v>45528</v>
      </c>
      <c r="G201" s="12" t="n">
        <v>0.375</v>
      </c>
      <c r="H201" s="10" t="n">
        <v>45527.7503097222</v>
      </c>
      <c r="I201" s="7" t="n">
        <v>2500</v>
      </c>
      <c r="J201" s="0" t="n">
        <f aca="false">IF(AND(D201&gt;=DATE(YEAR(D201),3,15),D201&lt;=DATE(YEAR(D201),6,10)),1,0)</f>
        <v>0</v>
      </c>
      <c r="K201" s="0" t="e">
        <f aca="false">VLOOKUP(D201,Festival_List!$A$2:$B$100,2,0)</f>
        <v>#N/A</v>
      </c>
      <c r="L201" s="0" t="n">
        <f aca="false">ROUND(((F201+G201)-(D201+E201))*24,0)</f>
        <v>12</v>
      </c>
      <c r="M201" s="0" t="n">
        <f aca="false">IF(OR(WEEKDAY(D201)=1,WEEKDAY(D201)=7),1,0)</f>
        <v>0</v>
      </c>
      <c r="N201" s="0" t="str">
        <f aca="false">IF(AND(MONTH(D201)&gt;=3,MONTH(D201)&lt;=6),"Summer",IF(AND(MONTH(D201)&gt;=7,MONTH(D201)&lt;=9),"Monsoon","Winter"))</f>
        <v>Monsoon</v>
      </c>
      <c r="O201" s="0" t="str">
        <f aca="false">IF(AND(L201&gt;=22,L201&lt;=25,E201&gt;=TIME(18,0,0)),"24H Night", IF(AND(L201&gt;=22,L201&lt;=25,E201&lt;TIME(18,0,0)),"24H Day", IF(AND(L201&gt;=11,L201&lt;=13,E201&gt;=TIME(18,0,0)),"12H Night", IF(AND(L201&gt;=11,L201&lt;=13,E201&lt;TIME(18,0,0)),"12H Day", IF(AND(L201&lt;10,E201&gt;=TIME(18,0,0)),"Couple Night", "Couple Day")))))</f>
        <v>12H Night</v>
      </c>
      <c r="P201" s="0" t="n">
        <f aca="false">WEEKDAY(D201,2)</f>
        <v>5</v>
      </c>
      <c r="Q201" s="0" t="n">
        <f aca="false">MONTH(D201)</f>
        <v>8</v>
      </c>
      <c r="R201" s="0" t="str">
        <f aca="false">"Q"&amp;ROUNDUP(MONTH(D201)/3,0)</f>
        <v>Q3</v>
      </c>
    </row>
    <row r="202" customFormat="false" ht="13.8" hidden="false" customHeight="false" outlineLevel="0" collapsed="false">
      <c r="A202" s="7" t="s">
        <v>625</v>
      </c>
      <c r="B202" s="7" t="s">
        <v>490</v>
      </c>
      <c r="C202" s="7" t="s">
        <v>626</v>
      </c>
      <c r="D202" s="11" t="n">
        <v>45528</v>
      </c>
      <c r="E202" s="12" t="n">
        <v>0.541666666700625</v>
      </c>
      <c r="F202" s="11" t="n">
        <v>45528</v>
      </c>
      <c r="G202" s="12" t="n">
        <v>0.708333333299375</v>
      </c>
      <c r="H202" s="10" t="n">
        <v>45725.4797342593</v>
      </c>
      <c r="I202" s="7" t="n">
        <v>500</v>
      </c>
      <c r="J202" s="0" t="n">
        <f aca="false">IF(AND(D202&gt;=DATE(YEAR(D202),3,15),D202&lt;=DATE(YEAR(D202),6,10)),1,0)</f>
        <v>0</v>
      </c>
      <c r="K202" s="0" t="e">
        <f aca="false">VLOOKUP(D202,Festival_List!$A$2:$B$100,2,0)</f>
        <v>#N/A</v>
      </c>
      <c r="L202" s="0" t="n">
        <f aca="false">ROUND(((F202+G202)-(D202+E202))*24,0)</f>
        <v>4</v>
      </c>
      <c r="M202" s="0" t="n">
        <f aca="false">IF(OR(WEEKDAY(D202)=1,WEEKDAY(D202)=7),1,0)</f>
        <v>1</v>
      </c>
      <c r="N202" s="0" t="str">
        <f aca="false">IF(AND(MONTH(D202)&gt;=3,MONTH(D202)&lt;=6),"Summer",IF(AND(MONTH(D202)&gt;=7,MONTH(D202)&lt;=9),"Monsoon","Winter"))</f>
        <v>Monsoon</v>
      </c>
      <c r="O202" s="0" t="str">
        <f aca="false">IF(AND(L202&gt;=22,L202&lt;=25,E202&gt;=TIME(18,0,0)),"24H Night", IF(AND(L202&gt;=22,L202&lt;=25,E202&lt;TIME(18,0,0)),"24H Day", IF(AND(L202&gt;=11,L202&lt;=13,E202&gt;=TIME(18,0,0)),"12H Night", IF(AND(L202&gt;=11,L202&lt;=13,E202&lt;TIME(18,0,0)),"12H Day", IF(AND(L202&lt;10,E202&gt;=TIME(18,0,0)),"Couple Night", "Couple Day")))))</f>
        <v>Couple Day</v>
      </c>
      <c r="P202" s="0" t="n">
        <f aca="false">WEEKDAY(D202,2)</f>
        <v>6</v>
      </c>
      <c r="Q202" s="0" t="n">
        <f aca="false">MONTH(D202)</f>
        <v>8</v>
      </c>
      <c r="R202" s="0" t="str">
        <f aca="false">"Q"&amp;ROUNDUP(MONTH(D202)/3,0)</f>
        <v>Q3</v>
      </c>
    </row>
    <row r="203" customFormat="false" ht="90.25" hidden="false" customHeight="false" outlineLevel="0" collapsed="false">
      <c r="A203" s="7" t="s">
        <v>627</v>
      </c>
      <c r="B203" s="7" t="s">
        <v>628</v>
      </c>
      <c r="C203" s="13" t="s">
        <v>629</v>
      </c>
      <c r="D203" s="11" t="n">
        <v>45528</v>
      </c>
      <c r="E203" s="12" t="n">
        <v>0.791666666700625</v>
      </c>
      <c r="F203" s="11" t="n">
        <v>45529</v>
      </c>
      <c r="G203" s="12" t="n">
        <v>0.791666666700625</v>
      </c>
      <c r="H203" s="10" t="n">
        <v>45528.7984203704</v>
      </c>
      <c r="I203" s="7" t="n">
        <v>4000</v>
      </c>
      <c r="J203" s="0" t="n">
        <f aca="false">IF(AND(D203&gt;=DATE(YEAR(D203),3,15),D203&lt;=DATE(YEAR(D203),6,10)),1,0)</f>
        <v>0</v>
      </c>
      <c r="K203" s="0" t="e">
        <f aca="false">VLOOKUP(D203,Festival_List!$A$2:$B$100,2,0)</f>
        <v>#N/A</v>
      </c>
      <c r="L203" s="0" t="n">
        <f aca="false">ROUND(((F203+G203)-(D203+E203))*24,0)</f>
        <v>24</v>
      </c>
      <c r="M203" s="0" t="n">
        <f aca="false">IF(OR(WEEKDAY(D203)=1,WEEKDAY(D203)=7),1,0)</f>
        <v>1</v>
      </c>
      <c r="N203" s="0" t="str">
        <f aca="false">IF(AND(MONTH(D203)&gt;=3,MONTH(D203)&lt;=6),"Summer",IF(AND(MONTH(D203)&gt;=7,MONTH(D203)&lt;=9),"Monsoon","Winter"))</f>
        <v>Monsoon</v>
      </c>
      <c r="O203" s="0" t="str">
        <f aca="false">IF(AND(L203&gt;=22,L203&lt;=25,E203&gt;=TIME(18,0,0)),"24H Night", IF(AND(L203&gt;=22,L203&lt;=25,E203&lt;TIME(18,0,0)),"24H Day", IF(AND(L203&gt;=11,L203&lt;=13,E203&gt;=TIME(18,0,0)),"12H Night", IF(AND(L203&gt;=11,L203&lt;=13,E203&lt;TIME(18,0,0)),"12H Day", IF(AND(L203&lt;10,E203&gt;=TIME(18,0,0)),"Couple Night", "Couple Day")))))</f>
        <v>24H Night</v>
      </c>
      <c r="P203" s="0" t="n">
        <f aca="false">WEEKDAY(D203,2)</f>
        <v>6</v>
      </c>
      <c r="Q203" s="0" t="n">
        <f aca="false">MONTH(D203)</f>
        <v>8</v>
      </c>
      <c r="R203" s="0" t="str">
        <f aca="false">"Q"&amp;ROUNDUP(MONTH(D203)/3,0)</f>
        <v>Q3</v>
      </c>
    </row>
    <row r="204" customFormat="false" ht="141" hidden="false" customHeight="false" outlineLevel="0" collapsed="false">
      <c r="A204" s="7" t="s">
        <v>630</v>
      </c>
      <c r="B204" s="7" t="s">
        <v>539</v>
      </c>
      <c r="C204" s="13" t="s">
        <v>631</v>
      </c>
      <c r="D204" s="11" t="n">
        <v>45531</v>
      </c>
      <c r="E204" s="12" t="n">
        <v>0.333333333299375</v>
      </c>
      <c r="F204" s="11" t="n">
        <v>45531</v>
      </c>
      <c r="G204" s="12" t="n">
        <v>0.75</v>
      </c>
      <c r="H204" s="10" t="n">
        <v>45531.41221875</v>
      </c>
      <c r="I204" s="7" t="n">
        <v>2500</v>
      </c>
      <c r="J204" s="0" t="n">
        <f aca="false">IF(AND(D204&gt;=DATE(YEAR(D204),3,15),D204&lt;=DATE(YEAR(D204),6,10)),1,0)</f>
        <v>0</v>
      </c>
      <c r="K204" s="0" t="e">
        <f aca="false">VLOOKUP(D204,Festival_List!$A$2:$B$100,2,0)</f>
        <v>#N/A</v>
      </c>
      <c r="L204" s="0" t="n">
        <f aca="false">ROUND(((F204+G204)-(D204+E204))*24,0)</f>
        <v>10</v>
      </c>
      <c r="M204" s="0" t="n">
        <f aca="false">IF(OR(WEEKDAY(D204)=1,WEEKDAY(D204)=7),1,0)</f>
        <v>0</v>
      </c>
      <c r="N204" s="0" t="str">
        <f aca="false">IF(AND(MONTH(D204)&gt;=3,MONTH(D204)&lt;=6),"Summer",IF(AND(MONTH(D204)&gt;=7,MONTH(D204)&lt;=9),"Monsoon","Winter"))</f>
        <v>Monsoon</v>
      </c>
      <c r="O204" s="0" t="str">
        <f aca="false">IF(AND(L204&gt;=22,L204&lt;=25,E204&gt;=TIME(18,0,0)),"24H Night", IF(AND(L204&gt;=22,L204&lt;=25,E204&lt;TIME(18,0,0)),"24H Day", IF(AND(L204&gt;=11,L204&lt;=13,E204&gt;=TIME(18,0,0)),"12H Night", IF(AND(L204&gt;=11,L204&lt;=13,E204&lt;TIME(18,0,0)),"12H Day", IF(AND(L204&lt;10,E204&gt;=TIME(18,0,0)),"Couple Night", "Couple Day")))))</f>
        <v>Couple Day</v>
      </c>
      <c r="P204" s="0" t="n">
        <f aca="false">WEEKDAY(D204,2)</f>
        <v>2</v>
      </c>
      <c r="Q204" s="0" t="n">
        <f aca="false">MONTH(D204)</f>
        <v>8</v>
      </c>
      <c r="R204" s="0" t="str">
        <f aca="false">"Q"&amp;ROUNDUP(MONTH(D204)/3,0)</f>
        <v>Q3</v>
      </c>
    </row>
    <row r="205" customFormat="false" ht="13.8" hidden="false" customHeight="false" outlineLevel="0" collapsed="false">
      <c r="A205" s="7" t="s">
        <v>632</v>
      </c>
      <c r="B205" s="7" t="s">
        <v>596</v>
      </c>
      <c r="C205" s="7" t="s">
        <v>605</v>
      </c>
      <c r="D205" s="11" t="n">
        <v>45533</v>
      </c>
      <c r="E205" s="12" t="n">
        <v>0.416666666700625</v>
      </c>
      <c r="F205" s="11" t="n">
        <v>45533</v>
      </c>
      <c r="G205" s="12" t="n">
        <v>0.75</v>
      </c>
      <c r="H205" s="10" t="n">
        <v>45725.4798725694</v>
      </c>
      <c r="I205" s="7" t="n">
        <v>1000</v>
      </c>
      <c r="J205" s="0" t="n">
        <f aca="false">IF(AND(D205&gt;=DATE(YEAR(D205),3,15),D205&lt;=DATE(YEAR(D205),6,10)),1,0)</f>
        <v>0</v>
      </c>
      <c r="K205" s="0" t="e">
        <f aca="false">VLOOKUP(D205,Festival_List!$A$2:$B$100,2,0)</f>
        <v>#N/A</v>
      </c>
      <c r="L205" s="0" t="n">
        <f aca="false">ROUND(((F205+G205)-(D205+E205))*24,0)</f>
        <v>8</v>
      </c>
      <c r="M205" s="0" t="n">
        <f aca="false">IF(OR(WEEKDAY(D205)=1,WEEKDAY(D205)=7),1,0)</f>
        <v>0</v>
      </c>
      <c r="N205" s="0" t="str">
        <f aca="false">IF(AND(MONTH(D205)&gt;=3,MONTH(D205)&lt;=6),"Summer",IF(AND(MONTH(D205)&gt;=7,MONTH(D205)&lt;=9),"Monsoon","Winter"))</f>
        <v>Monsoon</v>
      </c>
      <c r="O205" s="0" t="str">
        <f aca="false">IF(AND(L205&gt;=22,L205&lt;=25,E205&gt;=TIME(18,0,0)),"24H Night", IF(AND(L205&gt;=22,L205&lt;=25,E205&lt;TIME(18,0,0)),"24H Day", IF(AND(L205&gt;=11,L205&lt;=13,E205&gt;=TIME(18,0,0)),"12H Night", IF(AND(L205&gt;=11,L205&lt;=13,E205&lt;TIME(18,0,0)),"12H Day", IF(AND(L205&lt;10,E205&gt;=TIME(18,0,0)),"Couple Night", "Couple Day")))))</f>
        <v>Couple Day</v>
      </c>
      <c r="P205" s="0" t="n">
        <f aca="false">WEEKDAY(D205,2)</f>
        <v>4</v>
      </c>
      <c r="Q205" s="0" t="n">
        <f aca="false">MONTH(D205)</f>
        <v>8</v>
      </c>
      <c r="R205" s="0" t="str">
        <f aca="false">"Q"&amp;ROUNDUP(MONTH(D205)/3,0)</f>
        <v>Q3</v>
      </c>
    </row>
    <row r="206" customFormat="false" ht="153.7" hidden="false" customHeight="false" outlineLevel="0" collapsed="false">
      <c r="A206" s="7" t="s">
        <v>633</v>
      </c>
      <c r="B206" s="7" t="s">
        <v>634</v>
      </c>
      <c r="C206" s="13" t="s">
        <v>635</v>
      </c>
      <c r="D206" s="11" t="n">
        <v>45534</v>
      </c>
      <c r="E206" s="12" t="n">
        <v>0.375</v>
      </c>
      <c r="F206" s="11" t="n">
        <v>45534</v>
      </c>
      <c r="G206" s="12" t="n">
        <v>0.75</v>
      </c>
      <c r="H206" s="10" t="n">
        <v>45533.7405331019</v>
      </c>
      <c r="I206" s="7" t="n">
        <v>2500</v>
      </c>
      <c r="J206" s="0" t="n">
        <f aca="false">IF(AND(D206&gt;=DATE(YEAR(D206),3,15),D206&lt;=DATE(YEAR(D206),6,10)),1,0)</f>
        <v>0</v>
      </c>
      <c r="K206" s="0" t="e">
        <f aca="false">VLOOKUP(D206,Festival_List!$A$2:$B$100,2,0)</f>
        <v>#N/A</v>
      </c>
      <c r="L206" s="0" t="n">
        <f aca="false">ROUND(((F206+G206)-(D206+E206))*24,0)</f>
        <v>9</v>
      </c>
      <c r="M206" s="0" t="n">
        <f aca="false">IF(OR(WEEKDAY(D206)=1,WEEKDAY(D206)=7),1,0)</f>
        <v>0</v>
      </c>
      <c r="N206" s="0" t="str">
        <f aca="false">IF(AND(MONTH(D206)&gt;=3,MONTH(D206)&lt;=6),"Summer",IF(AND(MONTH(D206)&gt;=7,MONTH(D206)&lt;=9),"Monsoon","Winter"))</f>
        <v>Monsoon</v>
      </c>
      <c r="O206" s="0" t="str">
        <f aca="false">IF(AND(L206&gt;=22,L206&lt;=25,E206&gt;=TIME(18,0,0)),"24H Night", IF(AND(L206&gt;=22,L206&lt;=25,E206&lt;TIME(18,0,0)),"24H Day", IF(AND(L206&gt;=11,L206&lt;=13,E206&gt;=TIME(18,0,0)),"12H Night", IF(AND(L206&gt;=11,L206&lt;=13,E206&lt;TIME(18,0,0)),"12H Day", IF(AND(L206&lt;10,E206&gt;=TIME(18,0,0)),"Couple Night", "Couple Day")))))</f>
        <v>Couple Day</v>
      </c>
      <c r="P206" s="0" t="n">
        <f aca="false">WEEKDAY(D206,2)</f>
        <v>5</v>
      </c>
      <c r="Q206" s="0" t="n">
        <f aca="false">MONTH(D206)</f>
        <v>8</v>
      </c>
      <c r="R206" s="0" t="str">
        <f aca="false">"Q"&amp;ROUNDUP(MONTH(D206)/3,0)</f>
        <v>Q3</v>
      </c>
    </row>
    <row r="207" customFormat="false" ht="153.7" hidden="false" customHeight="false" outlineLevel="0" collapsed="false">
      <c r="A207" s="7" t="s">
        <v>636</v>
      </c>
      <c r="B207" s="7" t="s">
        <v>296</v>
      </c>
      <c r="C207" s="13" t="s">
        <v>637</v>
      </c>
      <c r="D207" s="11" t="n">
        <v>45535</v>
      </c>
      <c r="E207" s="12" t="n">
        <v>0.375</v>
      </c>
      <c r="F207" s="11" t="n">
        <v>45535</v>
      </c>
      <c r="G207" s="12" t="n">
        <v>0.75</v>
      </c>
      <c r="H207" s="10" t="n">
        <v>45531.75609375</v>
      </c>
      <c r="I207" s="7" t="n">
        <v>3000</v>
      </c>
      <c r="J207" s="0" t="n">
        <f aca="false">IF(AND(D207&gt;=DATE(YEAR(D207),3,15),D207&lt;=DATE(YEAR(D207),6,10)),1,0)</f>
        <v>0</v>
      </c>
      <c r="K207" s="0" t="e">
        <f aca="false">VLOOKUP(D207,Festival_List!$A$2:$B$100,2,0)</f>
        <v>#N/A</v>
      </c>
      <c r="L207" s="0" t="n">
        <f aca="false">ROUND(((F207+G207)-(D207+E207))*24,0)</f>
        <v>9</v>
      </c>
      <c r="M207" s="0" t="n">
        <f aca="false">IF(OR(WEEKDAY(D207)=1,WEEKDAY(D207)=7),1,0)</f>
        <v>1</v>
      </c>
      <c r="N207" s="0" t="str">
        <f aca="false">IF(AND(MONTH(D207)&gt;=3,MONTH(D207)&lt;=6),"Summer",IF(AND(MONTH(D207)&gt;=7,MONTH(D207)&lt;=9),"Monsoon","Winter"))</f>
        <v>Monsoon</v>
      </c>
      <c r="O207" s="0" t="str">
        <f aca="false">IF(AND(L207&gt;=22,L207&lt;=25,E207&gt;=TIME(18,0,0)),"24H Night", IF(AND(L207&gt;=22,L207&lt;=25,E207&lt;TIME(18,0,0)),"24H Day", IF(AND(L207&gt;=11,L207&lt;=13,E207&gt;=TIME(18,0,0)),"12H Night", IF(AND(L207&gt;=11,L207&lt;=13,E207&lt;TIME(18,0,0)),"12H Day", IF(AND(L207&lt;10,E207&gt;=TIME(18,0,0)),"Couple Night", "Couple Day")))))</f>
        <v>Couple Day</v>
      </c>
      <c r="P207" s="0" t="n">
        <f aca="false">WEEKDAY(D207,2)</f>
        <v>6</v>
      </c>
      <c r="Q207" s="0" t="n">
        <f aca="false">MONTH(D207)</f>
        <v>8</v>
      </c>
      <c r="R207" s="0" t="str">
        <f aca="false">"Q"&amp;ROUNDUP(MONTH(D207)/3,0)</f>
        <v>Q3</v>
      </c>
    </row>
    <row r="208" customFormat="false" ht="13.8" hidden="false" customHeight="false" outlineLevel="0" collapsed="false">
      <c r="A208" s="7" t="s">
        <v>638</v>
      </c>
      <c r="B208" s="7" t="s">
        <v>639</v>
      </c>
      <c r="C208" s="7" t="s">
        <v>640</v>
      </c>
      <c r="D208" s="11" t="n">
        <v>45535</v>
      </c>
      <c r="E208" s="12" t="n">
        <v>0.791666666700625</v>
      </c>
      <c r="F208" s="11" t="n">
        <v>45536</v>
      </c>
      <c r="G208" s="12" t="n">
        <v>0.333333333299375</v>
      </c>
      <c r="H208" s="10" t="n">
        <v>45725.480071412</v>
      </c>
      <c r="I208" s="7" t="n">
        <v>2700</v>
      </c>
      <c r="J208" s="0" t="n">
        <f aca="false">IF(AND(D208&gt;=DATE(YEAR(D208),3,15),D208&lt;=DATE(YEAR(D208),6,10)),1,0)</f>
        <v>0</v>
      </c>
      <c r="K208" s="0" t="e">
        <f aca="false">VLOOKUP(D208,Festival_List!$A$2:$B$100,2,0)</f>
        <v>#N/A</v>
      </c>
      <c r="L208" s="0" t="n">
        <f aca="false">ROUND(((F208+G208)-(D208+E208))*24,0)</f>
        <v>13</v>
      </c>
      <c r="M208" s="0" t="n">
        <f aca="false">IF(OR(WEEKDAY(D208)=1,WEEKDAY(D208)=7),1,0)</f>
        <v>1</v>
      </c>
      <c r="N208" s="0" t="str">
        <f aca="false">IF(AND(MONTH(D208)&gt;=3,MONTH(D208)&lt;=6),"Summer",IF(AND(MONTH(D208)&gt;=7,MONTH(D208)&lt;=9),"Monsoon","Winter"))</f>
        <v>Monsoon</v>
      </c>
      <c r="O208" s="0" t="str">
        <f aca="false">IF(AND(L208&gt;=22,L208&lt;=25,E208&gt;=TIME(18,0,0)),"24H Night", IF(AND(L208&gt;=22,L208&lt;=25,E208&lt;TIME(18,0,0)),"24H Day", IF(AND(L208&gt;=11,L208&lt;=13,E208&gt;=TIME(18,0,0)),"12H Night", IF(AND(L208&gt;=11,L208&lt;=13,E208&lt;TIME(18,0,0)),"12H Day", IF(AND(L208&lt;10,E208&gt;=TIME(18,0,0)),"Couple Night", "Couple Day")))))</f>
        <v>12H Night</v>
      </c>
      <c r="P208" s="0" t="n">
        <f aca="false">WEEKDAY(D208,2)</f>
        <v>6</v>
      </c>
      <c r="Q208" s="0" t="n">
        <f aca="false">MONTH(D208)</f>
        <v>8</v>
      </c>
      <c r="R208" s="0" t="str">
        <f aca="false">"Q"&amp;ROUNDUP(MONTH(D208)/3,0)</f>
        <v>Q3</v>
      </c>
    </row>
    <row r="209" customFormat="false" ht="141" hidden="false" customHeight="false" outlineLevel="0" collapsed="false">
      <c r="A209" s="7" t="s">
        <v>641</v>
      </c>
      <c r="B209" s="7" t="s">
        <v>642</v>
      </c>
      <c r="C209" s="13" t="s">
        <v>643</v>
      </c>
      <c r="D209" s="11" t="n">
        <v>45538</v>
      </c>
      <c r="E209" s="12" t="n">
        <v>0.416666666700625</v>
      </c>
      <c r="F209" s="11" t="n">
        <v>45538</v>
      </c>
      <c r="G209" s="12" t="n">
        <v>0.708333333299375</v>
      </c>
      <c r="H209" s="10" t="n">
        <v>45538.4767047454</v>
      </c>
      <c r="I209" s="7" t="n">
        <v>2500</v>
      </c>
      <c r="J209" s="0" t="n">
        <f aca="false">IF(AND(D209&gt;=DATE(YEAR(D209),3,15),D209&lt;=DATE(YEAR(D209),6,10)),1,0)</f>
        <v>0</v>
      </c>
      <c r="K209" s="0" t="e">
        <f aca="false">VLOOKUP(D209,Festival_List!$A$2:$B$100,2,0)</f>
        <v>#N/A</v>
      </c>
      <c r="L209" s="0" t="n">
        <f aca="false">ROUND(((F209+G209)-(D209+E209))*24,0)</f>
        <v>7</v>
      </c>
      <c r="M209" s="0" t="n">
        <f aca="false">IF(OR(WEEKDAY(D209)=1,WEEKDAY(D209)=7),1,0)</f>
        <v>0</v>
      </c>
      <c r="N209" s="0" t="str">
        <f aca="false">IF(AND(MONTH(D209)&gt;=3,MONTH(D209)&lt;=6),"Summer",IF(AND(MONTH(D209)&gt;=7,MONTH(D209)&lt;=9),"Monsoon","Winter"))</f>
        <v>Monsoon</v>
      </c>
      <c r="O209" s="0" t="str">
        <f aca="false">IF(AND(L209&gt;=22,L209&lt;=25,E209&gt;=TIME(18,0,0)),"24H Night", IF(AND(L209&gt;=22,L209&lt;=25,E209&lt;TIME(18,0,0)),"24H Day", IF(AND(L209&gt;=11,L209&lt;=13,E209&gt;=TIME(18,0,0)),"12H Night", IF(AND(L209&gt;=11,L209&lt;=13,E209&lt;TIME(18,0,0)),"12H Day", IF(AND(L209&lt;10,E209&gt;=TIME(18,0,0)),"Couple Night", "Couple Day")))))</f>
        <v>Couple Day</v>
      </c>
      <c r="P209" s="0" t="n">
        <f aca="false">WEEKDAY(D209,2)</f>
        <v>2</v>
      </c>
      <c r="Q209" s="0" t="n">
        <f aca="false">MONTH(D209)</f>
        <v>9</v>
      </c>
      <c r="R209" s="0" t="str">
        <f aca="false">"Q"&amp;ROUNDUP(MONTH(D209)/3,0)</f>
        <v>Q3</v>
      </c>
    </row>
    <row r="210" customFormat="false" ht="77.6" hidden="false" customHeight="false" outlineLevel="0" collapsed="false">
      <c r="A210" s="7" t="s">
        <v>644</v>
      </c>
      <c r="B210" s="7" t="s">
        <v>394</v>
      </c>
      <c r="C210" s="13" t="s">
        <v>645</v>
      </c>
      <c r="D210" s="11" t="n">
        <v>45540</v>
      </c>
      <c r="E210" s="12" t="n">
        <v>0.333333333299375</v>
      </c>
      <c r="F210" s="11" t="n">
        <v>45540</v>
      </c>
      <c r="G210" s="12" t="n">
        <v>0.75</v>
      </c>
      <c r="H210" s="10" t="n">
        <v>45541.3340715278</v>
      </c>
      <c r="I210" s="7" t="n">
        <v>1000</v>
      </c>
      <c r="J210" s="0" t="n">
        <f aca="false">IF(AND(D210&gt;=DATE(YEAR(D210),3,15),D210&lt;=DATE(YEAR(D210),6,10)),1,0)</f>
        <v>0</v>
      </c>
      <c r="K210" s="0" t="e">
        <f aca="false">VLOOKUP(D210,Festival_List!$A$2:$B$100,2,0)</f>
        <v>#N/A</v>
      </c>
      <c r="L210" s="0" t="n">
        <f aca="false">ROUND(((F210+G210)-(D210+E210))*24,0)</f>
        <v>10</v>
      </c>
      <c r="M210" s="0" t="n">
        <f aca="false">IF(OR(WEEKDAY(D210)=1,WEEKDAY(D210)=7),1,0)</f>
        <v>0</v>
      </c>
      <c r="N210" s="0" t="str">
        <f aca="false">IF(AND(MONTH(D210)&gt;=3,MONTH(D210)&lt;=6),"Summer",IF(AND(MONTH(D210)&gt;=7,MONTH(D210)&lt;=9),"Monsoon","Winter"))</f>
        <v>Monsoon</v>
      </c>
      <c r="O210" s="0" t="str">
        <f aca="false">IF(AND(L210&gt;=22,L210&lt;=25,E210&gt;=TIME(18,0,0)),"24H Night", IF(AND(L210&gt;=22,L210&lt;=25,E210&lt;TIME(18,0,0)),"24H Day", IF(AND(L210&gt;=11,L210&lt;=13,E210&gt;=TIME(18,0,0)),"12H Night", IF(AND(L210&gt;=11,L210&lt;=13,E210&lt;TIME(18,0,0)),"12H Day", IF(AND(L210&lt;10,E210&gt;=TIME(18,0,0)),"Couple Night", "Couple Day")))))</f>
        <v>Couple Day</v>
      </c>
      <c r="P210" s="0" t="n">
        <f aca="false">WEEKDAY(D210,2)</f>
        <v>4</v>
      </c>
      <c r="Q210" s="0" t="n">
        <f aca="false">MONTH(D210)</f>
        <v>9</v>
      </c>
      <c r="R210" s="0" t="str">
        <f aca="false">"Q"&amp;ROUNDUP(MONTH(D210)/3,0)</f>
        <v>Q3</v>
      </c>
    </row>
    <row r="211" customFormat="false" ht="153.7" hidden="false" customHeight="false" outlineLevel="0" collapsed="false">
      <c r="A211" s="7" t="s">
        <v>646</v>
      </c>
      <c r="B211" s="7" t="s">
        <v>647</v>
      </c>
      <c r="C211" s="13" t="s">
        <v>648</v>
      </c>
      <c r="D211" s="11" t="n">
        <v>45541</v>
      </c>
      <c r="E211" s="12" t="n">
        <v>0.375</v>
      </c>
      <c r="F211" s="11" t="n">
        <v>45541</v>
      </c>
      <c r="G211" s="12" t="n">
        <v>0.75</v>
      </c>
      <c r="H211" s="10" t="n">
        <v>45541.4121892361</v>
      </c>
      <c r="I211" s="7" t="n">
        <v>2000</v>
      </c>
      <c r="J211" s="0" t="n">
        <f aca="false">IF(AND(D211&gt;=DATE(YEAR(D211),3,15),D211&lt;=DATE(YEAR(D211),6,10)),1,0)</f>
        <v>0</v>
      </c>
      <c r="K211" s="0" t="e">
        <f aca="false">VLOOKUP(D211,Festival_List!$A$2:$B$100,2,0)</f>
        <v>#N/A</v>
      </c>
      <c r="L211" s="0" t="n">
        <f aca="false">ROUND(((F211+G211)-(D211+E211))*24,0)</f>
        <v>9</v>
      </c>
      <c r="M211" s="0" t="n">
        <f aca="false">IF(OR(WEEKDAY(D211)=1,WEEKDAY(D211)=7),1,0)</f>
        <v>0</v>
      </c>
      <c r="N211" s="0" t="str">
        <f aca="false">IF(AND(MONTH(D211)&gt;=3,MONTH(D211)&lt;=6),"Summer",IF(AND(MONTH(D211)&gt;=7,MONTH(D211)&lt;=9),"Monsoon","Winter"))</f>
        <v>Monsoon</v>
      </c>
      <c r="O211" s="0" t="str">
        <f aca="false">IF(AND(L211&gt;=22,L211&lt;=25,E211&gt;=TIME(18,0,0)),"24H Night", IF(AND(L211&gt;=22,L211&lt;=25,E211&lt;TIME(18,0,0)),"24H Day", IF(AND(L211&gt;=11,L211&lt;=13,E211&gt;=TIME(18,0,0)),"12H Night", IF(AND(L211&gt;=11,L211&lt;=13,E211&lt;TIME(18,0,0)),"12H Day", IF(AND(L211&lt;10,E211&gt;=TIME(18,0,0)),"Couple Night", "Couple Day")))))</f>
        <v>Couple Day</v>
      </c>
      <c r="P211" s="0" t="n">
        <f aca="false">WEEKDAY(D211,2)</f>
        <v>5</v>
      </c>
      <c r="Q211" s="0" t="n">
        <f aca="false">MONTH(D211)</f>
        <v>9</v>
      </c>
      <c r="R211" s="0" t="str">
        <f aca="false">"Q"&amp;ROUNDUP(MONTH(D211)/3,0)</f>
        <v>Q3</v>
      </c>
    </row>
    <row r="212" customFormat="false" ht="90.25" hidden="false" customHeight="false" outlineLevel="0" collapsed="false">
      <c r="A212" s="7" t="s">
        <v>649</v>
      </c>
      <c r="B212" s="7" t="s">
        <v>539</v>
      </c>
      <c r="C212" s="13" t="s">
        <v>650</v>
      </c>
      <c r="D212" s="11" t="n">
        <v>45542</v>
      </c>
      <c r="E212" s="12" t="n">
        <v>0.5</v>
      </c>
      <c r="F212" s="11" t="n">
        <v>45542</v>
      </c>
      <c r="G212" s="12" t="n">
        <v>0.75</v>
      </c>
      <c r="H212" s="10" t="n">
        <v>45542.4759210648</v>
      </c>
      <c r="I212" s="7" t="n">
        <v>1500</v>
      </c>
      <c r="J212" s="0" t="n">
        <f aca="false">IF(AND(D212&gt;=DATE(YEAR(D212),3,15),D212&lt;=DATE(YEAR(D212),6,10)),1,0)</f>
        <v>0</v>
      </c>
      <c r="K212" s="0" t="str">
        <f aca="false">VLOOKUP(D212,Festival_List!$A$2:$B$100,2,0)</f>
        <v>Ganesh Chaturthi</v>
      </c>
      <c r="L212" s="0" t="n">
        <f aca="false">ROUND(((F212+G212)-(D212+E212))*24,0)</f>
        <v>6</v>
      </c>
      <c r="M212" s="0" t="n">
        <f aca="false">IF(OR(WEEKDAY(D212)=1,WEEKDAY(D212)=7),1,0)</f>
        <v>1</v>
      </c>
      <c r="N212" s="0" t="str">
        <f aca="false">IF(AND(MONTH(D212)&gt;=3,MONTH(D212)&lt;=6),"Summer",IF(AND(MONTH(D212)&gt;=7,MONTH(D212)&lt;=9),"Monsoon","Winter"))</f>
        <v>Monsoon</v>
      </c>
      <c r="O212" s="0" t="str">
        <f aca="false">IF(AND(L212&gt;=22,L212&lt;=25,E212&gt;=TIME(18,0,0)),"24H Night", IF(AND(L212&gt;=22,L212&lt;=25,E212&lt;TIME(18,0,0)),"24H Day", IF(AND(L212&gt;=11,L212&lt;=13,E212&gt;=TIME(18,0,0)),"12H Night", IF(AND(L212&gt;=11,L212&lt;=13,E212&lt;TIME(18,0,0)),"12H Day", IF(AND(L212&lt;10,E212&gt;=TIME(18,0,0)),"Couple Night", "Couple Day")))))</f>
        <v>Couple Day</v>
      </c>
      <c r="P212" s="0" t="n">
        <f aca="false">WEEKDAY(D212,2)</f>
        <v>6</v>
      </c>
      <c r="Q212" s="0" t="n">
        <f aca="false">MONTH(D212)</f>
        <v>9</v>
      </c>
      <c r="R212" s="0" t="str">
        <f aca="false">"Q"&amp;ROUNDUP(MONTH(D212)/3,0)</f>
        <v>Q3</v>
      </c>
    </row>
    <row r="213" customFormat="false" ht="153.7" hidden="false" customHeight="false" outlineLevel="0" collapsed="false">
      <c r="A213" s="7" t="s">
        <v>651</v>
      </c>
      <c r="B213" s="7" t="s">
        <v>652</v>
      </c>
      <c r="C213" s="13" t="s">
        <v>653</v>
      </c>
      <c r="D213" s="11" t="n">
        <v>45542</v>
      </c>
      <c r="E213" s="12" t="n">
        <v>0.833333333299375</v>
      </c>
      <c r="F213" s="11" t="n">
        <v>45543</v>
      </c>
      <c r="G213" s="12" t="n">
        <v>0.208333333299375</v>
      </c>
      <c r="H213" s="10" t="n">
        <v>45542.9626844907</v>
      </c>
      <c r="I213" s="7" t="n">
        <v>2500</v>
      </c>
      <c r="J213" s="0" t="n">
        <f aca="false">IF(AND(D213&gt;=DATE(YEAR(D213),3,15),D213&lt;=DATE(YEAR(D213),6,10)),1,0)</f>
        <v>0</v>
      </c>
      <c r="K213" s="0" t="str">
        <f aca="false">VLOOKUP(D213,Festival_List!$A$2:$B$100,2,0)</f>
        <v>Ganesh Chaturthi</v>
      </c>
      <c r="L213" s="0" t="n">
        <f aca="false">ROUND(((F213+G213)-(D213+E213))*24,0)</f>
        <v>9</v>
      </c>
      <c r="M213" s="0" t="n">
        <f aca="false">IF(OR(WEEKDAY(D213)=1,WEEKDAY(D213)=7),1,0)</f>
        <v>1</v>
      </c>
      <c r="N213" s="0" t="str">
        <f aca="false">IF(AND(MONTH(D213)&gt;=3,MONTH(D213)&lt;=6),"Summer",IF(AND(MONTH(D213)&gt;=7,MONTH(D213)&lt;=9),"Monsoon","Winter"))</f>
        <v>Monsoon</v>
      </c>
      <c r="O213" s="0" t="str">
        <f aca="false">IF(AND(L213&gt;=22,L213&lt;=25,E213&gt;=TIME(18,0,0)),"24H Night", IF(AND(L213&gt;=22,L213&lt;=25,E213&lt;TIME(18,0,0)),"24H Day", IF(AND(L213&gt;=11,L213&lt;=13,E213&gt;=TIME(18,0,0)),"12H Night", IF(AND(L213&gt;=11,L213&lt;=13,E213&lt;TIME(18,0,0)),"12H Day", IF(AND(L213&lt;10,E213&gt;=TIME(18,0,0)),"Couple Night", "Couple Day")))))</f>
        <v>Couple Night</v>
      </c>
      <c r="P213" s="0" t="n">
        <f aca="false">WEEKDAY(D213,2)</f>
        <v>6</v>
      </c>
      <c r="Q213" s="0" t="n">
        <f aca="false">MONTH(D213)</f>
        <v>9</v>
      </c>
      <c r="R213" s="0" t="str">
        <f aca="false">"Q"&amp;ROUNDUP(MONTH(D213)/3,0)</f>
        <v>Q3</v>
      </c>
    </row>
    <row r="214" customFormat="false" ht="153.7" hidden="false" customHeight="false" outlineLevel="0" collapsed="false">
      <c r="A214" s="7" t="s">
        <v>654</v>
      </c>
      <c r="B214" s="7" t="s">
        <v>655</v>
      </c>
      <c r="C214" s="13" t="s">
        <v>656</v>
      </c>
      <c r="D214" s="11" t="n">
        <v>45544</v>
      </c>
      <c r="E214" s="12" t="n">
        <v>0.375</v>
      </c>
      <c r="F214" s="11" t="n">
        <v>45544</v>
      </c>
      <c r="G214" s="12" t="n">
        <v>0.75</v>
      </c>
      <c r="H214" s="10" t="n">
        <v>45543.6732811343</v>
      </c>
      <c r="I214" s="7" t="n">
        <v>2000</v>
      </c>
      <c r="J214" s="0" t="n">
        <f aca="false">IF(AND(D214&gt;=DATE(YEAR(D214),3,15),D214&lt;=DATE(YEAR(D214),6,10)),1,0)</f>
        <v>0</v>
      </c>
      <c r="K214" s="0" t="e">
        <f aca="false">VLOOKUP(D214,Festival_List!$A$2:$B$100,2,0)</f>
        <v>#N/A</v>
      </c>
      <c r="L214" s="0" t="n">
        <f aca="false">ROUND(((F214+G214)-(D214+E214))*24,0)</f>
        <v>9</v>
      </c>
      <c r="M214" s="0" t="n">
        <f aca="false">IF(OR(WEEKDAY(D214)=1,WEEKDAY(D214)=7),1,0)</f>
        <v>0</v>
      </c>
      <c r="N214" s="0" t="str">
        <f aca="false">IF(AND(MONTH(D214)&gt;=3,MONTH(D214)&lt;=6),"Summer",IF(AND(MONTH(D214)&gt;=7,MONTH(D214)&lt;=9),"Monsoon","Winter"))</f>
        <v>Monsoon</v>
      </c>
      <c r="O214" s="0" t="str">
        <f aca="false">IF(AND(L214&gt;=22,L214&lt;=25,E214&gt;=TIME(18,0,0)),"24H Night", IF(AND(L214&gt;=22,L214&lt;=25,E214&lt;TIME(18,0,0)),"24H Day", IF(AND(L214&gt;=11,L214&lt;=13,E214&gt;=TIME(18,0,0)),"12H Night", IF(AND(L214&gt;=11,L214&lt;=13,E214&lt;TIME(18,0,0)),"12H Day", IF(AND(L214&lt;10,E214&gt;=TIME(18,0,0)),"Couple Night", "Couple Day")))))</f>
        <v>Couple Day</v>
      </c>
      <c r="P214" s="0" t="n">
        <f aca="false">WEEKDAY(D214,2)</f>
        <v>1</v>
      </c>
      <c r="Q214" s="0" t="n">
        <f aca="false">MONTH(D214)</f>
        <v>9</v>
      </c>
      <c r="R214" s="0" t="str">
        <f aca="false">"Q"&amp;ROUNDUP(MONTH(D214)/3,0)</f>
        <v>Q3</v>
      </c>
    </row>
    <row r="215" customFormat="false" ht="52.2" hidden="false" customHeight="false" outlineLevel="0" collapsed="false">
      <c r="A215" s="7" t="s">
        <v>657</v>
      </c>
      <c r="B215" s="7" t="s">
        <v>612</v>
      </c>
      <c r="C215" s="13" t="s">
        <v>658</v>
      </c>
      <c r="D215" s="11" t="n">
        <v>45545</v>
      </c>
      <c r="E215" s="12" t="n">
        <v>0.416666666700625</v>
      </c>
      <c r="F215" s="11" t="n">
        <v>45545</v>
      </c>
      <c r="G215" s="12" t="n">
        <v>0.666666666700625</v>
      </c>
      <c r="H215" s="10" t="n">
        <v>45544.5260594907</v>
      </c>
      <c r="I215" s="7" t="n">
        <v>1000</v>
      </c>
      <c r="J215" s="0" t="n">
        <f aca="false">IF(AND(D215&gt;=DATE(YEAR(D215),3,15),D215&lt;=DATE(YEAR(D215),6,10)),1,0)</f>
        <v>0</v>
      </c>
      <c r="K215" s="0" t="e">
        <f aca="false">VLOOKUP(D215,Festival_List!$A$2:$B$100,2,0)</f>
        <v>#N/A</v>
      </c>
      <c r="L215" s="0" t="n">
        <f aca="false">ROUND(((F215+G215)-(D215+E215))*24,0)</f>
        <v>6</v>
      </c>
      <c r="M215" s="0" t="n">
        <f aca="false">IF(OR(WEEKDAY(D215)=1,WEEKDAY(D215)=7),1,0)</f>
        <v>0</v>
      </c>
      <c r="N215" s="0" t="str">
        <f aca="false">IF(AND(MONTH(D215)&gt;=3,MONTH(D215)&lt;=6),"Summer",IF(AND(MONTH(D215)&gt;=7,MONTH(D215)&lt;=9),"Monsoon","Winter"))</f>
        <v>Monsoon</v>
      </c>
      <c r="O215" s="0" t="str">
        <f aca="false">IF(AND(L215&gt;=22,L215&lt;=25,E215&gt;=TIME(18,0,0)),"24H Night", IF(AND(L215&gt;=22,L215&lt;=25,E215&lt;TIME(18,0,0)),"24H Day", IF(AND(L215&gt;=11,L215&lt;=13,E215&gt;=TIME(18,0,0)),"12H Night", IF(AND(L215&gt;=11,L215&lt;=13,E215&lt;TIME(18,0,0)),"12H Day", IF(AND(L215&lt;10,E215&gt;=TIME(18,0,0)),"Couple Night", "Couple Day")))))</f>
        <v>Couple Day</v>
      </c>
      <c r="P215" s="0" t="n">
        <f aca="false">WEEKDAY(D215,2)</f>
        <v>2</v>
      </c>
      <c r="Q215" s="0" t="n">
        <f aca="false">MONTH(D215)</f>
        <v>9</v>
      </c>
      <c r="R215" s="0" t="str">
        <f aca="false">"Q"&amp;ROUNDUP(MONTH(D215)/3,0)</f>
        <v>Q3</v>
      </c>
    </row>
    <row r="216" customFormat="false" ht="191.75" hidden="false" customHeight="false" outlineLevel="0" collapsed="false">
      <c r="A216" s="7" t="s">
        <v>659</v>
      </c>
      <c r="B216" s="7" t="s">
        <v>660</v>
      </c>
      <c r="C216" s="13" t="s">
        <v>661</v>
      </c>
      <c r="D216" s="11" t="n">
        <v>45547</v>
      </c>
      <c r="E216" s="12" t="n">
        <v>0.25</v>
      </c>
      <c r="F216" s="11" t="n">
        <v>45547</v>
      </c>
      <c r="G216" s="12" t="n">
        <v>0.625</v>
      </c>
      <c r="H216" s="10" t="n">
        <v>45546.6765549769</v>
      </c>
      <c r="I216" s="7" t="n">
        <v>1500</v>
      </c>
      <c r="J216" s="0" t="n">
        <f aca="false">IF(AND(D216&gt;=DATE(YEAR(D216),3,15),D216&lt;=DATE(YEAR(D216),6,10)),1,0)</f>
        <v>0</v>
      </c>
      <c r="K216" s="0" t="e">
        <f aca="false">VLOOKUP(D216,Festival_List!$A$2:$B$100,2,0)</f>
        <v>#N/A</v>
      </c>
      <c r="L216" s="0" t="n">
        <f aca="false">ROUND(((F216+G216)-(D216+E216))*24,0)</f>
        <v>9</v>
      </c>
      <c r="M216" s="0" t="n">
        <f aca="false">IF(OR(WEEKDAY(D216)=1,WEEKDAY(D216)=7),1,0)</f>
        <v>0</v>
      </c>
      <c r="N216" s="0" t="str">
        <f aca="false">IF(AND(MONTH(D216)&gt;=3,MONTH(D216)&lt;=6),"Summer",IF(AND(MONTH(D216)&gt;=7,MONTH(D216)&lt;=9),"Monsoon","Winter"))</f>
        <v>Monsoon</v>
      </c>
      <c r="O216" s="0" t="str">
        <f aca="false">IF(AND(L216&gt;=22,L216&lt;=25,E216&gt;=TIME(18,0,0)),"24H Night", IF(AND(L216&gt;=22,L216&lt;=25,E216&lt;TIME(18,0,0)),"24H Day", IF(AND(L216&gt;=11,L216&lt;=13,E216&gt;=TIME(18,0,0)),"12H Night", IF(AND(L216&gt;=11,L216&lt;=13,E216&lt;TIME(18,0,0)),"12H Day", IF(AND(L216&lt;10,E216&gt;=TIME(18,0,0)),"Couple Night", "Couple Day")))))</f>
        <v>Couple Day</v>
      </c>
      <c r="P216" s="0" t="n">
        <f aca="false">WEEKDAY(D216,2)</f>
        <v>4</v>
      </c>
      <c r="Q216" s="0" t="n">
        <f aca="false">MONTH(D216)</f>
        <v>9</v>
      </c>
      <c r="R216" s="0" t="str">
        <f aca="false">"Q"&amp;ROUNDUP(MONTH(D216)/3,0)</f>
        <v>Q3</v>
      </c>
    </row>
    <row r="217" customFormat="false" ht="153.7" hidden="false" customHeight="false" outlineLevel="0" collapsed="false">
      <c r="A217" s="7" t="s">
        <v>662</v>
      </c>
      <c r="B217" s="7" t="s">
        <v>663</v>
      </c>
      <c r="C217" s="13" t="s">
        <v>664</v>
      </c>
      <c r="D217" s="11" t="n">
        <v>45548</v>
      </c>
      <c r="E217" s="12" t="n">
        <v>0.458333333299375</v>
      </c>
      <c r="F217" s="11" t="n">
        <v>45548</v>
      </c>
      <c r="G217" s="12" t="n">
        <v>0.708333333299375</v>
      </c>
      <c r="H217" s="10" t="n">
        <v>45920.4068565972</v>
      </c>
      <c r="I217" s="7" t="n">
        <v>1500</v>
      </c>
      <c r="J217" s="0" t="n">
        <f aca="false">IF(AND(D217&gt;=DATE(YEAR(D217),3,15),D217&lt;=DATE(YEAR(D217),6,10)),1,0)</f>
        <v>0</v>
      </c>
      <c r="K217" s="0" t="e">
        <f aca="false">VLOOKUP(D217,Festival_List!$A$2:$B$100,2,0)</f>
        <v>#N/A</v>
      </c>
      <c r="L217" s="0" t="n">
        <f aca="false">ROUND(((F217+G217)-(D217+E217))*24,0)</f>
        <v>6</v>
      </c>
      <c r="M217" s="0" t="n">
        <f aca="false">IF(OR(WEEKDAY(D217)=1,WEEKDAY(D217)=7),1,0)</f>
        <v>0</v>
      </c>
      <c r="N217" s="0" t="str">
        <f aca="false">IF(AND(MONTH(D217)&gt;=3,MONTH(D217)&lt;=6),"Summer",IF(AND(MONTH(D217)&gt;=7,MONTH(D217)&lt;=9),"Monsoon","Winter"))</f>
        <v>Monsoon</v>
      </c>
      <c r="O217" s="0" t="str">
        <f aca="false">IF(AND(L217&gt;=22,L217&lt;=25,E217&gt;=TIME(18,0,0)),"24H Night", IF(AND(L217&gt;=22,L217&lt;=25,E217&lt;TIME(18,0,0)),"24H Day", IF(AND(L217&gt;=11,L217&lt;=13,E217&gt;=TIME(18,0,0)),"12H Night", IF(AND(L217&gt;=11,L217&lt;=13,E217&lt;TIME(18,0,0)),"12H Day", IF(AND(L217&lt;10,E217&gt;=TIME(18,0,0)),"Couple Night", "Couple Day")))))</f>
        <v>Couple Day</v>
      </c>
      <c r="P217" s="0" t="n">
        <f aca="false">WEEKDAY(D217,2)</f>
        <v>5</v>
      </c>
      <c r="Q217" s="0" t="n">
        <f aca="false">MONTH(D217)</f>
        <v>9</v>
      </c>
      <c r="R217" s="0" t="str">
        <f aca="false">"Q"&amp;ROUNDUP(MONTH(D217)/3,0)</f>
        <v>Q3</v>
      </c>
    </row>
    <row r="218" customFormat="false" ht="153.7" hidden="false" customHeight="false" outlineLevel="0" collapsed="false">
      <c r="A218" s="7" t="s">
        <v>665</v>
      </c>
      <c r="B218" s="7" t="s">
        <v>432</v>
      </c>
      <c r="C218" s="13" t="s">
        <v>666</v>
      </c>
      <c r="D218" s="11" t="n">
        <v>45548</v>
      </c>
      <c r="E218" s="12" t="n">
        <v>0.833333333299375</v>
      </c>
      <c r="F218" s="11" t="n">
        <v>45549</v>
      </c>
      <c r="G218" s="12" t="n">
        <v>0.333333333299375</v>
      </c>
      <c r="H218" s="10" t="n">
        <v>45546.6209837963</v>
      </c>
      <c r="I218" s="7" t="n">
        <v>2500</v>
      </c>
      <c r="J218" s="0" t="n">
        <f aca="false">IF(AND(D218&gt;=DATE(YEAR(D218),3,15),D218&lt;=DATE(YEAR(D218),6,10)),1,0)</f>
        <v>0</v>
      </c>
      <c r="K218" s="0" t="e">
        <f aca="false">VLOOKUP(D218,Festival_List!$A$2:$B$100,2,0)</f>
        <v>#N/A</v>
      </c>
      <c r="L218" s="0" t="n">
        <f aca="false">ROUND(((F218+G218)-(D218+E218))*24,0)</f>
        <v>12</v>
      </c>
      <c r="M218" s="0" t="n">
        <f aca="false">IF(OR(WEEKDAY(D218)=1,WEEKDAY(D218)=7),1,0)</f>
        <v>0</v>
      </c>
      <c r="N218" s="0" t="str">
        <f aca="false">IF(AND(MONTH(D218)&gt;=3,MONTH(D218)&lt;=6),"Summer",IF(AND(MONTH(D218)&gt;=7,MONTH(D218)&lt;=9),"Monsoon","Winter"))</f>
        <v>Monsoon</v>
      </c>
      <c r="O218" s="0" t="str">
        <f aca="false">IF(AND(L218&gt;=22,L218&lt;=25,E218&gt;=TIME(18,0,0)),"24H Night", IF(AND(L218&gt;=22,L218&lt;=25,E218&lt;TIME(18,0,0)),"24H Day", IF(AND(L218&gt;=11,L218&lt;=13,E218&gt;=TIME(18,0,0)),"12H Night", IF(AND(L218&gt;=11,L218&lt;=13,E218&lt;TIME(18,0,0)),"12H Day", IF(AND(L218&lt;10,E218&gt;=TIME(18,0,0)),"Couple Night", "Couple Day")))))</f>
        <v>12H Night</v>
      </c>
      <c r="P218" s="0" t="n">
        <f aca="false">WEEKDAY(D218,2)</f>
        <v>5</v>
      </c>
      <c r="Q218" s="0" t="n">
        <f aca="false">MONTH(D218)</f>
        <v>9</v>
      </c>
      <c r="R218" s="0" t="str">
        <f aca="false">"Q"&amp;ROUNDUP(MONTH(D218)/3,0)</f>
        <v>Q3</v>
      </c>
    </row>
    <row r="219" customFormat="false" ht="153.7" hidden="false" customHeight="false" outlineLevel="0" collapsed="false">
      <c r="A219" s="7" t="s">
        <v>667</v>
      </c>
      <c r="B219" s="7" t="s">
        <v>668</v>
      </c>
      <c r="C219" s="13" t="s">
        <v>669</v>
      </c>
      <c r="D219" s="11" t="n">
        <v>45549</v>
      </c>
      <c r="E219" s="12" t="n">
        <v>0.833333333299375</v>
      </c>
      <c r="F219" s="11" t="n">
        <v>45550</v>
      </c>
      <c r="G219" s="12" t="n">
        <v>0.333333333299375</v>
      </c>
      <c r="H219" s="10" t="n">
        <v>45920.4068565972</v>
      </c>
      <c r="I219" s="7" t="n">
        <v>2800</v>
      </c>
      <c r="J219" s="0" t="n">
        <f aca="false">IF(AND(D219&gt;=DATE(YEAR(D219),3,15),D219&lt;=DATE(YEAR(D219),6,10)),1,0)</f>
        <v>0</v>
      </c>
      <c r="K219" s="0" t="e">
        <f aca="false">VLOOKUP(D219,Festival_List!$A$2:$B$100,2,0)</f>
        <v>#N/A</v>
      </c>
      <c r="L219" s="0" t="n">
        <f aca="false">ROUND(((F219+G219)-(D219+E219))*24,0)</f>
        <v>12</v>
      </c>
      <c r="M219" s="0" t="n">
        <f aca="false">IF(OR(WEEKDAY(D219)=1,WEEKDAY(D219)=7),1,0)</f>
        <v>1</v>
      </c>
      <c r="N219" s="0" t="str">
        <f aca="false">IF(AND(MONTH(D219)&gt;=3,MONTH(D219)&lt;=6),"Summer",IF(AND(MONTH(D219)&gt;=7,MONTH(D219)&lt;=9),"Monsoon","Winter"))</f>
        <v>Monsoon</v>
      </c>
      <c r="O219" s="0" t="str">
        <f aca="false">IF(AND(L219&gt;=22,L219&lt;=25,E219&gt;=TIME(18,0,0)),"24H Night", IF(AND(L219&gt;=22,L219&lt;=25,E219&lt;TIME(18,0,0)),"24H Day", IF(AND(L219&gt;=11,L219&lt;=13,E219&gt;=TIME(18,0,0)),"12H Night", IF(AND(L219&gt;=11,L219&lt;=13,E219&lt;TIME(18,0,0)),"12H Day", IF(AND(L219&lt;10,E219&gt;=TIME(18,0,0)),"Couple Night", "Couple Day")))))</f>
        <v>12H Night</v>
      </c>
      <c r="P219" s="0" t="n">
        <f aca="false">WEEKDAY(D219,2)</f>
        <v>6</v>
      </c>
      <c r="Q219" s="0" t="n">
        <f aca="false">MONTH(D219)</f>
        <v>9</v>
      </c>
      <c r="R219" s="0" t="str">
        <f aca="false">"Q"&amp;ROUNDUP(MONTH(D219)/3,0)</f>
        <v>Q3</v>
      </c>
    </row>
    <row r="220" customFormat="false" ht="153.7" hidden="false" customHeight="false" outlineLevel="0" collapsed="false">
      <c r="A220" s="7" t="s">
        <v>670</v>
      </c>
      <c r="B220" s="7" t="s">
        <v>671</v>
      </c>
      <c r="C220" s="13" t="s">
        <v>672</v>
      </c>
      <c r="D220" s="11" t="n">
        <v>45552</v>
      </c>
      <c r="E220" s="12" t="n">
        <v>0.375</v>
      </c>
      <c r="F220" s="11" t="n">
        <v>45552</v>
      </c>
      <c r="G220" s="12" t="n">
        <v>0.75</v>
      </c>
      <c r="H220" s="10" t="n">
        <v>45551.3881527778</v>
      </c>
      <c r="I220" s="7" t="n">
        <v>2200</v>
      </c>
      <c r="J220" s="0" t="n">
        <f aca="false">IF(AND(D220&gt;=DATE(YEAR(D220),3,15),D220&lt;=DATE(YEAR(D220),6,10)),1,0)</f>
        <v>0</v>
      </c>
      <c r="K220" s="0" t="e">
        <f aca="false">VLOOKUP(D220,Festival_List!$A$2:$B$100,2,0)</f>
        <v>#N/A</v>
      </c>
      <c r="L220" s="0" t="n">
        <f aca="false">ROUND(((F220+G220)-(D220+E220))*24,0)</f>
        <v>9</v>
      </c>
      <c r="M220" s="0" t="n">
        <f aca="false">IF(OR(WEEKDAY(D220)=1,WEEKDAY(D220)=7),1,0)</f>
        <v>0</v>
      </c>
      <c r="N220" s="0" t="str">
        <f aca="false">IF(AND(MONTH(D220)&gt;=3,MONTH(D220)&lt;=6),"Summer",IF(AND(MONTH(D220)&gt;=7,MONTH(D220)&lt;=9),"Monsoon","Winter"))</f>
        <v>Monsoon</v>
      </c>
      <c r="O220" s="0" t="str">
        <f aca="false">IF(AND(L220&gt;=22,L220&lt;=25,E220&gt;=TIME(18,0,0)),"24H Night", IF(AND(L220&gt;=22,L220&lt;=25,E220&lt;TIME(18,0,0)),"24H Day", IF(AND(L220&gt;=11,L220&lt;=13,E220&gt;=TIME(18,0,0)),"12H Night", IF(AND(L220&gt;=11,L220&lt;=13,E220&lt;TIME(18,0,0)),"12H Day", IF(AND(L220&lt;10,E220&gt;=TIME(18,0,0)),"Couple Night", "Couple Day")))))</f>
        <v>Couple Day</v>
      </c>
      <c r="P220" s="0" t="n">
        <f aca="false">WEEKDAY(D220,2)</f>
        <v>2</v>
      </c>
      <c r="Q220" s="0" t="n">
        <f aca="false">MONTH(D220)</f>
        <v>9</v>
      </c>
      <c r="R220" s="0" t="str">
        <f aca="false">"Q"&amp;ROUNDUP(MONTH(D220)/3,0)</f>
        <v>Q3</v>
      </c>
    </row>
    <row r="221" customFormat="false" ht="153.7" hidden="false" customHeight="false" outlineLevel="0" collapsed="false">
      <c r="A221" s="7" t="s">
        <v>673</v>
      </c>
      <c r="B221" s="7" t="s">
        <v>674</v>
      </c>
      <c r="C221" s="13" t="s">
        <v>675</v>
      </c>
      <c r="D221" s="11" t="n">
        <v>45554</v>
      </c>
      <c r="E221" s="12" t="n">
        <v>0.375</v>
      </c>
      <c r="F221" s="11" t="n">
        <v>45554</v>
      </c>
      <c r="G221" s="12" t="n">
        <v>0.75</v>
      </c>
      <c r="H221" s="10" t="n">
        <v>45552.6725478009</v>
      </c>
      <c r="I221" s="7" t="n">
        <v>2500</v>
      </c>
      <c r="J221" s="0" t="n">
        <f aca="false">IF(AND(D221&gt;=DATE(YEAR(D221),3,15),D221&lt;=DATE(YEAR(D221),6,10)),1,0)</f>
        <v>0</v>
      </c>
      <c r="K221" s="0" t="e">
        <f aca="false">VLOOKUP(D221,Festival_List!$A$2:$B$100,2,0)</f>
        <v>#N/A</v>
      </c>
      <c r="L221" s="0" t="n">
        <f aca="false">ROUND(((F221+G221)-(D221+E221))*24,0)</f>
        <v>9</v>
      </c>
      <c r="M221" s="0" t="n">
        <f aca="false">IF(OR(WEEKDAY(D221)=1,WEEKDAY(D221)=7),1,0)</f>
        <v>0</v>
      </c>
      <c r="N221" s="0" t="str">
        <f aca="false">IF(AND(MONTH(D221)&gt;=3,MONTH(D221)&lt;=6),"Summer",IF(AND(MONTH(D221)&gt;=7,MONTH(D221)&lt;=9),"Monsoon","Winter"))</f>
        <v>Monsoon</v>
      </c>
      <c r="O221" s="0" t="str">
        <f aca="false">IF(AND(L221&gt;=22,L221&lt;=25,E221&gt;=TIME(18,0,0)),"24H Night", IF(AND(L221&gt;=22,L221&lt;=25,E221&lt;TIME(18,0,0)),"24H Day", IF(AND(L221&gt;=11,L221&lt;=13,E221&gt;=TIME(18,0,0)),"12H Night", IF(AND(L221&gt;=11,L221&lt;=13,E221&lt;TIME(18,0,0)),"12H Day", IF(AND(L221&lt;10,E221&gt;=TIME(18,0,0)),"Couple Night", "Couple Day")))))</f>
        <v>Couple Day</v>
      </c>
      <c r="P221" s="0" t="n">
        <f aca="false">WEEKDAY(D221,2)</f>
        <v>4</v>
      </c>
      <c r="Q221" s="0" t="n">
        <f aca="false">MONTH(D221)</f>
        <v>9</v>
      </c>
      <c r="R221" s="0" t="str">
        <f aca="false">"Q"&amp;ROUNDUP(MONTH(D221)/3,0)</f>
        <v>Q3</v>
      </c>
    </row>
    <row r="222" customFormat="false" ht="153.7" hidden="false" customHeight="false" outlineLevel="0" collapsed="false">
      <c r="A222" s="7" t="s">
        <v>676</v>
      </c>
      <c r="B222" s="7" t="s">
        <v>677</v>
      </c>
      <c r="C222" s="13" t="s">
        <v>678</v>
      </c>
      <c r="D222" s="11" t="n">
        <v>45555</v>
      </c>
      <c r="E222" s="12" t="n">
        <v>0.375</v>
      </c>
      <c r="F222" s="11" t="n">
        <v>45555</v>
      </c>
      <c r="G222" s="12" t="n">
        <v>0.75</v>
      </c>
      <c r="H222" s="10" t="n">
        <v>45553.8234204861</v>
      </c>
      <c r="I222" s="7" t="n">
        <v>1500</v>
      </c>
      <c r="J222" s="0" t="n">
        <f aca="false">IF(AND(D222&gt;=DATE(YEAR(D222),3,15),D222&lt;=DATE(YEAR(D222),6,10)),1,0)</f>
        <v>0</v>
      </c>
      <c r="K222" s="0" t="e">
        <f aca="false">VLOOKUP(D222,Festival_List!$A$2:$B$100,2,0)</f>
        <v>#N/A</v>
      </c>
      <c r="L222" s="0" t="n">
        <f aca="false">ROUND(((F222+G222)-(D222+E222))*24,0)</f>
        <v>9</v>
      </c>
      <c r="M222" s="0" t="n">
        <f aca="false">IF(OR(WEEKDAY(D222)=1,WEEKDAY(D222)=7),1,0)</f>
        <v>0</v>
      </c>
      <c r="N222" s="0" t="str">
        <f aca="false">IF(AND(MONTH(D222)&gt;=3,MONTH(D222)&lt;=6),"Summer",IF(AND(MONTH(D222)&gt;=7,MONTH(D222)&lt;=9),"Monsoon","Winter"))</f>
        <v>Monsoon</v>
      </c>
      <c r="O222" s="0" t="str">
        <f aca="false">IF(AND(L222&gt;=22,L222&lt;=25,E222&gt;=TIME(18,0,0)),"24H Night", IF(AND(L222&gt;=22,L222&lt;=25,E222&lt;TIME(18,0,0)),"24H Day", IF(AND(L222&gt;=11,L222&lt;=13,E222&gt;=TIME(18,0,0)),"12H Night", IF(AND(L222&gt;=11,L222&lt;=13,E222&lt;TIME(18,0,0)),"12H Day", IF(AND(L222&lt;10,E222&gt;=TIME(18,0,0)),"Couple Night", "Couple Day")))))</f>
        <v>Couple Day</v>
      </c>
      <c r="P222" s="0" t="n">
        <f aca="false">WEEKDAY(D222,2)</f>
        <v>5</v>
      </c>
      <c r="Q222" s="0" t="n">
        <f aca="false">MONTH(D222)</f>
        <v>9</v>
      </c>
      <c r="R222" s="0" t="str">
        <f aca="false">"Q"&amp;ROUNDUP(MONTH(D222)/3,0)</f>
        <v>Q3</v>
      </c>
    </row>
    <row r="223" customFormat="false" ht="153.7" hidden="false" customHeight="false" outlineLevel="0" collapsed="false">
      <c r="A223" s="7" t="s">
        <v>679</v>
      </c>
      <c r="B223" s="7" t="s">
        <v>680</v>
      </c>
      <c r="C223" s="13" t="s">
        <v>681</v>
      </c>
      <c r="D223" s="11" t="n">
        <v>45556</v>
      </c>
      <c r="E223" s="12" t="n">
        <v>0.375</v>
      </c>
      <c r="F223" s="11" t="n">
        <v>45556</v>
      </c>
      <c r="G223" s="12" t="n">
        <v>0.75</v>
      </c>
      <c r="H223" s="10" t="n">
        <v>45553.6899829861</v>
      </c>
      <c r="I223" s="7" t="n">
        <v>1500</v>
      </c>
      <c r="J223" s="0" t="n">
        <f aca="false">IF(AND(D223&gt;=DATE(YEAR(D223),3,15),D223&lt;=DATE(YEAR(D223),6,10)),1,0)</f>
        <v>0</v>
      </c>
      <c r="K223" s="0" t="e">
        <f aca="false">VLOOKUP(D223,Festival_List!$A$2:$B$100,2,0)</f>
        <v>#N/A</v>
      </c>
      <c r="L223" s="0" t="n">
        <f aca="false">ROUND(((F223+G223)-(D223+E223))*24,0)</f>
        <v>9</v>
      </c>
      <c r="M223" s="0" t="n">
        <f aca="false">IF(OR(WEEKDAY(D223)=1,WEEKDAY(D223)=7),1,0)</f>
        <v>1</v>
      </c>
      <c r="N223" s="0" t="str">
        <f aca="false">IF(AND(MONTH(D223)&gt;=3,MONTH(D223)&lt;=6),"Summer",IF(AND(MONTH(D223)&gt;=7,MONTH(D223)&lt;=9),"Monsoon","Winter"))</f>
        <v>Monsoon</v>
      </c>
      <c r="O223" s="0" t="str">
        <f aca="false">IF(AND(L223&gt;=22,L223&lt;=25,E223&gt;=TIME(18,0,0)),"24H Night", IF(AND(L223&gt;=22,L223&lt;=25,E223&lt;TIME(18,0,0)),"24H Day", IF(AND(L223&gt;=11,L223&lt;=13,E223&gt;=TIME(18,0,0)),"12H Night", IF(AND(L223&gt;=11,L223&lt;=13,E223&lt;TIME(18,0,0)),"12H Day", IF(AND(L223&lt;10,E223&gt;=TIME(18,0,0)),"Couple Night", "Couple Day")))))</f>
        <v>Couple Day</v>
      </c>
      <c r="P223" s="0" t="n">
        <f aca="false">WEEKDAY(D223,2)</f>
        <v>6</v>
      </c>
      <c r="Q223" s="0" t="n">
        <f aca="false">MONTH(D223)</f>
        <v>9</v>
      </c>
      <c r="R223" s="0" t="str">
        <f aca="false">"Q"&amp;ROUNDUP(MONTH(D223)/3,0)</f>
        <v>Q3</v>
      </c>
    </row>
    <row r="224" customFormat="false" ht="153.7" hidden="false" customHeight="false" outlineLevel="0" collapsed="false">
      <c r="A224" s="7" t="s">
        <v>682</v>
      </c>
      <c r="B224" s="7" t="s">
        <v>683</v>
      </c>
      <c r="C224" s="13" t="s">
        <v>684</v>
      </c>
      <c r="D224" s="11" t="n">
        <v>45557</v>
      </c>
      <c r="E224" s="12" t="n">
        <v>0.416666666700625</v>
      </c>
      <c r="F224" s="11" t="n">
        <v>45557</v>
      </c>
      <c r="G224" s="12" t="n">
        <v>0.875</v>
      </c>
      <c r="H224" s="10" t="n">
        <v>45543.5800107639</v>
      </c>
      <c r="I224" s="7" t="n">
        <v>3500</v>
      </c>
      <c r="J224" s="0" t="n">
        <f aca="false">IF(AND(D224&gt;=DATE(YEAR(D224),3,15),D224&lt;=DATE(YEAR(D224),6,10)),1,0)</f>
        <v>0</v>
      </c>
      <c r="K224" s="0" t="e">
        <f aca="false">VLOOKUP(D224,Festival_List!$A$2:$B$100,2,0)</f>
        <v>#N/A</v>
      </c>
      <c r="L224" s="0" t="n">
        <f aca="false">ROUND(((F224+G224)-(D224+E224))*24,0)</f>
        <v>11</v>
      </c>
      <c r="M224" s="0" t="n">
        <f aca="false">IF(OR(WEEKDAY(D224)=1,WEEKDAY(D224)=7),1,0)</f>
        <v>1</v>
      </c>
      <c r="N224" s="0" t="str">
        <f aca="false">IF(AND(MONTH(D224)&gt;=3,MONTH(D224)&lt;=6),"Summer",IF(AND(MONTH(D224)&gt;=7,MONTH(D224)&lt;=9),"Monsoon","Winter"))</f>
        <v>Monsoon</v>
      </c>
      <c r="O224" s="0" t="str">
        <f aca="false">IF(AND(L224&gt;=22,L224&lt;=25,E224&gt;=TIME(18,0,0)),"24H Night", IF(AND(L224&gt;=22,L224&lt;=25,E224&lt;TIME(18,0,0)),"24H Day", IF(AND(L224&gt;=11,L224&lt;=13,E224&gt;=TIME(18,0,0)),"12H Night", IF(AND(L224&gt;=11,L224&lt;=13,E224&lt;TIME(18,0,0)),"12H Day", IF(AND(L224&lt;10,E224&gt;=TIME(18,0,0)),"Couple Night", "Couple Day")))))</f>
        <v>12H Day</v>
      </c>
      <c r="P224" s="0" t="n">
        <f aca="false">WEEKDAY(D224,2)</f>
        <v>7</v>
      </c>
      <c r="Q224" s="0" t="n">
        <f aca="false">MONTH(D224)</f>
        <v>9</v>
      </c>
      <c r="R224" s="0" t="str">
        <f aca="false">"Q"&amp;ROUNDUP(MONTH(D224)/3,0)</f>
        <v>Q3</v>
      </c>
    </row>
    <row r="225" customFormat="false" ht="153.7" hidden="false" customHeight="false" outlineLevel="0" collapsed="false">
      <c r="A225" s="7" t="s">
        <v>685</v>
      </c>
      <c r="B225" s="7" t="s">
        <v>686</v>
      </c>
      <c r="C225" s="13" t="s">
        <v>687</v>
      </c>
      <c r="D225" s="11" t="n">
        <v>45559</v>
      </c>
      <c r="E225" s="12" t="n">
        <v>0.375</v>
      </c>
      <c r="F225" s="11" t="n">
        <v>45559</v>
      </c>
      <c r="G225" s="12" t="n">
        <v>0.75</v>
      </c>
      <c r="H225" s="10" t="n">
        <v>45553.8686143519</v>
      </c>
      <c r="I225" s="7" t="n">
        <v>2000</v>
      </c>
      <c r="J225" s="0" t="n">
        <f aca="false">IF(AND(D225&gt;=DATE(YEAR(D225),3,15),D225&lt;=DATE(YEAR(D225),6,10)),1,0)</f>
        <v>0</v>
      </c>
      <c r="K225" s="0" t="e">
        <f aca="false">VLOOKUP(D225,Festival_List!$A$2:$B$100,2,0)</f>
        <v>#N/A</v>
      </c>
      <c r="L225" s="0" t="n">
        <f aca="false">ROUND(((F225+G225)-(D225+E225))*24,0)</f>
        <v>9</v>
      </c>
      <c r="M225" s="0" t="n">
        <f aca="false">IF(OR(WEEKDAY(D225)=1,WEEKDAY(D225)=7),1,0)</f>
        <v>0</v>
      </c>
      <c r="N225" s="0" t="str">
        <f aca="false">IF(AND(MONTH(D225)&gt;=3,MONTH(D225)&lt;=6),"Summer",IF(AND(MONTH(D225)&gt;=7,MONTH(D225)&lt;=9),"Monsoon","Winter"))</f>
        <v>Monsoon</v>
      </c>
      <c r="O225" s="0" t="str">
        <f aca="false">IF(AND(L225&gt;=22,L225&lt;=25,E225&gt;=TIME(18,0,0)),"24H Night", IF(AND(L225&gt;=22,L225&lt;=25,E225&lt;TIME(18,0,0)),"24H Day", IF(AND(L225&gt;=11,L225&lt;=13,E225&gt;=TIME(18,0,0)),"12H Night", IF(AND(L225&gt;=11,L225&lt;=13,E225&lt;TIME(18,0,0)),"12H Day", IF(AND(L225&lt;10,E225&gt;=TIME(18,0,0)),"Couple Night", "Couple Day")))))</f>
        <v>Couple Day</v>
      </c>
      <c r="P225" s="0" t="n">
        <f aca="false">WEEKDAY(D225,2)</f>
        <v>2</v>
      </c>
      <c r="Q225" s="0" t="n">
        <f aca="false">MONTH(D225)</f>
        <v>9</v>
      </c>
      <c r="R225" s="0" t="str">
        <f aca="false">"Q"&amp;ROUNDUP(MONTH(D225)/3,0)</f>
        <v>Q3</v>
      </c>
    </row>
    <row r="226" customFormat="false" ht="153.7" hidden="false" customHeight="false" outlineLevel="0" collapsed="false">
      <c r="A226" s="7" t="s">
        <v>688</v>
      </c>
      <c r="B226" s="7" t="s">
        <v>504</v>
      </c>
      <c r="C226" s="13" t="s">
        <v>689</v>
      </c>
      <c r="D226" s="11" t="n">
        <v>45560</v>
      </c>
      <c r="E226" s="12" t="n">
        <v>0.833333333299375</v>
      </c>
      <c r="F226" s="11" t="n">
        <v>45561</v>
      </c>
      <c r="G226" s="12" t="n">
        <v>0.333333333299375</v>
      </c>
      <c r="H226" s="10" t="n">
        <v>45935.0221489583</v>
      </c>
      <c r="I226" s="7" t="n">
        <v>2500</v>
      </c>
      <c r="J226" s="0" t="n">
        <f aca="false">IF(AND(D226&gt;=DATE(YEAR(D226),3,15),D226&lt;=DATE(YEAR(D226),6,10)),1,0)</f>
        <v>0</v>
      </c>
      <c r="K226" s="0" t="e">
        <f aca="false">VLOOKUP(D226,Festival_List!$A$2:$B$100,2,0)</f>
        <v>#N/A</v>
      </c>
      <c r="L226" s="0" t="n">
        <f aca="false">ROUND(((F226+G226)-(D226+E226))*24,0)</f>
        <v>12</v>
      </c>
      <c r="M226" s="0" t="n">
        <f aca="false">IF(OR(WEEKDAY(D226)=1,WEEKDAY(D226)=7),1,0)</f>
        <v>0</v>
      </c>
      <c r="N226" s="0" t="str">
        <f aca="false">IF(AND(MONTH(D226)&gt;=3,MONTH(D226)&lt;=6),"Summer",IF(AND(MONTH(D226)&gt;=7,MONTH(D226)&lt;=9),"Monsoon","Winter"))</f>
        <v>Monsoon</v>
      </c>
      <c r="O226" s="0" t="str">
        <f aca="false">IF(AND(L226&gt;=22,L226&lt;=25,E226&gt;=TIME(18,0,0)),"24H Night", IF(AND(L226&gt;=22,L226&lt;=25,E226&lt;TIME(18,0,0)),"24H Day", IF(AND(L226&gt;=11,L226&lt;=13,E226&gt;=TIME(18,0,0)),"12H Night", IF(AND(L226&gt;=11,L226&lt;=13,E226&lt;TIME(18,0,0)),"12H Day", IF(AND(L226&lt;10,E226&gt;=TIME(18,0,0)),"Couple Night", "Couple Day")))))</f>
        <v>12H Night</v>
      </c>
      <c r="P226" s="0" t="n">
        <f aca="false">WEEKDAY(D226,2)</f>
        <v>3</v>
      </c>
      <c r="Q226" s="0" t="n">
        <f aca="false">MONTH(D226)</f>
        <v>9</v>
      </c>
      <c r="R226" s="0" t="str">
        <f aca="false">"Q"&amp;ROUNDUP(MONTH(D226)/3,0)</f>
        <v>Q3</v>
      </c>
    </row>
    <row r="227" customFormat="false" ht="153.7" hidden="false" customHeight="false" outlineLevel="0" collapsed="false">
      <c r="A227" s="7" t="s">
        <v>690</v>
      </c>
      <c r="B227" s="7" t="s">
        <v>691</v>
      </c>
      <c r="C227" s="13" t="s">
        <v>692</v>
      </c>
      <c r="D227" s="11" t="n">
        <v>45563</v>
      </c>
      <c r="E227" s="12" t="n">
        <v>0.791666666700625</v>
      </c>
      <c r="F227" s="11" t="n">
        <v>45564</v>
      </c>
      <c r="G227" s="12" t="n">
        <v>0.791666666700625</v>
      </c>
      <c r="H227" s="10" t="n">
        <v>45935.0221489583</v>
      </c>
      <c r="I227" s="7" t="n">
        <v>4500</v>
      </c>
      <c r="J227" s="0" t="n">
        <f aca="false">IF(AND(D227&gt;=DATE(YEAR(D227),3,15),D227&lt;=DATE(YEAR(D227),6,10)),1,0)</f>
        <v>0</v>
      </c>
      <c r="K227" s="0" t="e">
        <f aca="false">VLOOKUP(D227,Festival_List!$A$2:$B$100,2,0)</f>
        <v>#N/A</v>
      </c>
      <c r="L227" s="0" t="n">
        <f aca="false">ROUND(((F227+G227)-(D227+E227))*24,0)</f>
        <v>24</v>
      </c>
      <c r="M227" s="0" t="n">
        <f aca="false">IF(OR(WEEKDAY(D227)=1,WEEKDAY(D227)=7),1,0)</f>
        <v>1</v>
      </c>
      <c r="N227" s="0" t="str">
        <f aca="false">IF(AND(MONTH(D227)&gt;=3,MONTH(D227)&lt;=6),"Summer",IF(AND(MONTH(D227)&gt;=7,MONTH(D227)&lt;=9),"Monsoon","Winter"))</f>
        <v>Monsoon</v>
      </c>
      <c r="O227" s="0" t="str">
        <f aca="false">IF(AND(L227&gt;=22,L227&lt;=25,E227&gt;=TIME(18,0,0)),"24H Night", IF(AND(L227&gt;=22,L227&lt;=25,E227&lt;TIME(18,0,0)),"24H Day", IF(AND(L227&gt;=11,L227&lt;=13,E227&gt;=TIME(18,0,0)),"12H Night", IF(AND(L227&gt;=11,L227&lt;=13,E227&lt;TIME(18,0,0)),"12H Day", IF(AND(L227&lt;10,E227&gt;=TIME(18,0,0)),"Couple Night", "Couple Day")))))</f>
        <v>24H Night</v>
      </c>
      <c r="P227" s="0" t="n">
        <f aca="false">WEEKDAY(D227,2)</f>
        <v>6</v>
      </c>
      <c r="Q227" s="0" t="n">
        <f aca="false">MONTH(D227)</f>
        <v>9</v>
      </c>
      <c r="R227" s="0" t="str">
        <f aca="false">"Q"&amp;ROUNDUP(MONTH(D227)/3,0)</f>
        <v>Q3</v>
      </c>
    </row>
    <row r="228" customFormat="false" ht="153.7" hidden="false" customHeight="false" outlineLevel="0" collapsed="false">
      <c r="A228" s="7" t="s">
        <v>693</v>
      </c>
      <c r="B228" s="7" t="s">
        <v>694</v>
      </c>
      <c r="C228" s="13" t="s">
        <v>695</v>
      </c>
      <c r="D228" s="11" t="n">
        <v>45565</v>
      </c>
      <c r="E228" s="12" t="n">
        <v>0.458333333299375</v>
      </c>
      <c r="F228" s="11" t="n">
        <v>45565</v>
      </c>
      <c r="G228" s="12" t="n">
        <v>0.666666666700625</v>
      </c>
      <c r="H228" s="10" t="n">
        <v>45565.4623001157</v>
      </c>
      <c r="I228" s="7" t="n">
        <v>1200</v>
      </c>
      <c r="J228" s="0" t="n">
        <f aca="false">IF(AND(D228&gt;=DATE(YEAR(D228),3,15),D228&lt;=DATE(YEAR(D228),6,10)),1,0)</f>
        <v>0</v>
      </c>
      <c r="K228" s="0" t="e">
        <f aca="false">VLOOKUP(D228,Festival_List!$A$2:$B$100,2,0)</f>
        <v>#N/A</v>
      </c>
      <c r="L228" s="0" t="n">
        <f aca="false">ROUND(((F228+G228)-(D228+E228))*24,0)</f>
        <v>5</v>
      </c>
      <c r="M228" s="0" t="n">
        <f aca="false">IF(OR(WEEKDAY(D228)=1,WEEKDAY(D228)=7),1,0)</f>
        <v>0</v>
      </c>
      <c r="N228" s="0" t="str">
        <f aca="false">IF(AND(MONTH(D228)&gt;=3,MONTH(D228)&lt;=6),"Summer",IF(AND(MONTH(D228)&gt;=7,MONTH(D228)&lt;=9),"Monsoon","Winter"))</f>
        <v>Monsoon</v>
      </c>
      <c r="O228" s="0" t="str">
        <f aca="false">IF(AND(L228&gt;=22,L228&lt;=25,E228&gt;=TIME(18,0,0)),"24H Night", IF(AND(L228&gt;=22,L228&lt;=25,E228&lt;TIME(18,0,0)),"24H Day", IF(AND(L228&gt;=11,L228&lt;=13,E228&gt;=TIME(18,0,0)),"12H Night", IF(AND(L228&gt;=11,L228&lt;=13,E228&lt;TIME(18,0,0)),"12H Day", IF(AND(L228&lt;10,E228&gt;=TIME(18,0,0)),"Couple Night", "Couple Day")))))</f>
        <v>Couple Day</v>
      </c>
      <c r="P228" s="0" t="n">
        <f aca="false">WEEKDAY(D228,2)</f>
        <v>1</v>
      </c>
      <c r="Q228" s="0" t="n">
        <f aca="false">MONTH(D228)</f>
        <v>9</v>
      </c>
      <c r="R228" s="0" t="str">
        <f aca="false">"Q"&amp;ROUNDUP(MONTH(D228)/3,0)</f>
        <v>Q3</v>
      </c>
    </row>
    <row r="229" customFormat="false" ht="102.95" hidden="false" customHeight="false" outlineLevel="0" collapsed="false">
      <c r="A229" s="7" t="s">
        <v>696</v>
      </c>
      <c r="B229" s="7" t="s">
        <v>697</v>
      </c>
      <c r="C229" s="13" t="s">
        <v>698</v>
      </c>
      <c r="D229" s="11" t="n">
        <v>45568</v>
      </c>
      <c r="E229" s="12" t="n">
        <v>0.6875</v>
      </c>
      <c r="F229" s="11" t="n">
        <v>45569</v>
      </c>
      <c r="G229" s="12" t="n">
        <v>0.333333333299375</v>
      </c>
      <c r="H229" s="10" t="n">
        <v>45568.580171412</v>
      </c>
      <c r="I229" s="7" t="n">
        <v>2200</v>
      </c>
      <c r="J229" s="0" t="n">
        <f aca="false">IF(AND(D229&gt;=DATE(YEAR(D229),3,15),D229&lt;=DATE(YEAR(D229),6,10)),1,0)</f>
        <v>0</v>
      </c>
      <c r="K229" s="0" t="str">
        <f aca="false">VLOOKUP(D229,Festival_List!$A$2:$B$100,2,0)</f>
        <v>Navratri Day 1</v>
      </c>
      <c r="L229" s="0" t="n">
        <f aca="false">ROUND(((F229+G229)-(D229+E229))*24,0)</f>
        <v>15</v>
      </c>
      <c r="M229" s="0" t="n">
        <f aca="false">IF(OR(WEEKDAY(D229)=1,WEEKDAY(D229)=7),1,0)</f>
        <v>0</v>
      </c>
      <c r="N229" s="0" t="str">
        <f aca="false">IF(AND(MONTH(D229)&gt;=3,MONTH(D229)&lt;=6),"Summer",IF(AND(MONTH(D229)&gt;=7,MONTH(D229)&lt;=9),"Monsoon","Winter"))</f>
        <v>Winter</v>
      </c>
      <c r="O229" s="0" t="str">
        <f aca="false">IF(AND(L229&gt;=22,L229&lt;=25,E229&gt;=TIME(18,0,0)),"24H Night", IF(AND(L229&gt;=22,L229&lt;=25,E229&lt;TIME(18,0,0)),"24H Day", IF(AND(L229&gt;=11,L229&lt;=13,E229&gt;=TIME(18,0,0)),"12H Night", IF(AND(L229&gt;=11,L229&lt;=13,E229&lt;TIME(18,0,0)),"12H Day", IF(AND(L229&lt;10,E229&gt;=TIME(18,0,0)),"Couple Night", "Couple Day")))))</f>
        <v>Couple Day</v>
      </c>
      <c r="P229" s="0" t="n">
        <f aca="false">WEEKDAY(D229,2)</f>
        <v>4</v>
      </c>
      <c r="Q229" s="0" t="n">
        <f aca="false">MONTH(D229)</f>
        <v>10</v>
      </c>
      <c r="R229" s="0" t="str">
        <f aca="false">"Q"&amp;ROUNDUP(MONTH(D229)/3,0)</f>
        <v>Q4</v>
      </c>
    </row>
    <row r="230" customFormat="false" ht="141" hidden="false" customHeight="false" outlineLevel="0" collapsed="false">
      <c r="A230" s="7" t="s">
        <v>699</v>
      </c>
      <c r="B230" s="7" t="s">
        <v>539</v>
      </c>
      <c r="C230" s="13" t="s">
        <v>700</v>
      </c>
      <c r="D230" s="11" t="n">
        <v>45570</v>
      </c>
      <c r="E230" s="12" t="n">
        <v>0.375</v>
      </c>
      <c r="F230" s="11" t="n">
        <v>45570</v>
      </c>
      <c r="G230" s="12" t="n">
        <v>0.75</v>
      </c>
      <c r="H230" s="10" t="n">
        <v>45569.8122460648</v>
      </c>
      <c r="I230" s="7" t="n">
        <v>2000</v>
      </c>
      <c r="J230" s="0" t="n">
        <f aca="false">IF(AND(D230&gt;=DATE(YEAR(D230),3,15),D230&lt;=DATE(YEAR(D230),6,10)),1,0)</f>
        <v>0</v>
      </c>
      <c r="K230" s="0" t="e">
        <f aca="false">VLOOKUP(D230,Festival_List!$A$2:$B$100,2,0)</f>
        <v>#N/A</v>
      </c>
      <c r="L230" s="0" t="n">
        <f aca="false">ROUND(((F230+G230)-(D230+E230))*24,0)</f>
        <v>9</v>
      </c>
      <c r="M230" s="0" t="n">
        <f aca="false">IF(OR(WEEKDAY(D230)=1,WEEKDAY(D230)=7),1,0)</f>
        <v>1</v>
      </c>
      <c r="N230" s="0" t="str">
        <f aca="false">IF(AND(MONTH(D230)&gt;=3,MONTH(D230)&lt;=6),"Summer",IF(AND(MONTH(D230)&gt;=7,MONTH(D230)&lt;=9),"Monsoon","Winter"))</f>
        <v>Winter</v>
      </c>
      <c r="O230" s="0" t="str">
        <f aca="false">IF(AND(L230&gt;=22,L230&lt;=25,E230&gt;=TIME(18,0,0)),"24H Night", IF(AND(L230&gt;=22,L230&lt;=25,E230&lt;TIME(18,0,0)),"24H Day", IF(AND(L230&gt;=11,L230&lt;=13,E230&gt;=TIME(18,0,0)),"12H Night", IF(AND(L230&gt;=11,L230&lt;=13,E230&lt;TIME(18,0,0)),"12H Day", IF(AND(L230&lt;10,E230&gt;=TIME(18,0,0)),"Couple Night", "Couple Day")))))</f>
        <v>Couple Day</v>
      </c>
      <c r="P230" s="0" t="n">
        <f aca="false">WEEKDAY(D230,2)</f>
        <v>6</v>
      </c>
      <c r="Q230" s="0" t="n">
        <f aca="false">MONTH(D230)</f>
        <v>10</v>
      </c>
      <c r="R230" s="0" t="str">
        <f aca="false">"Q"&amp;ROUNDUP(MONTH(D230)/3,0)</f>
        <v>Q4</v>
      </c>
    </row>
    <row r="231" customFormat="false" ht="153.7" hidden="false" customHeight="false" outlineLevel="0" collapsed="false">
      <c r="A231" s="7" t="s">
        <v>701</v>
      </c>
      <c r="B231" s="7" t="s">
        <v>702</v>
      </c>
      <c r="C231" s="13" t="s">
        <v>703</v>
      </c>
      <c r="D231" s="11" t="n">
        <v>45570</v>
      </c>
      <c r="E231" s="12" t="n">
        <v>0.791666666700625</v>
      </c>
      <c r="F231" s="11" t="n">
        <v>45571</v>
      </c>
      <c r="G231" s="12" t="n">
        <v>0.791666666700625</v>
      </c>
      <c r="H231" s="10" t="n">
        <v>45565.5956571759</v>
      </c>
      <c r="I231" s="7" t="n">
        <v>4500</v>
      </c>
      <c r="J231" s="0" t="n">
        <f aca="false">IF(AND(D231&gt;=DATE(YEAR(D231),3,15),D231&lt;=DATE(YEAR(D231),6,10)),1,0)</f>
        <v>0</v>
      </c>
      <c r="K231" s="0" t="e">
        <f aca="false">VLOOKUP(D231,Festival_List!$A$2:$B$100,2,0)</f>
        <v>#N/A</v>
      </c>
      <c r="L231" s="0" t="n">
        <f aca="false">ROUND(((F231+G231)-(D231+E231))*24,0)</f>
        <v>24</v>
      </c>
      <c r="M231" s="0" t="n">
        <f aca="false">IF(OR(WEEKDAY(D231)=1,WEEKDAY(D231)=7),1,0)</f>
        <v>1</v>
      </c>
      <c r="N231" s="0" t="str">
        <f aca="false">IF(AND(MONTH(D231)&gt;=3,MONTH(D231)&lt;=6),"Summer",IF(AND(MONTH(D231)&gt;=7,MONTH(D231)&lt;=9),"Monsoon","Winter"))</f>
        <v>Winter</v>
      </c>
      <c r="O231" s="0" t="str">
        <f aca="false">IF(AND(L231&gt;=22,L231&lt;=25,E231&gt;=TIME(18,0,0)),"24H Night", IF(AND(L231&gt;=22,L231&lt;=25,E231&lt;TIME(18,0,0)),"24H Day", IF(AND(L231&gt;=11,L231&lt;=13,E231&gt;=TIME(18,0,0)),"12H Night", IF(AND(L231&gt;=11,L231&lt;=13,E231&lt;TIME(18,0,0)),"12H Day", IF(AND(L231&lt;10,E231&gt;=TIME(18,0,0)),"Couple Night", "Couple Day")))))</f>
        <v>24H Night</v>
      </c>
      <c r="P231" s="0" t="n">
        <f aca="false">WEEKDAY(D231,2)</f>
        <v>6</v>
      </c>
      <c r="Q231" s="0" t="n">
        <f aca="false">MONTH(D231)</f>
        <v>10</v>
      </c>
      <c r="R231" s="0" t="str">
        <f aca="false">"Q"&amp;ROUNDUP(MONTH(D231)/3,0)</f>
        <v>Q4</v>
      </c>
    </row>
    <row r="232" customFormat="false" ht="153.7" hidden="false" customHeight="false" outlineLevel="0" collapsed="false">
      <c r="A232" s="7" t="s">
        <v>704</v>
      </c>
      <c r="B232" s="7" t="s">
        <v>705</v>
      </c>
      <c r="C232" s="13" t="s">
        <v>706</v>
      </c>
      <c r="D232" s="11" t="n">
        <v>45575</v>
      </c>
      <c r="E232" s="12" t="n">
        <v>0.916666666700625</v>
      </c>
      <c r="F232" s="11" t="n">
        <v>45576</v>
      </c>
      <c r="G232" s="12" t="n">
        <v>0.208333333299375</v>
      </c>
      <c r="H232" s="10" t="n">
        <v>45948.9869363426</v>
      </c>
      <c r="I232" s="7" t="n">
        <v>2000</v>
      </c>
      <c r="J232" s="0" t="n">
        <f aca="false">IF(AND(D232&gt;=DATE(YEAR(D232),3,15),D232&lt;=DATE(YEAR(D232),6,10)),1,0)</f>
        <v>0</v>
      </c>
      <c r="K232" s="0" t="e">
        <f aca="false">VLOOKUP(D232,Festival_List!$A$2:$B$100,2,0)</f>
        <v>#N/A</v>
      </c>
      <c r="L232" s="0" t="n">
        <f aca="false">ROUND(((F232+G232)-(D232+E232))*24,0)</f>
        <v>7</v>
      </c>
      <c r="M232" s="0" t="n">
        <f aca="false">IF(OR(WEEKDAY(D232)=1,WEEKDAY(D232)=7),1,0)</f>
        <v>0</v>
      </c>
      <c r="N232" s="0" t="str">
        <f aca="false">IF(AND(MONTH(D232)&gt;=3,MONTH(D232)&lt;=6),"Summer",IF(AND(MONTH(D232)&gt;=7,MONTH(D232)&lt;=9),"Monsoon","Winter"))</f>
        <v>Winter</v>
      </c>
      <c r="O232" s="0" t="str">
        <f aca="false">IF(AND(L232&gt;=22,L232&lt;=25,E232&gt;=TIME(18,0,0)),"24H Night", IF(AND(L232&gt;=22,L232&lt;=25,E232&lt;TIME(18,0,0)),"24H Day", IF(AND(L232&gt;=11,L232&lt;=13,E232&gt;=TIME(18,0,0)),"12H Night", IF(AND(L232&gt;=11,L232&lt;=13,E232&lt;TIME(18,0,0)),"12H Day", IF(AND(L232&lt;10,E232&gt;=TIME(18,0,0)),"Couple Night", "Couple Day")))))</f>
        <v>Couple Night</v>
      </c>
      <c r="P232" s="0" t="n">
        <f aca="false">WEEKDAY(D232,2)</f>
        <v>4</v>
      </c>
      <c r="Q232" s="0" t="n">
        <f aca="false">MONTH(D232)</f>
        <v>10</v>
      </c>
      <c r="R232" s="0" t="str">
        <f aca="false">"Q"&amp;ROUNDUP(MONTH(D232)/3,0)</f>
        <v>Q4</v>
      </c>
    </row>
    <row r="233" customFormat="false" ht="153.7" hidden="false" customHeight="false" outlineLevel="0" collapsed="false">
      <c r="A233" s="7" t="s">
        <v>707</v>
      </c>
      <c r="B233" s="7" t="s">
        <v>191</v>
      </c>
      <c r="C233" s="13" t="s">
        <v>708</v>
      </c>
      <c r="D233" s="11" t="n">
        <v>45576</v>
      </c>
      <c r="E233" s="12" t="n">
        <v>0.375</v>
      </c>
      <c r="F233" s="11" t="n">
        <v>45576</v>
      </c>
      <c r="G233" s="12" t="n">
        <v>0.75</v>
      </c>
      <c r="H233" s="10" t="n">
        <v>45573.7885256945</v>
      </c>
      <c r="I233" s="7" t="n">
        <v>2000</v>
      </c>
      <c r="J233" s="0" t="n">
        <f aca="false">IF(AND(D233&gt;=DATE(YEAR(D233),3,15),D233&lt;=DATE(YEAR(D233),6,10)),1,0)</f>
        <v>0</v>
      </c>
      <c r="K233" s="0" t="e">
        <f aca="false">VLOOKUP(D233,Festival_List!$A$2:$B$100,2,0)</f>
        <v>#N/A</v>
      </c>
      <c r="L233" s="0" t="n">
        <f aca="false">ROUND(((F233+G233)-(D233+E233))*24,0)</f>
        <v>9</v>
      </c>
      <c r="M233" s="0" t="n">
        <f aca="false">IF(OR(WEEKDAY(D233)=1,WEEKDAY(D233)=7),1,0)</f>
        <v>0</v>
      </c>
      <c r="N233" s="0" t="str">
        <f aca="false">IF(AND(MONTH(D233)&gt;=3,MONTH(D233)&lt;=6),"Summer",IF(AND(MONTH(D233)&gt;=7,MONTH(D233)&lt;=9),"Monsoon","Winter"))</f>
        <v>Winter</v>
      </c>
      <c r="O233" s="0" t="str">
        <f aca="false">IF(AND(L233&gt;=22,L233&lt;=25,E233&gt;=TIME(18,0,0)),"24H Night", IF(AND(L233&gt;=22,L233&lt;=25,E233&lt;TIME(18,0,0)),"24H Day", IF(AND(L233&gt;=11,L233&lt;=13,E233&gt;=TIME(18,0,0)),"12H Night", IF(AND(L233&gt;=11,L233&lt;=13,E233&lt;TIME(18,0,0)),"12H Day", IF(AND(L233&lt;10,E233&gt;=TIME(18,0,0)),"Couple Night", "Couple Day")))))</f>
        <v>Couple Day</v>
      </c>
      <c r="P233" s="0" t="n">
        <f aca="false">WEEKDAY(D233,2)</f>
        <v>5</v>
      </c>
      <c r="Q233" s="0" t="n">
        <f aca="false">MONTH(D233)</f>
        <v>10</v>
      </c>
      <c r="R233" s="0" t="str">
        <f aca="false">"Q"&amp;ROUNDUP(MONTH(D233)/3,0)</f>
        <v>Q4</v>
      </c>
    </row>
    <row r="234" customFormat="false" ht="153.7" hidden="false" customHeight="false" outlineLevel="0" collapsed="false">
      <c r="A234" s="7" t="s">
        <v>709</v>
      </c>
      <c r="B234" s="7" t="s">
        <v>563</v>
      </c>
      <c r="C234" s="13" t="s">
        <v>710</v>
      </c>
      <c r="D234" s="11" t="n">
        <v>45577</v>
      </c>
      <c r="E234" s="12" t="n">
        <v>0.541666666700625</v>
      </c>
      <c r="F234" s="11" t="n">
        <v>45578</v>
      </c>
      <c r="G234" s="12" t="n">
        <v>0.5</v>
      </c>
      <c r="H234" s="10" t="n">
        <v>45948.9869363426</v>
      </c>
      <c r="I234" s="7" t="n">
        <v>4300</v>
      </c>
      <c r="J234" s="0" t="n">
        <f aca="false">IF(AND(D234&gt;=DATE(YEAR(D234),3,15),D234&lt;=DATE(YEAR(D234),6,10)),1,0)</f>
        <v>0</v>
      </c>
      <c r="K234" s="0" t="str">
        <f aca="false">VLOOKUP(D234,Festival_List!$A$2:$B$100,2,0)</f>
        <v>Dussehra</v>
      </c>
      <c r="L234" s="0" t="n">
        <f aca="false">ROUND(((F234+G234)-(D234+E234))*24,0)</f>
        <v>23</v>
      </c>
      <c r="M234" s="0" t="n">
        <f aca="false">IF(OR(WEEKDAY(D234)=1,WEEKDAY(D234)=7),1,0)</f>
        <v>1</v>
      </c>
      <c r="N234" s="0" t="str">
        <f aca="false">IF(AND(MONTH(D234)&gt;=3,MONTH(D234)&lt;=6),"Summer",IF(AND(MONTH(D234)&gt;=7,MONTH(D234)&lt;=9),"Monsoon","Winter"))</f>
        <v>Winter</v>
      </c>
      <c r="O234" s="0" t="str">
        <f aca="false">IF(AND(L234&gt;=22,L234&lt;=25,E234&gt;=TIME(18,0,0)),"24H Night", IF(AND(L234&gt;=22,L234&lt;=25,E234&lt;TIME(18,0,0)),"24H Day", IF(AND(L234&gt;=11,L234&lt;=13,E234&gt;=TIME(18,0,0)),"12H Night", IF(AND(L234&gt;=11,L234&lt;=13,E234&lt;TIME(18,0,0)),"12H Day", IF(AND(L234&lt;10,E234&gt;=TIME(18,0,0)),"Couple Night", "Couple Day")))))</f>
        <v>24H Day</v>
      </c>
      <c r="P234" s="0" t="n">
        <f aca="false">WEEKDAY(D234,2)</f>
        <v>6</v>
      </c>
      <c r="Q234" s="0" t="n">
        <f aca="false">MONTH(D234)</f>
        <v>10</v>
      </c>
      <c r="R234" s="0" t="str">
        <f aca="false">"Q"&amp;ROUNDUP(MONTH(D234)/3,0)</f>
        <v>Q4</v>
      </c>
    </row>
    <row r="235" customFormat="false" ht="153.7" hidden="false" customHeight="false" outlineLevel="0" collapsed="false">
      <c r="A235" s="7" t="s">
        <v>711</v>
      </c>
      <c r="B235" s="7" t="s">
        <v>712</v>
      </c>
      <c r="C235" s="13" t="s">
        <v>713</v>
      </c>
      <c r="D235" s="11" t="n">
        <v>45582</v>
      </c>
      <c r="E235" s="12" t="n">
        <v>0.375</v>
      </c>
      <c r="F235" s="11" t="n">
        <v>45582</v>
      </c>
      <c r="G235" s="12" t="n">
        <v>0.708333333299375</v>
      </c>
      <c r="H235" s="10" t="n">
        <v>45581.7525372685</v>
      </c>
      <c r="I235" s="7" t="n">
        <v>1500</v>
      </c>
      <c r="J235" s="0" t="n">
        <f aca="false">IF(AND(D235&gt;=DATE(YEAR(D235),3,15),D235&lt;=DATE(YEAR(D235),6,10)),1,0)</f>
        <v>0</v>
      </c>
      <c r="K235" s="0" t="e">
        <f aca="false">VLOOKUP(D235,Festival_List!$A$2:$B$100,2,0)</f>
        <v>#N/A</v>
      </c>
      <c r="L235" s="0" t="n">
        <f aca="false">ROUND(((F235+G235)-(D235+E235))*24,0)</f>
        <v>8</v>
      </c>
      <c r="M235" s="0" t="n">
        <f aca="false">IF(OR(WEEKDAY(D235)=1,WEEKDAY(D235)=7),1,0)</f>
        <v>0</v>
      </c>
      <c r="N235" s="0" t="str">
        <f aca="false">IF(AND(MONTH(D235)&gt;=3,MONTH(D235)&lt;=6),"Summer",IF(AND(MONTH(D235)&gt;=7,MONTH(D235)&lt;=9),"Monsoon","Winter"))</f>
        <v>Winter</v>
      </c>
      <c r="O235" s="0" t="str">
        <f aca="false">IF(AND(L235&gt;=22,L235&lt;=25,E235&gt;=TIME(18,0,0)),"24H Night", IF(AND(L235&gt;=22,L235&lt;=25,E235&lt;TIME(18,0,0)),"24H Day", IF(AND(L235&gt;=11,L235&lt;=13,E235&gt;=TIME(18,0,0)),"12H Night", IF(AND(L235&gt;=11,L235&lt;=13,E235&lt;TIME(18,0,0)),"12H Day", IF(AND(L235&lt;10,E235&gt;=TIME(18,0,0)),"Couple Night", "Couple Day")))))</f>
        <v>Couple Day</v>
      </c>
      <c r="P235" s="0" t="n">
        <f aca="false">WEEKDAY(D235,2)</f>
        <v>4</v>
      </c>
      <c r="Q235" s="0" t="n">
        <f aca="false">MONTH(D235)</f>
        <v>10</v>
      </c>
      <c r="R235" s="0" t="str">
        <f aca="false">"Q"&amp;ROUNDUP(MONTH(D235)/3,0)</f>
        <v>Q4</v>
      </c>
    </row>
    <row r="236" customFormat="false" ht="153.7" hidden="false" customHeight="false" outlineLevel="0" collapsed="false">
      <c r="A236" s="7" t="s">
        <v>714</v>
      </c>
      <c r="B236" s="7" t="s">
        <v>432</v>
      </c>
      <c r="C236" s="13" t="s">
        <v>715</v>
      </c>
      <c r="D236" s="11" t="n">
        <v>45582</v>
      </c>
      <c r="E236" s="12" t="n">
        <v>0.833333333299375</v>
      </c>
      <c r="F236" s="11" t="n">
        <v>45583</v>
      </c>
      <c r="G236" s="12" t="n">
        <v>0.333333333299375</v>
      </c>
      <c r="H236" s="10" t="n">
        <v>45581.5597434028</v>
      </c>
      <c r="I236" s="7" t="n">
        <v>2500</v>
      </c>
      <c r="J236" s="0" t="n">
        <f aca="false">IF(AND(D236&gt;=DATE(YEAR(D236),3,15),D236&lt;=DATE(YEAR(D236),6,10)),1,0)</f>
        <v>0</v>
      </c>
      <c r="K236" s="0" t="e">
        <f aca="false">VLOOKUP(D236,Festival_List!$A$2:$B$100,2,0)</f>
        <v>#N/A</v>
      </c>
      <c r="L236" s="0" t="n">
        <f aca="false">ROUND(((F236+G236)-(D236+E236))*24,0)</f>
        <v>12</v>
      </c>
      <c r="M236" s="0" t="n">
        <f aca="false">IF(OR(WEEKDAY(D236)=1,WEEKDAY(D236)=7),1,0)</f>
        <v>0</v>
      </c>
      <c r="N236" s="0" t="str">
        <f aca="false">IF(AND(MONTH(D236)&gt;=3,MONTH(D236)&lt;=6),"Summer",IF(AND(MONTH(D236)&gt;=7,MONTH(D236)&lt;=9),"Monsoon","Winter"))</f>
        <v>Winter</v>
      </c>
      <c r="O236" s="0" t="str">
        <f aca="false">IF(AND(L236&gt;=22,L236&lt;=25,E236&gt;=TIME(18,0,0)),"24H Night", IF(AND(L236&gt;=22,L236&lt;=25,E236&lt;TIME(18,0,0)),"24H Day", IF(AND(L236&gt;=11,L236&lt;=13,E236&gt;=TIME(18,0,0)),"12H Night", IF(AND(L236&gt;=11,L236&lt;=13,E236&lt;TIME(18,0,0)),"12H Day", IF(AND(L236&lt;10,E236&gt;=TIME(18,0,0)),"Couple Night", "Couple Day")))))</f>
        <v>12H Night</v>
      </c>
      <c r="P236" s="0" t="n">
        <f aca="false">WEEKDAY(D236,2)</f>
        <v>4</v>
      </c>
      <c r="Q236" s="0" t="n">
        <f aca="false">MONTH(D236)</f>
        <v>10</v>
      </c>
      <c r="R236" s="0" t="str">
        <f aca="false">"Q"&amp;ROUNDUP(MONTH(D236)/3,0)</f>
        <v>Q4</v>
      </c>
    </row>
    <row r="237" customFormat="false" ht="153.7" hidden="false" customHeight="false" outlineLevel="0" collapsed="false">
      <c r="A237" s="7" t="s">
        <v>716</v>
      </c>
      <c r="B237" s="7" t="s">
        <v>717</v>
      </c>
      <c r="C237" s="13" t="s">
        <v>718</v>
      </c>
      <c r="D237" s="11" t="n">
        <v>45583</v>
      </c>
      <c r="E237" s="12" t="n">
        <v>0.375</v>
      </c>
      <c r="F237" s="11" t="n">
        <v>45583</v>
      </c>
      <c r="G237" s="12" t="n">
        <v>0.625</v>
      </c>
      <c r="H237" s="10" t="n">
        <v>45580.8789663194</v>
      </c>
      <c r="I237" s="7" t="n">
        <v>2000</v>
      </c>
      <c r="J237" s="0" t="n">
        <f aca="false">IF(AND(D237&gt;=DATE(YEAR(D237),3,15),D237&lt;=DATE(YEAR(D237),6,10)),1,0)</f>
        <v>0</v>
      </c>
      <c r="K237" s="0" t="e">
        <f aca="false">VLOOKUP(D237,Festival_List!$A$2:$B$100,2,0)</f>
        <v>#N/A</v>
      </c>
      <c r="L237" s="0" t="n">
        <f aca="false">ROUND(((F237+G237)-(D237+E237))*24,0)</f>
        <v>6</v>
      </c>
      <c r="M237" s="0" t="n">
        <f aca="false">IF(OR(WEEKDAY(D237)=1,WEEKDAY(D237)=7),1,0)</f>
        <v>0</v>
      </c>
      <c r="N237" s="0" t="str">
        <f aca="false">IF(AND(MONTH(D237)&gt;=3,MONTH(D237)&lt;=6),"Summer",IF(AND(MONTH(D237)&gt;=7,MONTH(D237)&lt;=9),"Monsoon","Winter"))</f>
        <v>Winter</v>
      </c>
      <c r="O237" s="0" t="str">
        <f aca="false">IF(AND(L237&gt;=22,L237&lt;=25,E237&gt;=TIME(18,0,0)),"24H Night", IF(AND(L237&gt;=22,L237&lt;=25,E237&lt;TIME(18,0,0)),"24H Day", IF(AND(L237&gt;=11,L237&lt;=13,E237&gt;=TIME(18,0,0)),"12H Night", IF(AND(L237&gt;=11,L237&lt;=13,E237&lt;TIME(18,0,0)),"12H Day", IF(AND(L237&lt;10,E237&gt;=TIME(18,0,0)),"Couple Night", "Couple Day")))))</f>
        <v>Couple Day</v>
      </c>
      <c r="P237" s="0" t="n">
        <f aca="false">WEEKDAY(D237,2)</f>
        <v>5</v>
      </c>
      <c r="Q237" s="0" t="n">
        <f aca="false">MONTH(D237)</f>
        <v>10</v>
      </c>
      <c r="R237" s="0" t="str">
        <f aca="false">"Q"&amp;ROUNDUP(MONTH(D237)/3,0)</f>
        <v>Q4</v>
      </c>
    </row>
    <row r="238" customFormat="false" ht="153.7" hidden="false" customHeight="false" outlineLevel="0" collapsed="false">
      <c r="A238" s="7" t="s">
        <v>719</v>
      </c>
      <c r="B238" s="7" t="s">
        <v>317</v>
      </c>
      <c r="C238" s="13" t="s">
        <v>720</v>
      </c>
      <c r="D238" s="11" t="n">
        <v>45584</v>
      </c>
      <c r="E238" s="12" t="n">
        <v>0.375</v>
      </c>
      <c r="F238" s="11" t="n">
        <v>45584</v>
      </c>
      <c r="G238" s="12" t="n">
        <v>0.708333333299375</v>
      </c>
      <c r="H238" s="10" t="n">
        <v>45575.8402913195</v>
      </c>
      <c r="I238" s="7" t="n">
        <v>1500</v>
      </c>
      <c r="J238" s="0" t="n">
        <f aca="false">IF(AND(D238&gt;=DATE(YEAR(D238),3,15),D238&lt;=DATE(YEAR(D238),6,10)),1,0)</f>
        <v>0</v>
      </c>
      <c r="K238" s="0" t="e">
        <f aca="false">VLOOKUP(D238,Festival_List!$A$2:$B$100,2,0)</f>
        <v>#N/A</v>
      </c>
      <c r="L238" s="0" t="n">
        <f aca="false">ROUND(((F238+G238)-(D238+E238))*24,0)</f>
        <v>8</v>
      </c>
      <c r="M238" s="0" t="n">
        <f aca="false">IF(OR(WEEKDAY(D238)=1,WEEKDAY(D238)=7),1,0)</f>
        <v>1</v>
      </c>
      <c r="N238" s="0" t="str">
        <f aca="false">IF(AND(MONTH(D238)&gt;=3,MONTH(D238)&lt;=6),"Summer",IF(AND(MONTH(D238)&gt;=7,MONTH(D238)&lt;=9),"Monsoon","Winter"))</f>
        <v>Winter</v>
      </c>
      <c r="O238" s="0" t="str">
        <f aca="false">IF(AND(L238&gt;=22,L238&lt;=25,E238&gt;=TIME(18,0,0)),"24H Night", IF(AND(L238&gt;=22,L238&lt;=25,E238&lt;TIME(18,0,0)),"24H Day", IF(AND(L238&gt;=11,L238&lt;=13,E238&gt;=TIME(18,0,0)),"12H Night", IF(AND(L238&gt;=11,L238&lt;=13,E238&lt;TIME(18,0,0)),"12H Day", IF(AND(L238&lt;10,E238&gt;=TIME(18,0,0)),"Couple Night", "Couple Day")))))</f>
        <v>Couple Day</v>
      </c>
      <c r="P238" s="0" t="n">
        <f aca="false">WEEKDAY(D238,2)</f>
        <v>6</v>
      </c>
      <c r="Q238" s="0" t="n">
        <f aca="false">MONTH(D238)</f>
        <v>10</v>
      </c>
      <c r="R238" s="0" t="str">
        <f aca="false">"Q"&amp;ROUNDUP(MONTH(D238)/3,0)</f>
        <v>Q4</v>
      </c>
    </row>
    <row r="239" customFormat="false" ht="153.7" hidden="false" customHeight="false" outlineLevel="0" collapsed="false">
      <c r="A239" s="7" t="s">
        <v>721</v>
      </c>
      <c r="B239" s="7" t="s">
        <v>722</v>
      </c>
      <c r="C239" s="13" t="s">
        <v>723</v>
      </c>
      <c r="D239" s="11" t="n">
        <v>45584</v>
      </c>
      <c r="E239" s="12" t="n">
        <v>0.791666666700625</v>
      </c>
      <c r="F239" s="11" t="n">
        <v>45585</v>
      </c>
      <c r="G239" s="12" t="n">
        <v>0.75</v>
      </c>
      <c r="H239" s="10" t="n">
        <v>45583.6127960648</v>
      </c>
      <c r="I239" s="7" t="n">
        <v>4500</v>
      </c>
      <c r="J239" s="0" t="n">
        <f aca="false">IF(AND(D239&gt;=DATE(YEAR(D239),3,15),D239&lt;=DATE(YEAR(D239),6,10)),1,0)</f>
        <v>0</v>
      </c>
      <c r="K239" s="0" t="e">
        <f aca="false">VLOOKUP(D239,Festival_List!$A$2:$B$100,2,0)</f>
        <v>#N/A</v>
      </c>
      <c r="L239" s="0" t="n">
        <f aca="false">ROUND(((F239+G239)-(D239+E239))*24,0)</f>
        <v>23</v>
      </c>
      <c r="M239" s="0" t="n">
        <f aca="false">IF(OR(WEEKDAY(D239)=1,WEEKDAY(D239)=7),1,0)</f>
        <v>1</v>
      </c>
      <c r="N239" s="0" t="str">
        <f aca="false">IF(AND(MONTH(D239)&gt;=3,MONTH(D239)&lt;=6),"Summer",IF(AND(MONTH(D239)&gt;=7,MONTH(D239)&lt;=9),"Monsoon","Winter"))</f>
        <v>Winter</v>
      </c>
      <c r="O239" s="0" t="str">
        <f aca="false">IF(AND(L239&gt;=22,L239&lt;=25,E239&gt;=TIME(18,0,0)),"24H Night", IF(AND(L239&gt;=22,L239&lt;=25,E239&lt;TIME(18,0,0)),"24H Day", IF(AND(L239&gt;=11,L239&lt;=13,E239&gt;=TIME(18,0,0)),"12H Night", IF(AND(L239&gt;=11,L239&lt;=13,E239&lt;TIME(18,0,0)),"12H Day", IF(AND(L239&lt;10,E239&gt;=TIME(18,0,0)),"Couple Night", "Couple Day")))))</f>
        <v>24H Night</v>
      </c>
      <c r="P239" s="0" t="n">
        <f aca="false">WEEKDAY(D239,2)</f>
        <v>6</v>
      </c>
      <c r="Q239" s="0" t="n">
        <f aca="false">MONTH(D239)</f>
        <v>10</v>
      </c>
      <c r="R239" s="0" t="str">
        <f aca="false">"Q"&amp;ROUNDUP(MONTH(D239)/3,0)</f>
        <v>Q4</v>
      </c>
    </row>
    <row r="240" customFormat="false" ht="141" hidden="false" customHeight="false" outlineLevel="0" collapsed="false">
      <c r="A240" s="7" t="s">
        <v>724</v>
      </c>
      <c r="B240" s="7" t="s">
        <v>281</v>
      </c>
      <c r="C240" s="13" t="s">
        <v>725</v>
      </c>
      <c r="D240" s="11" t="n">
        <v>45586</v>
      </c>
      <c r="E240" s="12" t="n">
        <v>0.708333333299375</v>
      </c>
      <c r="F240" s="11" t="n">
        <v>45587</v>
      </c>
      <c r="G240" s="12" t="n">
        <v>0.708333333299375</v>
      </c>
      <c r="H240" s="10" t="n">
        <v>45585.8468293981</v>
      </c>
      <c r="I240" s="7" t="n">
        <v>3500</v>
      </c>
      <c r="J240" s="0" t="n">
        <f aca="false">IF(AND(D240&gt;=DATE(YEAR(D240),3,15),D240&lt;=DATE(YEAR(D240),6,10)),1,0)</f>
        <v>0</v>
      </c>
      <c r="K240" s="0" t="e">
        <f aca="false">VLOOKUP(D240,Festival_List!$A$2:$B$100,2,0)</f>
        <v>#N/A</v>
      </c>
      <c r="L240" s="0" t="n">
        <f aca="false">ROUND(((F240+G240)-(D240+E240))*24,0)</f>
        <v>24</v>
      </c>
      <c r="M240" s="0" t="n">
        <f aca="false">IF(OR(WEEKDAY(D240)=1,WEEKDAY(D240)=7),1,0)</f>
        <v>0</v>
      </c>
      <c r="N240" s="0" t="str">
        <f aca="false">IF(AND(MONTH(D240)&gt;=3,MONTH(D240)&lt;=6),"Summer",IF(AND(MONTH(D240)&gt;=7,MONTH(D240)&lt;=9),"Monsoon","Winter"))</f>
        <v>Winter</v>
      </c>
      <c r="O240" s="0" t="str">
        <f aca="false">IF(AND(L240&gt;=22,L240&lt;=25,E240&gt;=TIME(18,0,0)),"24H Night", IF(AND(L240&gt;=22,L240&lt;=25,E240&lt;TIME(18,0,0)),"24H Day", IF(AND(L240&gt;=11,L240&lt;=13,E240&gt;=TIME(18,0,0)),"12H Night", IF(AND(L240&gt;=11,L240&lt;=13,E240&lt;TIME(18,0,0)),"12H Day", IF(AND(L240&lt;10,E240&gt;=TIME(18,0,0)),"Couple Night", "Couple Day")))))</f>
        <v>24H Day</v>
      </c>
      <c r="P240" s="0" t="n">
        <f aca="false">WEEKDAY(D240,2)</f>
        <v>1</v>
      </c>
      <c r="Q240" s="0" t="n">
        <f aca="false">MONTH(D240)</f>
        <v>10</v>
      </c>
      <c r="R240" s="0" t="str">
        <f aca="false">"Q"&amp;ROUNDUP(MONTH(D240)/3,0)</f>
        <v>Q4</v>
      </c>
    </row>
    <row r="241" customFormat="false" ht="153.7" hidden="false" customHeight="false" outlineLevel="0" collapsed="false">
      <c r="A241" s="7" t="s">
        <v>726</v>
      </c>
      <c r="B241" s="7" t="s">
        <v>727</v>
      </c>
      <c r="C241" s="13" t="s">
        <v>728</v>
      </c>
      <c r="D241" s="11" t="n">
        <v>45588</v>
      </c>
      <c r="E241" s="12" t="n">
        <v>0.333333333299375</v>
      </c>
      <c r="F241" s="11" t="n">
        <v>45588</v>
      </c>
      <c r="G241" s="12" t="n">
        <v>0.75</v>
      </c>
      <c r="H241" s="10" t="n">
        <v>45586.9626954861</v>
      </c>
      <c r="I241" s="7" t="n">
        <v>3000</v>
      </c>
      <c r="J241" s="0" t="n">
        <f aca="false">IF(AND(D241&gt;=DATE(YEAR(D241),3,15),D241&lt;=DATE(YEAR(D241),6,10)),1,0)</f>
        <v>0</v>
      </c>
      <c r="K241" s="0" t="e">
        <f aca="false">VLOOKUP(D241,Festival_List!$A$2:$B$100,2,0)</f>
        <v>#N/A</v>
      </c>
      <c r="L241" s="0" t="n">
        <f aca="false">ROUND(((F241+G241)-(D241+E241))*24,0)</f>
        <v>10</v>
      </c>
      <c r="M241" s="0" t="n">
        <f aca="false">IF(OR(WEEKDAY(D241)=1,WEEKDAY(D241)=7),1,0)</f>
        <v>0</v>
      </c>
      <c r="N241" s="0" t="str">
        <f aca="false">IF(AND(MONTH(D241)&gt;=3,MONTH(D241)&lt;=6),"Summer",IF(AND(MONTH(D241)&gt;=7,MONTH(D241)&lt;=9),"Monsoon","Winter"))</f>
        <v>Winter</v>
      </c>
      <c r="O241" s="0" t="str">
        <f aca="false">IF(AND(L241&gt;=22,L241&lt;=25,E241&gt;=TIME(18,0,0)),"24H Night", IF(AND(L241&gt;=22,L241&lt;=25,E241&lt;TIME(18,0,0)),"24H Day", IF(AND(L241&gt;=11,L241&lt;=13,E241&gt;=TIME(18,0,0)),"12H Night", IF(AND(L241&gt;=11,L241&lt;=13,E241&lt;TIME(18,0,0)),"12H Day", IF(AND(L241&lt;10,E241&gt;=TIME(18,0,0)),"Couple Night", "Couple Day")))))</f>
        <v>Couple Day</v>
      </c>
      <c r="P241" s="0" t="n">
        <f aca="false">WEEKDAY(D241,2)</f>
        <v>3</v>
      </c>
      <c r="Q241" s="0" t="n">
        <f aca="false">MONTH(D241)</f>
        <v>10</v>
      </c>
      <c r="R241" s="0" t="str">
        <f aca="false">"Q"&amp;ROUNDUP(MONTH(D241)/3,0)</f>
        <v>Q4</v>
      </c>
    </row>
    <row r="242" customFormat="false" ht="166.4" hidden="false" customHeight="false" outlineLevel="0" collapsed="false">
      <c r="A242" s="7" t="s">
        <v>729</v>
      </c>
      <c r="B242" s="7" t="s">
        <v>730</v>
      </c>
      <c r="C242" s="13" t="s">
        <v>731</v>
      </c>
      <c r="D242" s="11" t="n">
        <v>45588</v>
      </c>
      <c r="E242" s="12" t="n">
        <v>0.791666666700625</v>
      </c>
      <c r="F242" s="11" t="n">
        <v>45589</v>
      </c>
      <c r="G242" s="12" t="n">
        <v>0.75</v>
      </c>
      <c r="H242" s="10" t="n">
        <v>45587.9066634259</v>
      </c>
      <c r="I242" s="7" t="n">
        <v>3500</v>
      </c>
      <c r="J242" s="0" t="n">
        <f aca="false">IF(AND(D242&gt;=DATE(YEAR(D242),3,15),D242&lt;=DATE(YEAR(D242),6,10)),1,0)</f>
        <v>0</v>
      </c>
      <c r="K242" s="0" t="e">
        <f aca="false">VLOOKUP(D242,Festival_List!$A$2:$B$100,2,0)</f>
        <v>#N/A</v>
      </c>
      <c r="L242" s="0" t="n">
        <f aca="false">ROUND(((F242+G242)-(D242+E242))*24,0)</f>
        <v>23</v>
      </c>
      <c r="M242" s="0" t="n">
        <f aca="false">IF(OR(WEEKDAY(D242)=1,WEEKDAY(D242)=7),1,0)</f>
        <v>0</v>
      </c>
      <c r="N242" s="0" t="str">
        <f aca="false">IF(AND(MONTH(D242)&gt;=3,MONTH(D242)&lt;=6),"Summer",IF(AND(MONTH(D242)&gt;=7,MONTH(D242)&lt;=9),"Monsoon","Winter"))</f>
        <v>Winter</v>
      </c>
      <c r="O242" s="0" t="str">
        <f aca="false">IF(AND(L242&gt;=22,L242&lt;=25,E242&gt;=TIME(18,0,0)),"24H Night", IF(AND(L242&gt;=22,L242&lt;=25,E242&lt;TIME(18,0,0)),"24H Day", IF(AND(L242&gt;=11,L242&lt;=13,E242&gt;=TIME(18,0,0)),"12H Night", IF(AND(L242&gt;=11,L242&lt;=13,E242&lt;TIME(18,0,0)),"12H Day", IF(AND(L242&lt;10,E242&gt;=TIME(18,0,0)),"Couple Night", "Couple Day")))))</f>
        <v>24H Night</v>
      </c>
      <c r="P242" s="0" t="n">
        <f aca="false">WEEKDAY(D242,2)</f>
        <v>3</v>
      </c>
      <c r="Q242" s="0" t="n">
        <f aca="false">MONTH(D242)</f>
        <v>10</v>
      </c>
      <c r="R242" s="0" t="str">
        <f aca="false">"Q"&amp;ROUNDUP(MONTH(D242)/3,0)</f>
        <v>Q4</v>
      </c>
    </row>
    <row r="243" customFormat="false" ht="141" hidden="false" customHeight="false" outlineLevel="0" collapsed="false">
      <c r="A243" s="7" t="s">
        <v>732</v>
      </c>
      <c r="B243" s="7" t="s">
        <v>733</v>
      </c>
      <c r="C243" s="13" t="s">
        <v>734</v>
      </c>
      <c r="D243" s="11" t="n">
        <v>45589</v>
      </c>
      <c r="E243" s="12" t="n">
        <v>0.791666666700625</v>
      </c>
      <c r="F243" s="11" t="n">
        <v>45590</v>
      </c>
      <c r="G243" s="12" t="n">
        <v>0.75</v>
      </c>
      <c r="H243" s="10" t="n">
        <v>45589.4909460648</v>
      </c>
      <c r="I243" s="7" t="n">
        <v>4000</v>
      </c>
      <c r="J243" s="0" t="n">
        <f aca="false">IF(AND(D243&gt;=DATE(YEAR(D243),3,15),D243&lt;=DATE(YEAR(D243),6,10)),1,0)</f>
        <v>0</v>
      </c>
      <c r="K243" s="0" t="e">
        <f aca="false">VLOOKUP(D243,Festival_List!$A$2:$B$100,2,0)</f>
        <v>#N/A</v>
      </c>
      <c r="L243" s="0" t="n">
        <f aca="false">ROUND(((F243+G243)-(D243+E243))*24,0)</f>
        <v>23</v>
      </c>
      <c r="M243" s="0" t="n">
        <f aca="false">IF(OR(WEEKDAY(D243)=1,WEEKDAY(D243)=7),1,0)</f>
        <v>0</v>
      </c>
      <c r="N243" s="0" t="str">
        <f aca="false">IF(AND(MONTH(D243)&gt;=3,MONTH(D243)&lt;=6),"Summer",IF(AND(MONTH(D243)&gt;=7,MONTH(D243)&lt;=9),"Monsoon","Winter"))</f>
        <v>Winter</v>
      </c>
      <c r="O243" s="0" t="str">
        <f aca="false">IF(AND(L243&gt;=22,L243&lt;=25,E243&gt;=TIME(18,0,0)),"24H Night", IF(AND(L243&gt;=22,L243&lt;=25,E243&lt;TIME(18,0,0)),"24H Day", IF(AND(L243&gt;=11,L243&lt;=13,E243&gt;=TIME(18,0,0)),"12H Night", IF(AND(L243&gt;=11,L243&lt;=13,E243&lt;TIME(18,0,0)),"12H Day", IF(AND(L243&lt;10,E243&gt;=TIME(18,0,0)),"Couple Night", "Couple Day")))))</f>
        <v>24H Night</v>
      </c>
      <c r="P243" s="0" t="n">
        <f aca="false">WEEKDAY(D243,2)</f>
        <v>4</v>
      </c>
      <c r="Q243" s="0" t="n">
        <f aca="false">MONTH(D243)</f>
        <v>10</v>
      </c>
      <c r="R243" s="0" t="str">
        <f aca="false">"Q"&amp;ROUNDUP(MONTH(D243)/3,0)</f>
        <v>Q4</v>
      </c>
    </row>
    <row r="244" customFormat="false" ht="153.7" hidden="false" customHeight="false" outlineLevel="0" collapsed="false">
      <c r="A244" s="7" t="s">
        <v>735</v>
      </c>
      <c r="B244" s="7" t="s">
        <v>736</v>
      </c>
      <c r="C244" s="13" t="s">
        <v>737</v>
      </c>
      <c r="D244" s="11" t="n">
        <v>45590</v>
      </c>
      <c r="E244" s="12" t="n">
        <v>0.791666666700625</v>
      </c>
      <c r="F244" s="11" t="n">
        <v>45591</v>
      </c>
      <c r="G244" s="12" t="n">
        <v>0.75</v>
      </c>
      <c r="H244" s="10" t="n">
        <v>45587.3286164352</v>
      </c>
      <c r="I244" s="7" t="n">
        <v>4500</v>
      </c>
      <c r="J244" s="0" t="n">
        <f aca="false">IF(AND(D244&gt;=DATE(YEAR(D244),3,15),D244&lt;=DATE(YEAR(D244),6,10)),1,0)</f>
        <v>0</v>
      </c>
      <c r="K244" s="0" t="e">
        <f aca="false">VLOOKUP(D244,Festival_List!$A$2:$B$100,2,0)</f>
        <v>#N/A</v>
      </c>
      <c r="L244" s="0" t="n">
        <f aca="false">ROUND(((F244+G244)-(D244+E244))*24,0)</f>
        <v>23</v>
      </c>
      <c r="M244" s="0" t="n">
        <f aca="false">IF(OR(WEEKDAY(D244)=1,WEEKDAY(D244)=7),1,0)</f>
        <v>0</v>
      </c>
      <c r="N244" s="0" t="str">
        <f aca="false">IF(AND(MONTH(D244)&gt;=3,MONTH(D244)&lt;=6),"Summer",IF(AND(MONTH(D244)&gt;=7,MONTH(D244)&lt;=9),"Monsoon","Winter"))</f>
        <v>Winter</v>
      </c>
      <c r="O244" s="0" t="str">
        <f aca="false">IF(AND(L244&gt;=22,L244&lt;=25,E244&gt;=TIME(18,0,0)),"24H Night", IF(AND(L244&gt;=22,L244&lt;=25,E244&lt;TIME(18,0,0)),"24H Day", IF(AND(L244&gt;=11,L244&lt;=13,E244&gt;=TIME(18,0,0)),"12H Night", IF(AND(L244&gt;=11,L244&lt;=13,E244&lt;TIME(18,0,0)),"12H Day", IF(AND(L244&lt;10,E244&gt;=TIME(18,0,0)),"Couple Night", "Couple Day")))))</f>
        <v>24H Night</v>
      </c>
      <c r="P244" s="0" t="n">
        <f aca="false">WEEKDAY(D244,2)</f>
        <v>5</v>
      </c>
      <c r="Q244" s="0" t="n">
        <f aca="false">MONTH(D244)</f>
        <v>10</v>
      </c>
      <c r="R244" s="0" t="str">
        <f aca="false">"Q"&amp;ROUNDUP(MONTH(D244)/3,0)</f>
        <v>Q4</v>
      </c>
    </row>
    <row r="245" customFormat="false" ht="153.7" hidden="false" customHeight="false" outlineLevel="0" collapsed="false">
      <c r="A245" s="7" t="s">
        <v>738</v>
      </c>
      <c r="B245" s="7" t="s">
        <v>739</v>
      </c>
      <c r="C245" s="13" t="s">
        <v>740</v>
      </c>
      <c r="D245" s="11" t="n">
        <v>45591</v>
      </c>
      <c r="E245" s="12" t="n">
        <v>0.333333333299375</v>
      </c>
      <c r="F245" s="11" t="n">
        <v>45592</v>
      </c>
      <c r="G245" s="12" t="n">
        <v>0.375</v>
      </c>
      <c r="H245" s="10" t="n">
        <v>45588.506484838</v>
      </c>
      <c r="I245" s="7" t="n">
        <v>5500</v>
      </c>
      <c r="J245" s="0" t="n">
        <f aca="false">IF(AND(D245&gt;=DATE(YEAR(D245),3,15),D245&lt;=DATE(YEAR(D245),6,10)),1,0)</f>
        <v>0</v>
      </c>
      <c r="K245" s="0" t="e">
        <f aca="false">VLOOKUP(D245,Festival_List!$A$2:$B$100,2,0)</f>
        <v>#N/A</v>
      </c>
      <c r="L245" s="0" t="n">
        <f aca="false">ROUND(((F245+G245)-(D245+E245))*24,0)</f>
        <v>25</v>
      </c>
      <c r="M245" s="0" t="n">
        <f aca="false">IF(OR(WEEKDAY(D245)=1,WEEKDAY(D245)=7),1,0)</f>
        <v>1</v>
      </c>
      <c r="N245" s="0" t="str">
        <f aca="false">IF(AND(MONTH(D245)&gt;=3,MONTH(D245)&lt;=6),"Summer",IF(AND(MONTH(D245)&gt;=7,MONTH(D245)&lt;=9),"Monsoon","Winter"))</f>
        <v>Winter</v>
      </c>
      <c r="O245" s="0" t="str">
        <f aca="false">IF(AND(L245&gt;=22,L245&lt;=25,E245&gt;=TIME(18,0,0)),"24H Night", IF(AND(L245&gt;=22,L245&lt;=25,E245&lt;TIME(18,0,0)),"24H Day", IF(AND(L245&gt;=11,L245&lt;=13,E245&gt;=TIME(18,0,0)),"12H Night", IF(AND(L245&gt;=11,L245&lt;=13,E245&lt;TIME(18,0,0)),"12H Day", IF(AND(L245&lt;10,E245&gt;=TIME(18,0,0)),"Couple Night", "Couple Day")))))</f>
        <v>24H Day</v>
      </c>
      <c r="P245" s="0" t="n">
        <f aca="false">WEEKDAY(D245,2)</f>
        <v>6</v>
      </c>
      <c r="Q245" s="0" t="n">
        <f aca="false">MONTH(D245)</f>
        <v>10</v>
      </c>
      <c r="R245" s="0" t="str">
        <f aca="false">"Q"&amp;ROUNDUP(MONTH(D245)/3,0)</f>
        <v>Q4</v>
      </c>
    </row>
    <row r="246" customFormat="false" ht="141" hidden="false" customHeight="false" outlineLevel="0" collapsed="false">
      <c r="A246" s="7" t="s">
        <v>741</v>
      </c>
      <c r="B246" s="7" t="s">
        <v>742</v>
      </c>
      <c r="C246" s="13" t="s">
        <v>743</v>
      </c>
      <c r="D246" s="11" t="n">
        <v>45592</v>
      </c>
      <c r="E246" s="12" t="n">
        <v>0.5</v>
      </c>
      <c r="F246" s="11" t="n">
        <v>45592</v>
      </c>
      <c r="G246" s="12" t="n">
        <v>0.958333333299375</v>
      </c>
      <c r="H246" s="10" t="n">
        <v>45588.8196972222</v>
      </c>
      <c r="I246" s="7" t="n">
        <v>4000</v>
      </c>
      <c r="J246" s="0" t="n">
        <f aca="false">IF(AND(D246&gt;=DATE(YEAR(D246),3,15),D246&lt;=DATE(YEAR(D246),6,10)),1,0)</f>
        <v>0</v>
      </c>
      <c r="K246" s="0" t="e">
        <f aca="false">VLOOKUP(D246,Festival_List!$A$2:$B$100,2,0)</f>
        <v>#N/A</v>
      </c>
      <c r="L246" s="0" t="n">
        <f aca="false">ROUND(((F246+G246)-(D246+E246))*24,0)</f>
        <v>11</v>
      </c>
      <c r="M246" s="0" t="n">
        <f aca="false">IF(OR(WEEKDAY(D246)=1,WEEKDAY(D246)=7),1,0)</f>
        <v>1</v>
      </c>
      <c r="N246" s="0" t="str">
        <f aca="false">IF(AND(MONTH(D246)&gt;=3,MONTH(D246)&lt;=6),"Summer",IF(AND(MONTH(D246)&gt;=7,MONTH(D246)&lt;=9),"Monsoon","Winter"))</f>
        <v>Winter</v>
      </c>
      <c r="O246" s="0" t="str">
        <f aca="false">IF(AND(L246&gt;=22,L246&lt;=25,E246&gt;=TIME(18,0,0)),"24H Night", IF(AND(L246&gt;=22,L246&lt;=25,E246&lt;TIME(18,0,0)),"24H Day", IF(AND(L246&gt;=11,L246&lt;=13,E246&gt;=TIME(18,0,0)),"12H Night", IF(AND(L246&gt;=11,L246&lt;=13,E246&lt;TIME(18,0,0)),"12H Day", IF(AND(L246&lt;10,E246&gt;=TIME(18,0,0)),"Couple Night", "Couple Day")))))</f>
        <v>12H Day</v>
      </c>
      <c r="P246" s="0" t="n">
        <f aca="false">WEEKDAY(D246,2)</f>
        <v>7</v>
      </c>
      <c r="Q246" s="0" t="n">
        <f aca="false">MONTH(D246)</f>
        <v>10</v>
      </c>
      <c r="R246" s="0" t="str">
        <f aca="false">"Q"&amp;ROUNDUP(MONTH(D246)/3,0)</f>
        <v>Q4</v>
      </c>
    </row>
    <row r="247" customFormat="false" ht="128.35" hidden="false" customHeight="false" outlineLevel="0" collapsed="false">
      <c r="A247" s="7" t="s">
        <v>744</v>
      </c>
      <c r="B247" s="7" t="s">
        <v>745</v>
      </c>
      <c r="C247" s="13" t="s">
        <v>746</v>
      </c>
      <c r="D247" s="11" t="n">
        <v>45592</v>
      </c>
      <c r="E247" s="12" t="n">
        <v>0.958333333299375</v>
      </c>
      <c r="F247" s="11" t="n">
        <v>45593</v>
      </c>
      <c r="G247" s="12" t="n">
        <v>0.375</v>
      </c>
      <c r="H247" s="10" t="n">
        <v>45592.9123173611</v>
      </c>
      <c r="I247" s="7" t="n">
        <v>2000</v>
      </c>
      <c r="J247" s="0" t="n">
        <f aca="false">IF(AND(D247&gt;=DATE(YEAR(D247),3,15),D247&lt;=DATE(YEAR(D247),6,10)),1,0)</f>
        <v>0</v>
      </c>
      <c r="K247" s="0" t="e">
        <f aca="false">VLOOKUP(D247,Festival_List!$A$2:$B$100,2,0)</f>
        <v>#N/A</v>
      </c>
      <c r="L247" s="0" t="n">
        <f aca="false">ROUND(((F247+G247)-(D247+E247))*24,0)</f>
        <v>10</v>
      </c>
      <c r="M247" s="0" t="n">
        <f aca="false">IF(OR(WEEKDAY(D247)=1,WEEKDAY(D247)=7),1,0)</f>
        <v>1</v>
      </c>
      <c r="N247" s="0" t="str">
        <f aca="false">IF(AND(MONTH(D247)&gt;=3,MONTH(D247)&lt;=6),"Summer",IF(AND(MONTH(D247)&gt;=7,MONTH(D247)&lt;=9),"Monsoon","Winter"))</f>
        <v>Winter</v>
      </c>
      <c r="O247" s="0" t="str">
        <f aca="false">IF(AND(L247&gt;=22,L247&lt;=25,E247&gt;=TIME(18,0,0)),"24H Night", IF(AND(L247&gt;=22,L247&lt;=25,E247&lt;TIME(18,0,0)),"24H Day", IF(AND(L247&gt;=11,L247&lt;=13,E247&gt;=TIME(18,0,0)),"12H Night", IF(AND(L247&gt;=11,L247&lt;=13,E247&lt;TIME(18,0,0)),"12H Day", IF(AND(L247&lt;10,E247&gt;=TIME(18,0,0)),"Couple Night", "Couple Day")))))</f>
        <v>Couple Day</v>
      </c>
      <c r="P247" s="0" t="n">
        <f aca="false">WEEKDAY(D247,2)</f>
        <v>7</v>
      </c>
      <c r="Q247" s="0" t="n">
        <f aca="false">MONTH(D247)</f>
        <v>10</v>
      </c>
      <c r="R247" s="0" t="str">
        <f aca="false">"Q"&amp;ROUNDUP(MONTH(D247)/3,0)</f>
        <v>Q4</v>
      </c>
    </row>
    <row r="248" customFormat="false" ht="141" hidden="false" customHeight="false" outlineLevel="0" collapsed="false">
      <c r="A248" s="7" t="s">
        <v>747</v>
      </c>
      <c r="B248" s="7" t="s">
        <v>748</v>
      </c>
      <c r="C248" s="13" t="s">
        <v>749</v>
      </c>
      <c r="D248" s="11" t="n">
        <v>45593</v>
      </c>
      <c r="E248" s="12" t="n">
        <v>0.791666666700625</v>
      </c>
      <c r="F248" s="11" t="n">
        <v>45594</v>
      </c>
      <c r="G248" s="12" t="n">
        <v>0.75</v>
      </c>
      <c r="H248" s="10" t="n">
        <v>45592.491321875</v>
      </c>
      <c r="I248" s="7" t="n">
        <v>4000</v>
      </c>
      <c r="J248" s="0" t="n">
        <f aca="false">IF(AND(D248&gt;=DATE(YEAR(D248),3,15),D248&lt;=DATE(YEAR(D248),6,10)),1,0)</f>
        <v>0</v>
      </c>
      <c r="K248" s="0" t="e">
        <f aca="false">VLOOKUP(D248,Festival_List!$A$2:$B$100,2,0)</f>
        <v>#N/A</v>
      </c>
      <c r="L248" s="0" t="n">
        <f aca="false">ROUND(((F248+G248)-(D248+E248))*24,0)</f>
        <v>23</v>
      </c>
      <c r="M248" s="0" t="n">
        <f aca="false">IF(OR(WEEKDAY(D248)=1,WEEKDAY(D248)=7),1,0)</f>
        <v>0</v>
      </c>
      <c r="N248" s="0" t="str">
        <f aca="false">IF(AND(MONTH(D248)&gt;=3,MONTH(D248)&lt;=6),"Summer",IF(AND(MONTH(D248)&gt;=7,MONTH(D248)&lt;=9),"Monsoon","Winter"))</f>
        <v>Winter</v>
      </c>
      <c r="O248" s="0" t="str">
        <f aca="false">IF(AND(L248&gt;=22,L248&lt;=25,E248&gt;=TIME(18,0,0)),"24H Night", IF(AND(L248&gt;=22,L248&lt;=25,E248&lt;TIME(18,0,0)),"24H Day", IF(AND(L248&gt;=11,L248&lt;=13,E248&gt;=TIME(18,0,0)),"12H Night", IF(AND(L248&gt;=11,L248&lt;=13,E248&lt;TIME(18,0,0)),"12H Day", IF(AND(L248&lt;10,E248&gt;=TIME(18,0,0)),"Couple Night", "Couple Day")))))</f>
        <v>24H Night</v>
      </c>
      <c r="P248" s="0" t="n">
        <f aca="false">WEEKDAY(D248,2)</f>
        <v>1</v>
      </c>
      <c r="Q248" s="0" t="n">
        <f aca="false">MONTH(D248)</f>
        <v>10</v>
      </c>
      <c r="R248" s="0" t="str">
        <f aca="false">"Q"&amp;ROUNDUP(MONTH(D248)/3,0)</f>
        <v>Q4</v>
      </c>
    </row>
    <row r="249" customFormat="false" ht="141" hidden="false" customHeight="false" outlineLevel="0" collapsed="false">
      <c r="A249" s="7" t="s">
        <v>750</v>
      </c>
      <c r="B249" s="7" t="s">
        <v>513</v>
      </c>
      <c r="C249" s="13" t="s">
        <v>751</v>
      </c>
      <c r="D249" s="11" t="n">
        <v>45594</v>
      </c>
      <c r="E249" s="12" t="n">
        <v>0.791666666700625</v>
      </c>
      <c r="F249" s="11" t="n">
        <v>45595</v>
      </c>
      <c r="G249" s="12" t="n">
        <v>0.791666666700625</v>
      </c>
      <c r="H249" s="10" t="n">
        <v>45593.9169608796</v>
      </c>
      <c r="I249" s="7" t="n">
        <v>4000</v>
      </c>
      <c r="J249" s="0" t="n">
        <f aca="false">IF(AND(D249&gt;=DATE(YEAR(D249),3,15),D249&lt;=DATE(YEAR(D249),6,10)),1,0)</f>
        <v>0</v>
      </c>
      <c r="K249" s="0" t="str">
        <f aca="false">VLOOKUP(D249,Festival_List!$A$2:$B$100,2,0)</f>
        <v>Dhanteras</v>
      </c>
      <c r="L249" s="0" t="n">
        <f aca="false">ROUND(((F249+G249)-(D249+E249))*24,0)</f>
        <v>24</v>
      </c>
      <c r="M249" s="0" t="n">
        <f aca="false">IF(OR(WEEKDAY(D249)=1,WEEKDAY(D249)=7),1,0)</f>
        <v>0</v>
      </c>
      <c r="N249" s="0" t="str">
        <f aca="false">IF(AND(MONTH(D249)&gt;=3,MONTH(D249)&lt;=6),"Summer",IF(AND(MONTH(D249)&gt;=7,MONTH(D249)&lt;=9),"Monsoon","Winter"))</f>
        <v>Winter</v>
      </c>
      <c r="O249" s="0" t="str">
        <f aca="false">IF(AND(L249&gt;=22,L249&lt;=25,E249&gt;=TIME(18,0,0)),"24H Night", IF(AND(L249&gt;=22,L249&lt;=25,E249&lt;TIME(18,0,0)),"24H Day", IF(AND(L249&gt;=11,L249&lt;=13,E249&gt;=TIME(18,0,0)),"12H Night", IF(AND(L249&gt;=11,L249&lt;=13,E249&lt;TIME(18,0,0)),"12H Day", IF(AND(L249&lt;10,E249&gt;=TIME(18,0,0)),"Couple Night", "Couple Day")))))</f>
        <v>24H Night</v>
      </c>
      <c r="P249" s="0" t="n">
        <f aca="false">WEEKDAY(D249,2)</f>
        <v>2</v>
      </c>
      <c r="Q249" s="0" t="n">
        <f aca="false">MONTH(D249)</f>
        <v>10</v>
      </c>
      <c r="R249" s="0" t="str">
        <f aca="false">"Q"&amp;ROUNDUP(MONTH(D249)/3,0)</f>
        <v>Q4</v>
      </c>
    </row>
    <row r="250" customFormat="false" ht="141" hidden="false" customHeight="false" outlineLevel="0" collapsed="false">
      <c r="A250" s="7" t="s">
        <v>752</v>
      </c>
      <c r="B250" s="7" t="s">
        <v>380</v>
      </c>
      <c r="C250" s="13" t="s">
        <v>753</v>
      </c>
      <c r="D250" s="11" t="n">
        <v>45597</v>
      </c>
      <c r="E250" s="12" t="n">
        <v>0.5</v>
      </c>
      <c r="F250" s="11" t="n">
        <v>45598</v>
      </c>
      <c r="G250" s="12" t="n">
        <v>0.5</v>
      </c>
      <c r="H250" s="10" t="n">
        <v>45596.9476914352</v>
      </c>
      <c r="I250" s="7" t="n">
        <v>4500</v>
      </c>
      <c r="J250" s="0" t="n">
        <f aca="false">IF(AND(D250&gt;=DATE(YEAR(D250),3,15),D250&lt;=DATE(YEAR(D250),6,10)),1,0)</f>
        <v>0</v>
      </c>
      <c r="K250" s="0" t="str">
        <f aca="false">VLOOKUP(D250,Festival_List!$A$2:$B$100,2,0)</f>
        <v>Diwali</v>
      </c>
      <c r="L250" s="0" t="n">
        <f aca="false">ROUND(((F250+G250)-(D250+E250))*24,0)</f>
        <v>24</v>
      </c>
      <c r="M250" s="0" t="n">
        <f aca="false">IF(OR(WEEKDAY(D250)=1,WEEKDAY(D250)=7),1,0)</f>
        <v>0</v>
      </c>
      <c r="N250" s="0" t="str">
        <f aca="false">IF(AND(MONTH(D250)&gt;=3,MONTH(D250)&lt;=6),"Summer",IF(AND(MONTH(D250)&gt;=7,MONTH(D250)&lt;=9),"Monsoon","Winter"))</f>
        <v>Winter</v>
      </c>
      <c r="O250" s="0" t="str">
        <f aca="false">IF(AND(L250&gt;=22,L250&lt;=25,E250&gt;=TIME(18,0,0)),"24H Night", IF(AND(L250&gt;=22,L250&lt;=25,E250&lt;TIME(18,0,0)),"24H Day", IF(AND(L250&gt;=11,L250&lt;=13,E250&gt;=TIME(18,0,0)),"12H Night", IF(AND(L250&gt;=11,L250&lt;=13,E250&lt;TIME(18,0,0)),"12H Day", IF(AND(L250&lt;10,E250&gt;=TIME(18,0,0)),"Couple Night", "Couple Day")))))</f>
        <v>24H Day</v>
      </c>
      <c r="P250" s="0" t="n">
        <f aca="false">WEEKDAY(D250,2)</f>
        <v>5</v>
      </c>
      <c r="Q250" s="0" t="n">
        <f aca="false">MONTH(D250)</f>
        <v>11</v>
      </c>
      <c r="R250" s="0" t="str">
        <f aca="false">"Q"&amp;ROUNDUP(MONTH(D250)/3,0)</f>
        <v>Q4</v>
      </c>
    </row>
    <row r="251" customFormat="false" ht="141" hidden="false" customHeight="false" outlineLevel="0" collapsed="false">
      <c r="A251" s="7" t="s">
        <v>754</v>
      </c>
      <c r="B251" s="7" t="s">
        <v>755</v>
      </c>
      <c r="C251" s="13" t="s">
        <v>756</v>
      </c>
      <c r="D251" s="11" t="n">
        <v>45598</v>
      </c>
      <c r="E251" s="12" t="n">
        <v>0.791666666700625</v>
      </c>
      <c r="F251" s="11" t="n">
        <v>45599</v>
      </c>
      <c r="G251" s="12" t="n">
        <v>0.75</v>
      </c>
      <c r="H251" s="10" t="n">
        <v>45591.4886704861</v>
      </c>
      <c r="I251" s="7" t="n">
        <v>6500</v>
      </c>
      <c r="J251" s="0" t="n">
        <f aca="false">IF(AND(D251&gt;=DATE(YEAR(D251),3,15),D251&lt;=DATE(YEAR(D251),6,10)),1,0)</f>
        <v>0</v>
      </c>
      <c r="K251" s="0" t="str">
        <f aca="false">VLOOKUP(D251,Festival_List!$A$2:$B$100,2,0)</f>
        <v>Bestu Varas</v>
      </c>
      <c r="L251" s="0" t="n">
        <f aca="false">ROUND(((F251+G251)-(D251+E251))*24,0)</f>
        <v>23</v>
      </c>
      <c r="M251" s="0" t="n">
        <f aca="false">IF(OR(WEEKDAY(D251)=1,WEEKDAY(D251)=7),1,0)</f>
        <v>1</v>
      </c>
      <c r="N251" s="0" t="str">
        <f aca="false">IF(AND(MONTH(D251)&gt;=3,MONTH(D251)&lt;=6),"Summer",IF(AND(MONTH(D251)&gt;=7,MONTH(D251)&lt;=9),"Monsoon","Winter"))</f>
        <v>Winter</v>
      </c>
      <c r="O251" s="0" t="str">
        <f aca="false">IF(AND(L251&gt;=22,L251&lt;=25,E251&gt;=TIME(18,0,0)),"24H Night", IF(AND(L251&gt;=22,L251&lt;=25,E251&lt;TIME(18,0,0)),"24H Day", IF(AND(L251&gt;=11,L251&lt;=13,E251&gt;=TIME(18,0,0)),"12H Night", IF(AND(L251&gt;=11,L251&lt;=13,E251&lt;TIME(18,0,0)),"12H Day", IF(AND(L251&lt;10,E251&gt;=TIME(18,0,0)),"Couple Night", "Couple Day")))))</f>
        <v>24H Night</v>
      </c>
      <c r="P251" s="0" t="n">
        <f aca="false">WEEKDAY(D251,2)</f>
        <v>6</v>
      </c>
      <c r="Q251" s="0" t="n">
        <f aca="false">MONTH(D251)</f>
        <v>11</v>
      </c>
      <c r="R251" s="0" t="str">
        <f aca="false">"Q"&amp;ROUNDUP(MONTH(D251)/3,0)</f>
        <v>Q4</v>
      </c>
    </row>
    <row r="252" customFormat="false" ht="141" hidden="false" customHeight="false" outlineLevel="0" collapsed="false">
      <c r="A252" s="7" t="s">
        <v>757</v>
      </c>
      <c r="B252" s="7" t="s">
        <v>758</v>
      </c>
      <c r="C252" s="13" t="s">
        <v>759</v>
      </c>
      <c r="D252" s="11" t="n">
        <v>45599</v>
      </c>
      <c r="E252" s="12" t="n">
        <v>0.791666666700625</v>
      </c>
      <c r="F252" s="11" t="n">
        <v>45600</v>
      </c>
      <c r="G252" s="12" t="n">
        <v>0.75</v>
      </c>
      <c r="H252" s="10" t="n">
        <v>45597.3817199074</v>
      </c>
      <c r="I252" s="7" t="n">
        <v>4000</v>
      </c>
      <c r="J252" s="0" t="n">
        <f aca="false">IF(AND(D252&gt;=DATE(YEAR(D252),3,15),D252&lt;=DATE(YEAR(D252),6,10)),1,0)</f>
        <v>0</v>
      </c>
      <c r="K252" s="0" t="str">
        <f aca="false">VLOOKUP(D252,Festival_List!$A$2:$B$100,2,0)</f>
        <v>Bhai Beej</v>
      </c>
      <c r="L252" s="0" t="n">
        <f aca="false">ROUND(((F252+G252)-(D252+E252))*24,0)</f>
        <v>23</v>
      </c>
      <c r="M252" s="0" t="n">
        <f aca="false">IF(OR(WEEKDAY(D252)=1,WEEKDAY(D252)=7),1,0)</f>
        <v>1</v>
      </c>
      <c r="N252" s="0" t="str">
        <f aca="false">IF(AND(MONTH(D252)&gt;=3,MONTH(D252)&lt;=6),"Summer",IF(AND(MONTH(D252)&gt;=7,MONTH(D252)&lt;=9),"Monsoon","Winter"))</f>
        <v>Winter</v>
      </c>
      <c r="O252" s="0" t="str">
        <f aca="false">IF(AND(L252&gt;=22,L252&lt;=25,E252&gt;=TIME(18,0,0)),"24H Night", IF(AND(L252&gt;=22,L252&lt;=25,E252&lt;TIME(18,0,0)),"24H Day", IF(AND(L252&gt;=11,L252&lt;=13,E252&gt;=TIME(18,0,0)),"12H Night", IF(AND(L252&gt;=11,L252&lt;=13,E252&lt;TIME(18,0,0)),"12H Day", IF(AND(L252&lt;10,E252&gt;=TIME(18,0,0)),"Couple Night", "Couple Day")))))</f>
        <v>24H Night</v>
      </c>
      <c r="P252" s="0" t="n">
        <f aca="false">WEEKDAY(D252,2)</f>
        <v>7</v>
      </c>
      <c r="Q252" s="0" t="n">
        <f aca="false">MONTH(D252)</f>
        <v>11</v>
      </c>
      <c r="R252" s="0" t="str">
        <f aca="false">"Q"&amp;ROUNDUP(MONTH(D252)/3,0)</f>
        <v>Q4</v>
      </c>
    </row>
    <row r="253" customFormat="false" ht="141" hidden="false" customHeight="false" outlineLevel="0" collapsed="false">
      <c r="A253" s="7" t="s">
        <v>760</v>
      </c>
      <c r="B253" s="7" t="s">
        <v>761</v>
      </c>
      <c r="C253" s="13" t="s">
        <v>762</v>
      </c>
      <c r="D253" s="11" t="n">
        <v>45600</v>
      </c>
      <c r="E253" s="12" t="n">
        <v>0.791666666700625</v>
      </c>
      <c r="F253" s="11" t="n">
        <v>45601</v>
      </c>
      <c r="G253" s="12" t="n">
        <v>0.75</v>
      </c>
      <c r="H253" s="10" t="n">
        <v>45596.9505258102</v>
      </c>
      <c r="I253" s="7" t="n">
        <v>4500</v>
      </c>
      <c r="J253" s="0" t="n">
        <f aca="false">IF(AND(D253&gt;=DATE(YEAR(D253),3,15),D253&lt;=DATE(YEAR(D253),6,10)),1,0)</f>
        <v>0</v>
      </c>
      <c r="K253" s="0" t="e">
        <f aca="false">VLOOKUP(D253,Festival_List!$A$2:$B$100,2,0)</f>
        <v>#N/A</v>
      </c>
      <c r="L253" s="0" t="n">
        <f aca="false">ROUND(((F253+G253)-(D253+E253))*24,0)</f>
        <v>23</v>
      </c>
      <c r="M253" s="0" t="n">
        <f aca="false">IF(OR(WEEKDAY(D253)=1,WEEKDAY(D253)=7),1,0)</f>
        <v>0</v>
      </c>
      <c r="N253" s="0" t="str">
        <f aca="false">IF(AND(MONTH(D253)&gt;=3,MONTH(D253)&lt;=6),"Summer",IF(AND(MONTH(D253)&gt;=7,MONTH(D253)&lt;=9),"Monsoon","Winter"))</f>
        <v>Winter</v>
      </c>
      <c r="O253" s="0" t="str">
        <f aca="false">IF(AND(L253&gt;=22,L253&lt;=25,E253&gt;=TIME(18,0,0)),"24H Night", IF(AND(L253&gt;=22,L253&lt;=25,E253&lt;TIME(18,0,0)),"24H Day", IF(AND(L253&gt;=11,L253&lt;=13,E253&gt;=TIME(18,0,0)),"12H Night", IF(AND(L253&gt;=11,L253&lt;=13,E253&lt;TIME(18,0,0)),"12H Day", IF(AND(L253&lt;10,E253&gt;=TIME(18,0,0)),"Couple Night", "Couple Day")))))</f>
        <v>24H Night</v>
      </c>
      <c r="P253" s="0" t="n">
        <f aca="false">WEEKDAY(D253,2)</f>
        <v>1</v>
      </c>
      <c r="Q253" s="0" t="n">
        <f aca="false">MONTH(D253)</f>
        <v>11</v>
      </c>
      <c r="R253" s="0" t="str">
        <f aca="false">"Q"&amp;ROUNDUP(MONTH(D253)/3,0)</f>
        <v>Q4</v>
      </c>
    </row>
    <row r="254" customFormat="false" ht="90.25" hidden="false" customHeight="false" outlineLevel="0" collapsed="false">
      <c r="A254" s="7" t="s">
        <v>763</v>
      </c>
      <c r="B254" s="7" t="s">
        <v>420</v>
      </c>
      <c r="C254" s="13" t="s">
        <v>764</v>
      </c>
      <c r="D254" s="11" t="n">
        <v>45601</v>
      </c>
      <c r="E254" s="12" t="n">
        <v>0.791666666700625</v>
      </c>
      <c r="F254" s="11" t="n">
        <v>45602</v>
      </c>
      <c r="G254" s="12" t="n">
        <v>0.75</v>
      </c>
      <c r="H254" s="10" t="n">
        <v>45600.640259375</v>
      </c>
      <c r="I254" s="7" t="n">
        <v>4200</v>
      </c>
      <c r="J254" s="0" t="n">
        <f aca="false">IF(AND(D254&gt;=DATE(YEAR(D254),3,15),D254&lt;=DATE(YEAR(D254),6,10)),1,0)</f>
        <v>0</v>
      </c>
      <c r="K254" s="0" t="e">
        <f aca="false">VLOOKUP(D254,Festival_List!$A$2:$B$100,2,0)</f>
        <v>#N/A</v>
      </c>
      <c r="L254" s="0" t="n">
        <f aca="false">ROUND(((F254+G254)-(D254+E254))*24,0)</f>
        <v>23</v>
      </c>
      <c r="M254" s="0" t="n">
        <f aca="false">IF(OR(WEEKDAY(D254)=1,WEEKDAY(D254)=7),1,0)</f>
        <v>0</v>
      </c>
      <c r="N254" s="0" t="str">
        <f aca="false">IF(AND(MONTH(D254)&gt;=3,MONTH(D254)&lt;=6),"Summer",IF(AND(MONTH(D254)&gt;=7,MONTH(D254)&lt;=9),"Monsoon","Winter"))</f>
        <v>Winter</v>
      </c>
      <c r="O254" s="0" t="str">
        <f aca="false">IF(AND(L254&gt;=22,L254&lt;=25,E254&gt;=TIME(18,0,0)),"24H Night", IF(AND(L254&gt;=22,L254&lt;=25,E254&lt;TIME(18,0,0)),"24H Day", IF(AND(L254&gt;=11,L254&lt;=13,E254&gt;=TIME(18,0,0)),"12H Night", IF(AND(L254&gt;=11,L254&lt;=13,E254&lt;TIME(18,0,0)),"12H Day", IF(AND(L254&lt;10,E254&gt;=TIME(18,0,0)),"Couple Night", "Couple Day")))))</f>
        <v>24H Night</v>
      </c>
      <c r="P254" s="0" t="n">
        <f aca="false">WEEKDAY(D254,2)</f>
        <v>2</v>
      </c>
      <c r="Q254" s="0" t="n">
        <f aca="false">MONTH(D254)</f>
        <v>11</v>
      </c>
      <c r="R254" s="0" t="str">
        <f aca="false">"Q"&amp;ROUNDUP(MONTH(D254)/3,0)</f>
        <v>Q4</v>
      </c>
    </row>
    <row r="255" customFormat="false" ht="141" hidden="false" customHeight="false" outlineLevel="0" collapsed="false">
      <c r="A255" s="7" t="s">
        <v>765</v>
      </c>
      <c r="B255" s="7" t="s">
        <v>766</v>
      </c>
      <c r="C255" s="13" t="s">
        <v>767</v>
      </c>
      <c r="D255" s="11" t="n">
        <v>45602</v>
      </c>
      <c r="E255" s="12" t="n">
        <v>0.791666666700625</v>
      </c>
      <c r="F255" s="11" t="n">
        <v>45603</v>
      </c>
      <c r="G255" s="12" t="n">
        <v>0.75</v>
      </c>
      <c r="H255" s="10" t="n">
        <v>45594.552625</v>
      </c>
      <c r="I255" s="7" t="n">
        <v>4500</v>
      </c>
      <c r="J255" s="0" t="n">
        <f aca="false">IF(AND(D255&gt;=DATE(YEAR(D255),3,15),D255&lt;=DATE(YEAR(D255),6,10)),1,0)</f>
        <v>0</v>
      </c>
      <c r="K255" s="0" t="e">
        <f aca="false">VLOOKUP(D255,Festival_List!$A$2:$B$100,2,0)</f>
        <v>#N/A</v>
      </c>
      <c r="L255" s="0" t="n">
        <f aca="false">ROUND(((F255+G255)-(D255+E255))*24,0)</f>
        <v>23</v>
      </c>
      <c r="M255" s="0" t="n">
        <f aca="false">IF(OR(WEEKDAY(D255)=1,WEEKDAY(D255)=7),1,0)</f>
        <v>0</v>
      </c>
      <c r="N255" s="0" t="str">
        <f aca="false">IF(AND(MONTH(D255)&gt;=3,MONTH(D255)&lt;=6),"Summer",IF(AND(MONTH(D255)&gt;=7,MONTH(D255)&lt;=9),"Monsoon","Winter"))</f>
        <v>Winter</v>
      </c>
      <c r="O255" s="0" t="str">
        <f aca="false">IF(AND(L255&gt;=22,L255&lt;=25,E255&gt;=TIME(18,0,0)),"24H Night", IF(AND(L255&gt;=22,L255&lt;=25,E255&lt;TIME(18,0,0)),"24H Day", IF(AND(L255&gt;=11,L255&lt;=13,E255&gt;=TIME(18,0,0)),"12H Night", IF(AND(L255&gt;=11,L255&lt;=13,E255&lt;TIME(18,0,0)),"12H Day", IF(AND(L255&lt;10,E255&gt;=TIME(18,0,0)),"Couple Night", "Couple Day")))))</f>
        <v>24H Night</v>
      </c>
      <c r="P255" s="0" t="n">
        <f aca="false">WEEKDAY(D255,2)</f>
        <v>3</v>
      </c>
      <c r="Q255" s="0" t="n">
        <f aca="false">MONTH(D255)</f>
        <v>11</v>
      </c>
      <c r="R255" s="0" t="str">
        <f aca="false">"Q"&amp;ROUNDUP(MONTH(D255)/3,0)</f>
        <v>Q4</v>
      </c>
    </row>
    <row r="256" customFormat="false" ht="141" hidden="false" customHeight="false" outlineLevel="0" collapsed="false">
      <c r="A256" s="7" t="s">
        <v>768</v>
      </c>
      <c r="B256" s="7" t="s">
        <v>769</v>
      </c>
      <c r="C256" s="13" t="s">
        <v>770</v>
      </c>
      <c r="D256" s="11" t="n">
        <v>45604</v>
      </c>
      <c r="E256" s="12" t="n">
        <v>0.333333333299375</v>
      </c>
      <c r="F256" s="11" t="n">
        <v>45604</v>
      </c>
      <c r="G256" s="12" t="n">
        <v>0.75</v>
      </c>
      <c r="H256" s="10" t="n">
        <v>45603.9807685185</v>
      </c>
      <c r="I256" s="7" t="n">
        <v>4000</v>
      </c>
      <c r="J256" s="0" t="n">
        <f aca="false">IF(AND(D256&gt;=DATE(YEAR(D256),3,15),D256&lt;=DATE(YEAR(D256),6,10)),1,0)</f>
        <v>0</v>
      </c>
      <c r="K256" s="0" t="e">
        <f aca="false">VLOOKUP(D256,Festival_List!$A$2:$B$100,2,0)</f>
        <v>#N/A</v>
      </c>
      <c r="L256" s="0" t="n">
        <f aca="false">ROUND(((F256+G256)-(D256+E256))*24,0)</f>
        <v>10</v>
      </c>
      <c r="M256" s="0" t="n">
        <f aca="false">IF(OR(WEEKDAY(D256)=1,WEEKDAY(D256)=7),1,0)</f>
        <v>0</v>
      </c>
      <c r="N256" s="0" t="str">
        <f aca="false">IF(AND(MONTH(D256)&gt;=3,MONTH(D256)&lt;=6),"Summer",IF(AND(MONTH(D256)&gt;=7,MONTH(D256)&lt;=9),"Monsoon","Winter"))</f>
        <v>Winter</v>
      </c>
      <c r="O256" s="0" t="str">
        <f aca="false">IF(AND(L256&gt;=22,L256&lt;=25,E256&gt;=TIME(18,0,0)),"24H Night", IF(AND(L256&gt;=22,L256&lt;=25,E256&lt;TIME(18,0,0)),"24H Day", IF(AND(L256&gt;=11,L256&lt;=13,E256&gt;=TIME(18,0,0)),"12H Night", IF(AND(L256&gt;=11,L256&lt;=13,E256&lt;TIME(18,0,0)),"12H Day", IF(AND(L256&lt;10,E256&gt;=TIME(18,0,0)),"Couple Night", "Couple Day")))))</f>
        <v>Couple Day</v>
      </c>
      <c r="P256" s="0" t="n">
        <f aca="false">WEEKDAY(D256,2)</f>
        <v>5</v>
      </c>
      <c r="Q256" s="0" t="n">
        <f aca="false">MONTH(D256)</f>
        <v>11</v>
      </c>
      <c r="R256" s="0" t="str">
        <f aca="false">"Q"&amp;ROUNDUP(MONTH(D256)/3,0)</f>
        <v>Q4</v>
      </c>
    </row>
    <row r="257" customFormat="false" ht="141" hidden="false" customHeight="false" outlineLevel="0" collapsed="false">
      <c r="A257" s="7" t="s">
        <v>771</v>
      </c>
      <c r="B257" s="7" t="s">
        <v>481</v>
      </c>
      <c r="C257" s="13" t="s">
        <v>772</v>
      </c>
      <c r="D257" s="11" t="n">
        <v>45604</v>
      </c>
      <c r="E257" s="12" t="n">
        <v>0.791666666700625</v>
      </c>
      <c r="F257" s="11" t="n">
        <v>45605</v>
      </c>
      <c r="G257" s="12" t="n">
        <v>0.75</v>
      </c>
      <c r="H257" s="10" t="n">
        <v>45605.8313329861</v>
      </c>
      <c r="I257" s="7" t="n">
        <v>4000</v>
      </c>
      <c r="J257" s="0" t="n">
        <f aca="false">IF(AND(D257&gt;=DATE(YEAR(D257),3,15),D257&lt;=DATE(YEAR(D257),6,10)),1,0)</f>
        <v>0</v>
      </c>
      <c r="K257" s="0" t="e">
        <f aca="false">VLOOKUP(D257,Festival_List!$A$2:$B$100,2,0)</f>
        <v>#N/A</v>
      </c>
      <c r="L257" s="0" t="n">
        <f aca="false">ROUND(((F257+G257)-(D257+E257))*24,0)</f>
        <v>23</v>
      </c>
      <c r="M257" s="0" t="n">
        <f aca="false">IF(OR(WEEKDAY(D257)=1,WEEKDAY(D257)=7),1,0)</f>
        <v>0</v>
      </c>
      <c r="N257" s="0" t="str">
        <f aca="false">IF(AND(MONTH(D257)&gt;=3,MONTH(D257)&lt;=6),"Summer",IF(AND(MONTH(D257)&gt;=7,MONTH(D257)&lt;=9),"Monsoon","Winter"))</f>
        <v>Winter</v>
      </c>
      <c r="O257" s="0" t="str">
        <f aca="false">IF(AND(L257&gt;=22,L257&lt;=25,E257&gt;=TIME(18,0,0)),"24H Night", IF(AND(L257&gt;=22,L257&lt;=25,E257&lt;TIME(18,0,0)),"24H Day", IF(AND(L257&gt;=11,L257&lt;=13,E257&gt;=TIME(18,0,0)),"12H Night", IF(AND(L257&gt;=11,L257&lt;=13,E257&lt;TIME(18,0,0)),"12H Day", IF(AND(L257&lt;10,E257&gt;=TIME(18,0,0)),"Couple Night", "Couple Day")))))</f>
        <v>24H Night</v>
      </c>
      <c r="P257" s="0" t="n">
        <f aca="false">WEEKDAY(D257,2)</f>
        <v>5</v>
      </c>
      <c r="Q257" s="0" t="n">
        <f aca="false">MONTH(D257)</f>
        <v>11</v>
      </c>
      <c r="R257" s="0" t="str">
        <f aca="false">"Q"&amp;ROUNDUP(MONTH(D257)/3,0)</f>
        <v>Q4</v>
      </c>
    </row>
    <row r="258" customFormat="false" ht="153.7" hidden="false" customHeight="false" outlineLevel="0" collapsed="false">
      <c r="A258" s="7" t="s">
        <v>773</v>
      </c>
      <c r="B258" s="7" t="s">
        <v>774</v>
      </c>
      <c r="C258" s="13" t="s">
        <v>775</v>
      </c>
      <c r="D258" s="11" t="n">
        <v>45605</v>
      </c>
      <c r="E258" s="12" t="n">
        <v>0.791666666700625</v>
      </c>
      <c r="F258" s="11" t="n">
        <v>45606</v>
      </c>
      <c r="G258" s="12" t="n">
        <v>0.75</v>
      </c>
      <c r="H258" s="10" t="n">
        <v>45582.4489777778</v>
      </c>
      <c r="I258" s="7" t="n">
        <v>5000</v>
      </c>
      <c r="J258" s="0" t="n">
        <f aca="false">IF(AND(D258&gt;=DATE(YEAR(D258),3,15),D258&lt;=DATE(YEAR(D258),6,10)),1,0)</f>
        <v>0</v>
      </c>
      <c r="K258" s="0" t="e">
        <f aca="false">VLOOKUP(D258,Festival_List!$A$2:$B$100,2,0)</f>
        <v>#N/A</v>
      </c>
      <c r="L258" s="0" t="n">
        <f aca="false">ROUND(((F258+G258)-(D258+E258))*24,0)</f>
        <v>23</v>
      </c>
      <c r="M258" s="0" t="n">
        <f aca="false">IF(OR(WEEKDAY(D258)=1,WEEKDAY(D258)=7),1,0)</f>
        <v>1</v>
      </c>
      <c r="N258" s="0" t="str">
        <f aca="false">IF(AND(MONTH(D258)&gt;=3,MONTH(D258)&lt;=6),"Summer",IF(AND(MONTH(D258)&gt;=7,MONTH(D258)&lt;=9),"Monsoon","Winter"))</f>
        <v>Winter</v>
      </c>
      <c r="O258" s="0" t="str">
        <f aca="false">IF(AND(L258&gt;=22,L258&lt;=25,E258&gt;=TIME(18,0,0)),"24H Night", IF(AND(L258&gt;=22,L258&lt;=25,E258&lt;TIME(18,0,0)),"24H Day", IF(AND(L258&gt;=11,L258&lt;=13,E258&gt;=TIME(18,0,0)),"12H Night", IF(AND(L258&gt;=11,L258&lt;=13,E258&lt;TIME(18,0,0)),"12H Day", IF(AND(L258&lt;10,E258&gt;=TIME(18,0,0)),"Couple Night", "Couple Day")))))</f>
        <v>24H Night</v>
      </c>
      <c r="P258" s="0" t="n">
        <f aca="false">WEEKDAY(D258,2)</f>
        <v>6</v>
      </c>
      <c r="Q258" s="0" t="n">
        <f aca="false">MONTH(D258)</f>
        <v>11</v>
      </c>
      <c r="R258" s="0" t="str">
        <f aca="false">"Q"&amp;ROUNDUP(MONTH(D258)/3,0)</f>
        <v>Q4</v>
      </c>
    </row>
    <row r="259" customFormat="false" ht="141" hidden="false" customHeight="false" outlineLevel="0" collapsed="false">
      <c r="A259" s="7" t="s">
        <v>776</v>
      </c>
      <c r="B259" s="7" t="s">
        <v>777</v>
      </c>
      <c r="C259" s="13" t="s">
        <v>778</v>
      </c>
      <c r="D259" s="11" t="n">
        <v>45606</v>
      </c>
      <c r="E259" s="12" t="n">
        <v>0.791666666700625</v>
      </c>
      <c r="F259" s="11" t="n">
        <v>45607</v>
      </c>
      <c r="G259" s="12" t="n">
        <v>0.75</v>
      </c>
      <c r="H259" s="10" t="n">
        <v>45605.5099883102</v>
      </c>
      <c r="I259" s="7" t="n">
        <v>4500</v>
      </c>
      <c r="J259" s="0" t="n">
        <f aca="false">IF(AND(D259&gt;=DATE(YEAR(D259),3,15),D259&lt;=DATE(YEAR(D259),6,10)),1,0)</f>
        <v>0</v>
      </c>
      <c r="K259" s="0" t="e">
        <f aca="false">VLOOKUP(D259,Festival_List!$A$2:$B$100,2,0)</f>
        <v>#N/A</v>
      </c>
      <c r="L259" s="0" t="n">
        <f aca="false">ROUND(((F259+G259)-(D259+E259))*24,0)</f>
        <v>23</v>
      </c>
      <c r="M259" s="0" t="n">
        <f aca="false">IF(OR(WEEKDAY(D259)=1,WEEKDAY(D259)=7),1,0)</f>
        <v>1</v>
      </c>
      <c r="N259" s="0" t="str">
        <f aca="false">IF(AND(MONTH(D259)&gt;=3,MONTH(D259)&lt;=6),"Summer",IF(AND(MONTH(D259)&gt;=7,MONTH(D259)&lt;=9),"Monsoon","Winter"))</f>
        <v>Winter</v>
      </c>
      <c r="O259" s="0" t="str">
        <f aca="false">IF(AND(L259&gt;=22,L259&lt;=25,E259&gt;=TIME(18,0,0)),"24H Night", IF(AND(L259&gt;=22,L259&lt;=25,E259&lt;TIME(18,0,0)),"24H Day", IF(AND(L259&gt;=11,L259&lt;=13,E259&gt;=TIME(18,0,0)),"12H Night", IF(AND(L259&gt;=11,L259&lt;=13,E259&lt;TIME(18,0,0)),"12H Day", IF(AND(L259&lt;10,E259&gt;=TIME(18,0,0)),"Couple Night", "Couple Day")))))</f>
        <v>24H Night</v>
      </c>
      <c r="P259" s="0" t="n">
        <f aca="false">WEEKDAY(D259,2)</f>
        <v>7</v>
      </c>
      <c r="Q259" s="0" t="n">
        <f aca="false">MONTH(D259)</f>
        <v>11</v>
      </c>
      <c r="R259" s="0" t="str">
        <f aca="false">"Q"&amp;ROUNDUP(MONTH(D259)/3,0)</f>
        <v>Q4</v>
      </c>
    </row>
    <row r="260" customFormat="false" ht="141" hidden="false" customHeight="false" outlineLevel="0" collapsed="false">
      <c r="A260" s="7" t="s">
        <v>779</v>
      </c>
      <c r="B260" s="7" t="s">
        <v>432</v>
      </c>
      <c r="C260" s="13" t="s">
        <v>780</v>
      </c>
      <c r="D260" s="11" t="n">
        <v>45607</v>
      </c>
      <c r="E260" s="12" t="n">
        <v>0.833333333299375</v>
      </c>
      <c r="F260" s="11" t="n">
        <v>45608</v>
      </c>
      <c r="G260" s="12" t="n">
        <v>0.333333333299375</v>
      </c>
      <c r="H260" s="10" t="n">
        <v>45606.5786528935</v>
      </c>
      <c r="I260" s="7" t="n">
        <v>2000</v>
      </c>
      <c r="J260" s="0" t="n">
        <f aca="false">IF(AND(D260&gt;=DATE(YEAR(D260),3,15),D260&lt;=DATE(YEAR(D260),6,10)),1,0)</f>
        <v>0</v>
      </c>
      <c r="K260" s="0" t="e">
        <f aca="false">VLOOKUP(D260,Festival_List!$A$2:$B$100,2,0)</f>
        <v>#N/A</v>
      </c>
      <c r="L260" s="0" t="n">
        <f aca="false">ROUND(((F260+G260)-(D260+E260))*24,0)</f>
        <v>12</v>
      </c>
      <c r="M260" s="0" t="n">
        <f aca="false">IF(OR(WEEKDAY(D260)=1,WEEKDAY(D260)=7),1,0)</f>
        <v>0</v>
      </c>
      <c r="N260" s="0" t="str">
        <f aca="false">IF(AND(MONTH(D260)&gt;=3,MONTH(D260)&lt;=6),"Summer",IF(AND(MONTH(D260)&gt;=7,MONTH(D260)&lt;=9),"Monsoon","Winter"))</f>
        <v>Winter</v>
      </c>
      <c r="O260" s="0" t="str">
        <f aca="false">IF(AND(L260&gt;=22,L260&lt;=25,E260&gt;=TIME(18,0,0)),"24H Night", IF(AND(L260&gt;=22,L260&lt;=25,E260&lt;TIME(18,0,0)),"24H Day", IF(AND(L260&gt;=11,L260&lt;=13,E260&gt;=TIME(18,0,0)),"12H Night", IF(AND(L260&gt;=11,L260&lt;=13,E260&lt;TIME(18,0,0)),"12H Day", IF(AND(L260&lt;10,E260&gt;=TIME(18,0,0)),"Couple Night", "Couple Day")))))</f>
        <v>12H Night</v>
      </c>
      <c r="P260" s="0" t="n">
        <f aca="false">WEEKDAY(D260,2)</f>
        <v>1</v>
      </c>
      <c r="Q260" s="0" t="n">
        <f aca="false">MONTH(D260)</f>
        <v>11</v>
      </c>
      <c r="R260" s="0" t="str">
        <f aca="false">"Q"&amp;ROUNDUP(MONTH(D260)/3,0)</f>
        <v>Q4</v>
      </c>
    </row>
    <row r="261" customFormat="false" ht="141" hidden="false" customHeight="false" outlineLevel="0" collapsed="false">
      <c r="A261" s="7" t="s">
        <v>781</v>
      </c>
      <c r="B261" s="7" t="s">
        <v>782</v>
      </c>
      <c r="C261" s="13" t="s">
        <v>783</v>
      </c>
      <c r="D261" s="11" t="n">
        <v>45609</v>
      </c>
      <c r="E261" s="12" t="n">
        <v>0.333333333299375</v>
      </c>
      <c r="F261" s="11" t="n">
        <v>45609</v>
      </c>
      <c r="G261" s="12" t="n">
        <v>0.75</v>
      </c>
      <c r="H261" s="10" t="n">
        <v>45608.7629865741</v>
      </c>
      <c r="I261" s="7" t="n">
        <v>2000</v>
      </c>
      <c r="J261" s="0" t="n">
        <f aca="false">IF(AND(D261&gt;=DATE(YEAR(D261),3,15),D261&lt;=DATE(YEAR(D261),6,10)),1,0)</f>
        <v>0</v>
      </c>
      <c r="K261" s="0" t="e">
        <f aca="false">VLOOKUP(D261,Festival_List!$A$2:$B$100,2,0)</f>
        <v>#N/A</v>
      </c>
      <c r="L261" s="0" t="n">
        <f aca="false">ROUND(((F261+G261)-(D261+E261))*24,0)</f>
        <v>10</v>
      </c>
      <c r="M261" s="0" t="n">
        <f aca="false">IF(OR(WEEKDAY(D261)=1,WEEKDAY(D261)=7),1,0)</f>
        <v>0</v>
      </c>
      <c r="N261" s="0" t="str">
        <f aca="false">IF(AND(MONTH(D261)&gt;=3,MONTH(D261)&lt;=6),"Summer",IF(AND(MONTH(D261)&gt;=7,MONTH(D261)&lt;=9),"Monsoon","Winter"))</f>
        <v>Winter</v>
      </c>
      <c r="O261" s="0" t="str">
        <f aca="false">IF(AND(L261&gt;=22,L261&lt;=25,E261&gt;=TIME(18,0,0)),"24H Night", IF(AND(L261&gt;=22,L261&lt;=25,E261&lt;TIME(18,0,0)),"24H Day", IF(AND(L261&gt;=11,L261&lt;=13,E261&gt;=TIME(18,0,0)),"12H Night", IF(AND(L261&gt;=11,L261&lt;=13,E261&lt;TIME(18,0,0)),"12H Day", IF(AND(L261&lt;10,E261&gt;=TIME(18,0,0)),"Couple Night", "Couple Day")))))</f>
        <v>Couple Day</v>
      </c>
      <c r="P261" s="0" t="n">
        <f aca="false">WEEKDAY(D261,2)</f>
        <v>3</v>
      </c>
      <c r="Q261" s="0" t="n">
        <f aca="false">MONTH(D261)</f>
        <v>11</v>
      </c>
      <c r="R261" s="0" t="str">
        <f aca="false">"Q"&amp;ROUNDUP(MONTH(D261)/3,0)</f>
        <v>Q4</v>
      </c>
    </row>
    <row r="262" customFormat="false" ht="141" hidden="false" customHeight="false" outlineLevel="0" collapsed="false">
      <c r="A262" s="7" t="s">
        <v>784</v>
      </c>
      <c r="B262" s="7" t="s">
        <v>660</v>
      </c>
      <c r="C262" s="13" t="s">
        <v>785</v>
      </c>
      <c r="D262" s="11" t="n">
        <v>45609</v>
      </c>
      <c r="E262" s="12" t="n">
        <v>0.791666666700625</v>
      </c>
      <c r="F262" s="11" t="n">
        <v>45609</v>
      </c>
      <c r="G262" s="12" t="n">
        <v>0.999305555596945</v>
      </c>
      <c r="H262" s="10" t="n">
        <v>45609.7456561343</v>
      </c>
      <c r="I262" s="7" t="n">
        <v>1000</v>
      </c>
      <c r="J262" s="0" t="n">
        <f aca="false">IF(AND(D262&gt;=DATE(YEAR(D262),3,15),D262&lt;=DATE(YEAR(D262),6,10)),1,0)</f>
        <v>0</v>
      </c>
      <c r="K262" s="0" t="e">
        <f aca="false">VLOOKUP(D262,Festival_List!$A$2:$B$100,2,0)</f>
        <v>#N/A</v>
      </c>
      <c r="L262" s="0" t="n">
        <f aca="false">ROUND(((F262+G262)-(D262+E262))*24,0)</f>
        <v>5</v>
      </c>
      <c r="M262" s="0" t="n">
        <f aca="false">IF(OR(WEEKDAY(D262)=1,WEEKDAY(D262)=7),1,0)</f>
        <v>0</v>
      </c>
      <c r="N262" s="0" t="str">
        <f aca="false">IF(AND(MONTH(D262)&gt;=3,MONTH(D262)&lt;=6),"Summer",IF(AND(MONTH(D262)&gt;=7,MONTH(D262)&lt;=9),"Monsoon","Winter"))</f>
        <v>Winter</v>
      </c>
      <c r="O262" s="0" t="str">
        <f aca="false">IF(AND(L262&gt;=22,L262&lt;=25,E262&gt;=TIME(18,0,0)),"24H Night", IF(AND(L262&gt;=22,L262&lt;=25,E262&lt;TIME(18,0,0)),"24H Day", IF(AND(L262&gt;=11,L262&lt;=13,E262&gt;=TIME(18,0,0)),"12H Night", IF(AND(L262&gt;=11,L262&lt;=13,E262&lt;TIME(18,0,0)),"12H Day", IF(AND(L262&lt;10,E262&gt;=TIME(18,0,0)),"Couple Night", "Couple Day")))))</f>
        <v>Couple Night</v>
      </c>
      <c r="P262" s="0" t="n">
        <f aca="false">WEEKDAY(D262,2)</f>
        <v>3</v>
      </c>
      <c r="Q262" s="0" t="n">
        <f aca="false">MONTH(D262)</f>
        <v>11</v>
      </c>
      <c r="R262" s="0" t="str">
        <f aca="false">"Q"&amp;ROUNDUP(MONTH(D262)/3,0)</f>
        <v>Q4</v>
      </c>
    </row>
    <row r="263" customFormat="false" ht="128.35" hidden="false" customHeight="false" outlineLevel="0" collapsed="false">
      <c r="A263" s="7" t="s">
        <v>786</v>
      </c>
      <c r="B263" s="7" t="s">
        <v>787</v>
      </c>
      <c r="C263" s="13" t="s">
        <v>788</v>
      </c>
      <c r="D263" s="11" t="n">
        <v>45610</v>
      </c>
      <c r="E263" s="12" t="n">
        <v>0.375</v>
      </c>
      <c r="F263" s="11" t="n">
        <v>45610</v>
      </c>
      <c r="G263" s="12" t="n">
        <v>0.75</v>
      </c>
      <c r="H263" s="10" t="n">
        <v>45609.6351325232</v>
      </c>
      <c r="I263" s="7" t="n">
        <v>1500</v>
      </c>
      <c r="J263" s="0" t="n">
        <f aca="false">IF(AND(D263&gt;=DATE(YEAR(D263),3,15),D263&lt;=DATE(YEAR(D263),6,10)),1,0)</f>
        <v>0</v>
      </c>
      <c r="K263" s="0" t="e">
        <f aca="false">VLOOKUP(D263,Festival_List!$A$2:$B$100,2,0)</f>
        <v>#N/A</v>
      </c>
      <c r="L263" s="0" t="n">
        <f aca="false">ROUND(((F263+G263)-(D263+E263))*24,0)</f>
        <v>9</v>
      </c>
      <c r="M263" s="0" t="n">
        <f aca="false">IF(OR(WEEKDAY(D263)=1,WEEKDAY(D263)=7),1,0)</f>
        <v>0</v>
      </c>
      <c r="N263" s="0" t="str">
        <f aca="false">IF(AND(MONTH(D263)&gt;=3,MONTH(D263)&lt;=6),"Summer",IF(AND(MONTH(D263)&gt;=7,MONTH(D263)&lt;=9),"Monsoon","Winter"))</f>
        <v>Winter</v>
      </c>
      <c r="O263" s="0" t="str">
        <f aca="false">IF(AND(L263&gt;=22,L263&lt;=25,E263&gt;=TIME(18,0,0)),"24H Night", IF(AND(L263&gt;=22,L263&lt;=25,E263&lt;TIME(18,0,0)),"24H Day", IF(AND(L263&gt;=11,L263&lt;=13,E263&gt;=TIME(18,0,0)),"12H Night", IF(AND(L263&gt;=11,L263&lt;=13,E263&lt;TIME(18,0,0)),"12H Day", IF(AND(L263&lt;10,E263&gt;=TIME(18,0,0)),"Couple Night", "Couple Day")))))</f>
        <v>Couple Day</v>
      </c>
      <c r="P263" s="0" t="n">
        <f aca="false">WEEKDAY(D263,2)</f>
        <v>4</v>
      </c>
      <c r="Q263" s="0" t="n">
        <f aca="false">MONTH(D263)</f>
        <v>11</v>
      </c>
      <c r="R263" s="0" t="str">
        <f aca="false">"Q"&amp;ROUNDUP(MONTH(D263)/3,0)</f>
        <v>Q4</v>
      </c>
    </row>
    <row r="264" customFormat="false" ht="153.7" hidden="false" customHeight="false" outlineLevel="0" collapsed="false">
      <c r="A264" s="7" t="s">
        <v>789</v>
      </c>
      <c r="B264" s="7" t="s">
        <v>790</v>
      </c>
      <c r="C264" s="13" t="s">
        <v>791</v>
      </c>
      <c r="D264" s="11" t="n">
        <v>45610</v>
      </c>
      <c r="E264" s="12" t="n">
        <v>0.791666666700625</v>
      </c>
      <c r="F264" s="11" t="n">
        <v>45611</v>
      </c>
      <c r="G264" s="12" t="n">
        <v>0.75</v>
      </c>
      <c r="H264" s="10" t="n">
        <v>45609.7273604167</v>
      </c>
      <c r="I264" s="7" t="n">
        <v>4500</v>
      </c>
      <c r="J264" s="0" t="n">
        <f aca="false">IF(AND(D264&gt;=DATE(YEAR(D264),3,15),D264&lt;=DATE(YEAR(D264),6,10)),1,0)</f>
        <v>0</v>
      </c>
      <c r="K264" s="0" t="e">
        <f aca="false">VLOOKUP(D264,Festival_List!$A$2:$B$100,2,0)</f>
        <v>#N/A</v>
      </c>
      <c r="L264" s="0" t="n">
        <f aca="false">ROUND(((F264+G264)-(D264+E264))*24,0)</f>
        <v>23</v>
      </c>
      <c r="M264" s="0" t="n">
        <f aca="false">IF(OR(WEEKDAY(D264)=1,WEEKDAY(D264)=7),1,0)</f>
        <v>0</v>
      </c>
      <c r="N264" s="0" t="str">
        <f aca="false">IF(AND(MONTH(D264)&gt;=3,MONTH(D264)&lt;=6),"Summer",IF(AND(MONTH(D264)&gt;=7,MONTH(D264)&lt;=9),"Monsoon","Winter"))</f>
        <v>Winter</v>
      </c>
      <c r="O264" s="0" t="str">
        <f aca="false">IF(AND(L264&gt;=22,L264&lt;=25,E264&gt;=TIME(18,0,0)),"24H Night", IF(AND(L264&gt;=22,L264&lt;=25,E264&lt;TIME(18,0,0)),"24H Day", IF(AND(L264&gt;=11,L264&lt;=13,E264&gt;=TIME(18,0,0)),"12H Night", IF(AND(L264&gt;=11,L264&lt;=13,E264&lt;TIME(18,0,0)),"12H Day", IF(AND(L264&lt;10,E264&gt;=TIME(18,0,0)),"Couple Night", "Couple Day")))))</f>
        <v>24H Night</v>
      </c>
      <c r="P264" s="0" t="n">
        <f aca="false">WEEKDAY(D264,2)</f>
        <v>4</v>
      </c>
      <c r="Q264" s="0" t="n">
        <f aca="false">MONTH(D264)</f>
        <v>11</v>
      </c>
      <c r="R264" s="0" t="str">
        <f aca="false">"Q"&amp;ROUNDUP(MONTH(D264)/3,0)</f>
        <v>Q4</v>
      </c>
    </row>
    <row r="265" customFormat="false" ht="153.7" hidden="false" customHeight="false" outlineLevel="0" collapsed="false">
      <c r="A265" s="7" t="s">
        <v>792</v>
      </c>
      <c r="B265" s="7" t="s">
        <v>335</v>
      </c>
      <c r="C265" s="13" t="s">
        <v>793</v>
      </c>
      <c r="D265" s="11" t="n">
        <v>45612</v>
      </c>
      <c r="E265" s="12" t="n">
        <v>0.333333333299375</v>
      </c>
      <c r="F265" s="11" t="n">
        <v>45613</v>
      </c>
      <c r="G265" s="12" t="n">
        <v>0.333333333299375</v>
      </c>
      <c r="H265" s="10" t="n">
        <v>45608.5759679398</v>
      </c>
      <c r="I265" s="7" t="n">
        <v>4500</v>
      </c>
      <c r="J265" s="0" t="n">
        <f aca="false">IF(AND(D265&gt;=DATE(YEAR(D265),3,15),D265&lt;=DATE(YEAR(D265),6,10)),1,0)</f>
        <v>0</v>
      </c>
      <c r="K265" s="0" t="e">
        <f aca="false">VLOOKUP(D265,Festival_List!$A$2:$B$100,2,0)</f>
        <v>#N/A</v>
      </c>
      <c r="L265" s="0" t="n">
        <f aca="false">ROUND(((F265+G265)-(D265+E265))*24,0)</f>
        <v>24</v>
      </c>
      <c r="M265" s="0" t="n">
        <f aca="false">IF(OR(WEEKDAY(D265)=1,WEEKDAY(D265)=7),1,0)</f>
        <v>1</v>
      </c>
      <c r="N265" s="0" t="str">
        <f aca="false">IF(AND(MONTH(D265)&gt;=3,MONTH(D265)&lt;=6),"Summer",IF(AND(MONTH(D265)&gt;=7,MONTH(D265)&lt;=9),"Monsoon","Winter"))</f>
        <v>Winter</v>
      </c>
      <c r="O265" s="0" t="str">
        <f aca="false">IF(AND(L265&gt;=22,L265&lt;=25,E265&gt;=TIME(18,0,0)),"24H Night", IF(AND(L265&gt;=22,L265&lt;=25,E265&lt;TIME(18,0,0)),"24H Day", IF(AND(L265&gt;=11,L265&lt;=13,E265&gt;=TIME(18,0,0)),"12H Night", IF(AND(L265&gt;=11,L265&lt;=13,E265&lt;TIME(18,0,0)),"12H Day", IF(AND(L265&lt;10,E265&gt;=TIME(18,0,0)),"Couple Night", "Couple Day")))))</f>
        <v>24H Day</v>
      </c>
      <c r="P265" s="0" t="n">
        <f aca="false">WEEKDAY(D265,2)</f>
        <v>6</v>
      </c>
      <c r="Q265" s="0" t="n">
        <f aca="false">MONTH(D265)</f>
        <v>11</v>
      </c>
      <c r="R265" s="0" t="str">
        <f aca="false">"Q"&amp;ROUNDUP(MONTH(D265)/3,0)</f>
        <v>Q4</v>
      </c>
    </row>
    <row r="266" customFormat="false" ht="141" hidden="false" customHeight="false" outlineLevel="0" collapsed="false">
      <c r="A266" s="7" t="s">
        <v>794</v>
      </c>
      <c r="B266" s="7" t="s">
        <v>432</v>
      </c>
      <c r="C266" s="13" t="s">
        <v>795</v>
      </c>
      <c r="D266" s="11" t="n">
        <v>45613</v>
      </c>
      <c r="E266" s="12" t="n">
        <v>0.375</v>
      </c>
      <c r="F266" s="11" t="n">
        <v>45613</v>
      </c>
      <c r="G266" s="12" t="n">
        <v>0.791666666700625</v>
      </c>
      <c r="H266" s="10" t="n">
        <v>45611.9097707176</v>
      </c>
      <c r="I266" s="7" t="n">
        <v>3500</v>
      </c>
      <c r="J266" s="0" t="n">
        <f aca="false">IF(AND(D266&gt;=DATE(YEAR(D266),3,15),D266&lt;=DATE(YEAR(D266),6,10)),1,0)</f>
        <v>0</v>
      </c>
      <c r="K266" s="0" t="e">
        <f aca="false">VLOOKUP(D266,Festival_List!$A$2:$B$100,2,0)</f>
        <v>#N/A</v>
      </c>
      <c r="L266" s="0" t="n">
        <f aca="false">ROUND(((F266+G266)-(D266+E266))*24,0)</f>
        <v>10</v>
      </c>
      <c r="M266" s="0" t="n">
        <f aca="false">IF(OR(WEEKDAY(D266)=1,WEEKDAY(D266)=7),1,0)</f>
        <v>1</v>
      </c>
      <c r="N266" s="0" t="str">
        <f aca="false">IF(AND(MONTH(D266)&gt;=3,MONTH(D266)&lt;=6),"Summer",IF(AND(MONTH(D266)&gt;=7,MONTH(D266)&lt;=9),"Monsoon","Winter"))</f>
        <v>Winter</v>
      </c>
      <c r="O266" s="0" t="str">
        <f aca="false">IF(AND(L266&gt;=22,L266&lt;=25,E266&gt;=TIME(18,0,0)),"24H Night", IF(AND(L266&gt;=22,L266&lt;=25,E266&lt;TIME(18,0,0)),"24H Day", IF(AND(L266&gt;=11,L266&lt;=13,E266&gt;=TIME(18,0,0)),"12H Night", IF(AND(L266&gt;=11,L266&lt;=13,E266&lt;TIME(18,0,0)),"12H Day", IF(AND(L266&lt;10,E266&gt;=TIME(18,0,0)),"Couple Night", "Couple Day")))))</f>
        <v>Couple Day</v>
      </c>
      <c r="P266" s="0" t="n">
        <f aca="false">WEEKDAY(D266,2)</f>
        <v>7</v>
      </c>
      <c r="Q266" s="0" t="n">
        <f aca="false">MONTH(D266)</f>
        <v>11</v>
      </c>
      <c r="R266" s="0" t="str">
        <f aca="false">"Q"&amp;ROUNDUP(MONTH(D266)/3,0)</f>
        <v>Q4</v>
      </c>
    </row>
    <row r="267" customFormat="false" ht="90.25" hidden="false" customHeight="false" outlineLevel="0" collapsed="false">
      <c r="A267" s="7" t="s">
        <v>796</v>
      </c>
      <c r="B267" s="7" t="s">
        <v>612</v>
      </c>
      <c r="C267" s="13" t="s">
        <v>797</v>
      </c>
      <c r="D267" s="11" t="n">
        <v>45614</v>
      </c>
      <c r="E267" s="12" t="n">
        <v>0.458333333299375</v>
      </c>
      <c r="F267" s="11" t="n">
        <v>45614</v>
      </c>
      <c r="G267" s="12" t="n">
        <v>0.708333333299375</v>
      </c>
      <c r="H267" s="10" t="n">
        <v>45614.4415800926</v>
      </c>
      <c r="I267" s="7" t="n">
        <v>1000</v>
      </c>
      <c r="J267" s="0" t="n">
        <f aca="false">IF(AND(D267&gt;=DATE(YEAR(D267),3,15),D267&lt;=DATE(YEAR(D267),6,10)),1,0)</f>
        <v>0</v>
      </c>
      <c r="K267" s="0" t="e">
        <f aca="false">VLOOKUP(D267,Festival_List!$A$2:$B$100,2,0)</f>
        <v>#N/A</v>
      </c>
      <c r="L267" s="0" t="n">
        <f aca="false">ROUND(((F267+G267)-(D267+E267))*24,0)</f>
        <v>6</v>
      </c>
      <c r="M267" s="0" t="n">
        <f aca="false">IF(OR(WEEKDAY(D267)=1,WEEKDAY(D267)=7),1,0)</f>
        <v>0</v>
      </c>
      <c r="N267" s="0" t="str">
        <f aca="false">IF(AND(MONTH(D267)&gt;=3,MONTH(D267)&lt;=6),"Summer",IF(AND(MONTH(D267)&gt;=7,MONTH(D267)&lt;=9),"Monsoon","Winter"))</f>
        <v>Winter</v>
      </c>
      <c r="O267" s="0" t="str">
        <f aca="false">IF(AND(L267&gt;=22,L267&lt;=25,E267&gt;=TIME(18,0,0)),"24H Night", IF(AND(L267&gt;=22,L267&lt;=25,E267&lt;TIME(18,0,0)),"24H Day", IF(AND(L267&gt;=11,L267&lt;=13,E267&gt;=TIME(18,0,0)),"12H Night", IF(AND(L267&gt;=11,L267&lt;=13,E267&lt;TIME(18,0,0)),"12H Day", IF(AND(L267&lt;10,E267&gt;=TIME(18,0,0)),"Couple Night", "Couple Day")))))</f>
        <v>Couple Day</v>
      </c>
      <c r="P267" s="0" t="n">
        <f aca="false">WEEKDAY(D267,2)</f>
        <v>1</v>
      </c>
      <c r="Q267" s="0" t="n">
        <f aca="false">MONTH(D267)</f>
        <v>11</v>
      </c>
      <c r="R267" s="0" t="str">
        <f aca="false">"Q"&amp;ROUNDUP(MONTH(D267)/3,0)</f>
        <v>Q4</v>
      </c>
    </row>
    <row r="268" customFormat="false" ht="141" hidden="false" customHeight="false" outlineLevel="0" collapsed="false">
      <c r="A268" s="7" t="s">
        <v>798</v>
      </c>
      <c r="B268" s="7" t="s">
        <v>799</v>
      </c>
      <c r="C268" s="13" t="s">
        <v>800</v>
      </c>
      <c r="D268" s="11" t="n">
        <v>45615</v>
      </c>
      <c r="E268" s="12" t="n">
        <v>0.333333333299375</v>
      </c>
      <c r="F268" s="11" t="n">
        <v>45615</v>
      </c>
      <c r="G268" s="12" t="n">
        <v>0.75</v>
      </c>
      <c r="H268" s="10" t="n">
        <v>45614.5784435185</v>
      </c>
      <c r="I268" s="7" t="n">
        <v>3000</v>
      </c>
      <c r="J268" s="0" t="n">
        <f aca="false">IF(AND(D268&gt;=DATE(YEAR(D268),3,15),D268&lt;=DATE(YEAR(D268),6,10)),1,0)</f>
        <v>0</v>
      </c>
      <c r="K268" s="0" t="e">
        <f aca="false">VLOOKUP(D268,Festival_List!$A$2:$B$100,2,0)</f>
        <v>#N/A</v>
      </c>
      <c r="L268" s="0" t="n">
        <f aca="false">ROUND(((F268+G268)-(D268+E268))*24,0)</f>
        <v>10</v>
      </c>
      <c r="M268" s="0" t="n">
        <f aca="false">IF(OR(WEEKDAY(D268)=1,WEEKDAY(D268)=7),1,0)</f>
        <v>0</v>
      </c>
      <c r="N268" s="0" t="str">
        <f aca="false">IF(AND(MONTH(D268)&gt;=3,MONTH(D268)&lt;=6),"Summer",IF(AND(MONTH(D268)&gt;=7,MONTH(D268)&lt;=9),"Monsoon","Winter"))</f>
        <v>Winter</v>
      </c>
      <c r="O268" s="0" t="str">
        <f aca="false">IF(AND(L268&gt;=22,L268&lt;=25,E268&gt;=TIME(18,0,0)),"24H Night", IF(AND(L268&gt;=22,L268&lt;=25,E268&lt;TIME(18,0,0)),"24H Day", IF(AND(L268&gt;=11,L268&lt;=13,E268&gt;=TIME(18,0,0)),"12H Night", IF(AND(L268&gt;=11,L268&lt;=13,E268&lt;TIME(18,0,0)),"12H Day", IF(AND(L268&lt;10,E268&gt;=TIME(18,0,0)),"Couple Night", "Couple Day")))))</f>
        <v>Couple Day</v>
      </c>
      <c r="P268" s="0" t="n">
        <f aca="false">WEEKDAY(D268,2)</f>
        <v>2</v>
      </c>
      <c r="Q268" s="0" t="n">
        <f aca="false">MONTH(D268)</f>
        <v>11</v>
      </c>
      <c r="R268" s="0" t="str">
        <f aca="false">"Q"&amp;ROUNDUP(MONTH(D268)/3,0)</f>
        <v>Q4</v>
      </c>
    </row>
    <row r="269" customFormat="false" ht="39.55" hidden="false" customHeight="false" outlineLevel="0" collapsed="false">
      <c r="A269" s="7" t="s">
        <v>801</v>
      </c>
      <c r="B269" s="7" t="s">
        <v>394</v>
      </c>
      <c r="C269" s="13" t="s">
        <v>802</v>
      </c>
      <c r="D269" s="11" t="n">
        <v>45617</v>
      </c>
      <c r="E269" s="12" t="n">
        <v>0.333333333299375</v>
      </c>
      <c r="F269" s="11" t="n">
        <v>45617</v>
      </c>
      <c r="G269" s="12" t="n">
        <v>0.75</v>
      </c>
      <c r="H269" s="10" t="n">
        <v>45725.4804096065</v>
      </c>
      <c r="I269" s="7" t="n">
        <v>2000</v>
      </c>
      <c r="J269" s="0" t="n">
        <f aca="false">IF(AND(D269&gt;=DATE(YEAR(D269),3,15),D269&lt;=DATE(YEAR(D269),6,10)),1,0)</f>
        <v>0</v>
      </c>
      <c r="K269" s="0" t="e">
        <f aca="false">VLOOKUP(D269,Festival_List!$A$2:$B$100,2,0)</f>
        <v>#N/A</v>
      </c>
      <c r="L269" s="0" t="n">
        <f aca="false">ROUND(((F269+G269)-(D269+E269))*24,0)</f>
        <v>10</v>
      </c>
      <c r="M269" s="0" t="n">
        <f aca="false">IF(OR(WEEKDAY(D269)=1,WEEKDAY(D269)=7),1,0)</f>
        <v>0</v>
      </c>
      <c r="N269" s="0" t="str">
        <f aca="false">IF(AND(MONTH(D269)&gt;=3,MONTH(D269)&lt;=6),"Summer",IF(AND(MONTH(D269)&gt;=7,MONTH(D269)&lt;=9),"Monsoon","Winter"))</f>
        <v>Winter</v>
      </c>
      <c r="O269" s="0" t="str">
        <f aca="false">IF(AND(L269&gt;=22,L269&lt;=25,E269&gt;=TIME(18,0,0)),"24H Night", IF(AND(L269&gt;=22,L269&lt;=25,E269&lt;TIME(18,0,0)),"24H Day", IF(AND(L269&gt;=11,L269&lt;=13,E269&gt;=TIME(18,0,0)),"12H Night", IF(AND(L269&gt;=11,L269&lt;=13,E269&lt;TIME(18,0,0)),"12H Day", IF(AND(L269&lt;10,E269&gt;=TIME(18,0,0)),"Couple Night", "Couple Day")))))</f>
        <v>Couple Day</v>
      </c>
      <c r="P269" s="0" t="n">
        <f aca="false">WEEKDAY(D269,2)</f>
        <v>4</v>
      </c>
      <c r="Q269" s="0" t="n">
        <f aca="false">MONTH(D269)</f>
        <v>11</v>
      </c>
      <c r="R269" s="0" t="str">
        <f aca="false">"Q"&amp;ROUNDUP(MONTH(D269)/3,0)</f>
        <v>Q4</v>
      </c>
    </row>
    <row r="270" customFormat="false" ht="141" hidden="false" customHeight="false" outlineLevel="0" collapsed="false">
      <c r="A270" s="7" t="s">
        <v>803</v>
      </c>
      <c r="B270" s="7" t="s">
        <v>642</v>
      </c>
      <c r="C270" s="13" t="s">
        <v>804</v>
      </c>
      <c r="D270" s="11" t="n">
        <v>45618</v>
      </c>
      <c r="E270" s="12" t="n">
        <v>0.833333333299375</v>
      </c>
      <c r="F270" s="11" t="n">
        <v>45619</v>
      </c>
      <c r="G270" s="12" t="n">
        <v>0.333333333299375</v>
      </c>
      <c r="H270" s="10" t="n">
        <v>45618.5810296296</v>
      </c>
      <c r="I270" s="7" t="n">
        <v>2300</v>
      </c>
      <c r="J270" s="0" t="n">
        <f aca="false">IF(AND(D270&gt;=DATE(YEAR(D270),3,15),D270&lt;=DATE(YEAR(D270),6,10)),1,0)</f>
        <v>0</v>
      </c>
      <c r="K270" s="0" t="e">
        <f aca="false">VLOOKUP(D270,Festival_List!$A$2:$B$100,2,0)</f>
        <v>#N/A</v>
      </c>
      <c r="L270" s="0" t="n">
        <f aca="false">ROUND(((F270+G270)-(D270+E270))*24,0)</f>
        <v>12</v>
      </c>
      <c r="M270" s="0" t="n">
        <f aca="false">IF(OR(WEEKDAY(D270)=1,WEEKDAY(D270)=7),1,0)</f>
        <v>0</v>
      </c>
      <c r="N270" s="0" t="str">
        <f aca="false">IF(AND(MONTH(D270)&gt;=3,MONTH(D270)&lt;=6),"Summer",IF(AND(MONTH(D270)&gt;=7,MONTH(D270)&lt;=9),"Monsoon","Winter"))</f>
        <v>Winter</v>
      </c>
      <c r="O270" s="0" t="str">
        <f aca="false">IF(AND(L270&gt;=22,L270&lt;=25,E270&gt;=TIME(18,0,0)),"24H Night", IF(AND(L270&gt;=22,L270&lt;=25,E270&lt;TIME(18,0,0)),"24H Day", IF(AND(L270&gt;=11,L270&lt;=13,E270&gt;=TIME(18,0,0)),"12H Night", IF(AND(L270&gt;=11,L270&lt;=13,E270&lt;TIME(18,0,0)),"12H Day", IF(AND(L270&lt;10,E270&gt;=TIME(18,0,0)),"Couple Night", "Couple Day")))))</f>
        <v>12H Night</v>
      </c>
      <c r="P270" s="0" t="n">
        <f aca="false">WEEKDAY(D270,2)</f>
        <v>5</v>
      </c>
      <c r="Q270" s="0" t="n">
        <f aca="false">MONTH(D270)</f>
        <v>11</v>
      </c>
      <c r="R270" s="0" t="str">
        <f aca="false">"Q"&amp;ROUNDUP(MONTH(D270)/3,0)</f>
        <v>Q4</v>
      </c>
    </row>
    <row r="271" customFormat="false" ht="141" hidden="false" customHeight="false" outlineLevel="0" collapsed="false">
      <c r="A271" s="7" t="s">
        <v>805</v>
      </c>
      <c r="B271" s="7" t="s">
        <v>806</v>
      </c>
      <c r="C271" s="13" t="s">
        <v>807</v>
      </c>
      <c r="D271" s="11" t="n">
        <v>45619</v>
      </c>
      <c r="E271" s="12" t="n">
        <v>0.375</v>
      </c>
      <c r="F271" s="11" t="n">
        <v>45619</v>
      </c>
      <c r="G271" s="12" t="n">
        <v>0.708333333299375</v>
      </c>
      <c r="H271" s="10" t="n">
        <v>45618.9611728009</v>
      </c>
      <c r="I271" s="7" t="n">
        <v>1500</v>
      </c>
      <c r="J271" s="0" t="n">
        <f aca="false">IF(AND(D271&gt;=DATE(YEAR(D271),3,15),D271&lt;=DATE(YEAR(D271),6,10)),1,0)</f>
        <v>0</v>
      </c>
      <c r="K271" s="0" t="e">
        <f aca="false">VLOOKUP(D271,Festival_List!$A$2:$B$100,2,0)</f>
        <v>#N/A</v>
      </c>
      <c r="L271" s="0" t="n">
        <f aca="false">ROUND(((F271+G271)-(D271+E271))*24,0)</f>
        <v>8</v>
      </c>
      <c r="M271" s="0" t="n">
        <f aca="false">IF(OR(WEEKDAY(D271)=1,WEEKDAY(D271)=7),1,0)</f>
        <v>1</v>
      </c>
      <c r="N271" s="0" t="str">
        <f aca="false">IF(AND(MONTH(D271)&gt;=3,MONTH(D271)&lt;=6),"Summer",IF(AND(MONTH(D271)&gt;=7,MONTH(D271)&lt;=9),"Monsoon","Winter"))</f>
        <v>Winter</v>
      </c>
      <c r="O271" s="0" t="str">
        <f aca="false">IF(AND(L271&gt;=22,L271&lt;=25,E271&gt;=TIME(18,0,0)),"24H Night", IF(AND(L271&gt;=22,L271&lt;=25,E271&lt;TIME(18,0,0)),"24H Day", IF(AND(L271&gt;=11,L271&lt;=13,E271&gt;=TIME(18,0,0)),"12H Night", IF(AND(L271&gt;=11,L271&lt;=13,E271&lt;TIME(18,0,0)),"12H Day", IF(AND(L271&lt;10,E271&gt;=TIME(18,0,0)),"Couple Night", "Couple Day")))))</f>
        <v>Couple Day</v>
      </c>
      <c r="P271" s="0" t="n">
        <f aca="false">WEEKDAY(D271,2)</f>
        <v>6</v>
      </c>
      <c r="Q271" s="0" t="n">
        <f aca="false">MONTH(D271)</f>
        <v>11</v>
      </c>
      <c r="R271" s="0" t="str">
        <f aca="false">"Q"&amp;ROUNDUP(MONTH(D271)/3,0)</f>
        <v>Q4</v>
      </c>
    </row>
    <row r="272" customFormat="false" ht="141" hidden="false" customHeight="false" outlineLevel="0" collapsed="false">
      <c r="A272" s="7" t="s">
        <v>808</v>
      </c>
      <c r="B272" s="7" t="s">
        <v>809</v>
      </c>
      <c r="C272" s="13" t="s">
        <v>810</v>
      </c>
      <c r="D272" s="11" t="n">
        <v>45619</v>
      </c>
      <c r="E272" s="12" t="n">
        <v>0.791666666700625</v>
      </c>
      <c r="F272" s="11" t="n">
        <v>45620</v>
      </c>
      <c r="G272" s="12" t="n">
        <v>0.75</v>
      </c>
      <c r="H272" s="10" t="n">
        <v>45614.6947746528</v>
      </c>
      <c r="I272" s="7" t="n">
        <v>5000</v>
      </c>
      <c r="J272" s="0" t="n">
        <f aca="false">IF(AND(D272&gt;=DATE(YEAR(D272),3,15),D272&lt;=DATE(YEAR(D272),6,10)),1,0)</f>
        <v>0</v>
      </c>
      <c r="K272" s="0" t="e">
        <f aca="false">VLOOKUP(D272,Festival_List!$A$2:$B$100,2,0)</f>
        <v>#N/A</v>
      </c>
      <c r="L272" s="0" t="n">
        <f aca="false">ROUND(((F272+G272)-(D272+E272))*24,0)</f>
        <v>23</v>
      </c>
      <c r="M272" s="0" t="n">
        <f aca="false">IF(OR(WEEKDAY(D272)=1,WEEKDAY(D272)=7),1,0)</f>
        <v>1</v>
      </c>
      <c r="N272" s="0" t="str">
        <f aca="false">IF(AND(MONTH(D272)&gt;=3,MONTH(D272)&lt;=6),"Summer",IF(AND(MONTH(D272)&gt;=7,MONTH(D272)&lt;=9),"Monsoon","Winter"))</f>
        <v>Winter</v>
      </c>
      <c r="O272" s="0" t="str">
        <f aca="false">IF(AND(L272&gt;=22,L272&lt;=25,E272&gt;=TIME(18,0,0)),"24H Night", IF(AND(L272&gt;=22,L272&lt;=25,E272&lt;TIME(18,0,0)),"24H Day", IF(AND(L272&gt;=11,L272&lt;=13,E272&gt;=TIME(18,0,0)),"12H Night", IF(AND(L272&gt;=11,L272&lt;=13,E272&lt;TIME(18,0,0)),"12H Day", IF(AND(L272&lt;10,E272&gt;=TIME(18,0,0)),"Couple Night", "Couple Day")))))</f>
        <v>24H Night</v>
      </c>
      <c r="P272" s="0" t="n">
        <f aca="false">WEEKDAY(D272,2)</f>
        <v>6</v>
      </c>
      <c r="Q272" s="0" t="n">
        <f aca="false">MONTH(D272)</f>
        <v>11</v>
      </c>
      <c r="R272" s="0" t="str">
        <f aca="false">"Q"&amp;ROUNDUP(MONTH(D272)/3,0)</f>
        <v>Q4</v>
      </c>
    </row>
    <row r="273" customFormat="false" ht="141" hidden="false" customHeight="false" outlineLevel="0" collapsed="false">
      <c r="A273" s="7" t="s">
        <v>811</v>
      </c>
      <c r="B273" s="7" t="s">
        <v>727</v>
      </c>
      <c r="C273" s="13" t="s">
        <v>812</v>
      </c>
      <c r="D273" s="11" t="n">
        <v>45620</v>
      </c>
      <c r="E273" s="12" t="n">
        <v>0.791666666700625</v>
      </c>
      <c r="F273" s="11" t="n">
        <v>45621</v>
      </c>
      <c r="G273" s="12" t="n">
        <v>0.333333333299375</v>
      </c>
      <c r="H273" s="10" t="n">
        <v>45622.7722833333</v>
      </c>
      <c r="I273" s="7" t="n">
        <v>2000</v>
      </c>
      <c r="J273" s="0" t="n">
        <f aca="false">IF(AND(D273&gt;=DATE(YEAR(D273),3,15),D273&lt;=DATE(YEAR(D273),6,10)),1,0)</f>
        <v>0</v>
      </c>
      <c r="K273" s="0" t="e">
        <f aca="false">VLOOKUP(D273,Festival_List!$A$2:$B$100,2,0)</f>
        <v>#N/A</v>
      </c>
      <c r="L273" s="0" t="n">
        <f aca="false">ROUND(((F273+G273)-(D273+E273))*24,0)</f>
        <v>13</v>
      </c>
      <c r="M273" s="0" t="n">
        <f aca="false">IF(OR(WEEKDAY(D273)=1,WEEKDAY(D273)=7),1,0)</f>
        <v>1</v>
      </c>
      <c r="N273" s="0" t="str">
        <f aca="false">IF(AND(MONTH(D273)&gt;=3,MONTH(D273)&lt;=6),"Summer",IF(AND(MONTH(D273)&gt;=7,MONTH(D273)&lt;=9),"Monsoon","Winter"))</f>
        <v>Winter</v>
      </c>
      <c r="O273" s="0" t="str">
        <f aca="false">IF(AND(L273&gt;=22,L273&lt;=25,E273&gt;=TIME(18,0,0)),"24H Night", IF(AND(L273&gt;=22,L273&lt;=25,E273&lt;TIME(18,0,0)),"24H Day", IF(AND(L273&gt;=11,L273&lt;=13,E273&gt;=TIME(18,0,0)),"12H Night", IF(AND(L273&gt;=11,L273&lt;=13,E273&lt;TIME(18,0,0)),"12H Day", IF(AND(L273&lt;10,E273&gt;=TIME(18,0,0)),"Couple Night", "Couple Day")))))</f>
        <v>12H Night</v>
      </c>
      <c r="P273" s="0" t="n">
        <f aca="false">WEEKDAY(D273,2)</f>
        <v>7</v>
      </c>
      <c r="Q273" s="0" t="n">
        <f aca="false">MONTH(D273)</f>
        <v>11</v>
      </c>
      <c r="R273" s="0" t="str">
        <f aca="false">"Q"&amp;ROUNDUP(MONTH(D273)/3,0)</f>
        <v>Q4</v>
      </c>
    </row>
    <row r="274" customFormat="false" ht="141" hidden="false" customHeight="false" outlineLevel="0" collapsed="false">
      <c r="A274" s="7" t="s">
        <v>813</v>
      </c>
      <c r="B274" s="7" t="s">
        <v>435</v>
      </c>
      <c r="C274" s="13" t="s">
        <v>814</v>
      </c>
      <c r="D274" s="11" t="n">
        <v>45621</v>
      </c>
      <c r="E274" s="12" t="n">
        <v>0.375</v>
      </c>
      <c r="F274" s="11" t="n">
        <v>45621</v>
      </c>
      <c r="G274" s="12" t="n">
        <v>0.75</v>
      </c>
      <c r="H274" s="10" t="n">
        <v>45616.8492195602</v>
      </c>
      <c r="I274" s="7" t="n">
        <v>2500</v>
      </c>
      <c r="J274" s="0" t="n">
        <f aca="false">IF(AND(D274&gt;=DATE(YEAR(D274),3,15),D274&lt;=DATE(YEAR(D274),6,10)),1,0)</f>
        <v>0</v>
      </c>
      <c r="K274" s="0" t="e">
        <f aca="false">VLOOKUP(D274,Festival_List!$A$2:$B$100,2,0)</f>
        <v>#N/A</v>
      </c>
      <c r="L274" s="0" t="n">
        <f aca="false">ROUND(((F274+G274)-(D274+E274))*24,0)</f>
        <v>9</v>
      </c>
      <c r="M274" s="0" t="n">
        <f aca="false">IF(OR(WEEKDAY(D274)=1,WEEKDAY(D274)=7),1,0)</f>
        <v>0</v>
      </c>
      <c r="N274" s="0" t="str">
        <f aca="false">IF(AND(MONTH(D274)&gt;=3,MONTH(D274)&lt;=6),"Summer",IF(AND(MONTH(D274)&gt;=7,MONTH(D274)&lt;=9),"Monsoon","Winter"))</f>
        <v>Winter</v>
      </c>
      <c r="O274" s="0" t="str">
        <f aca="false">IF(AND(L274&gt;=22,L274&lt;=25,E274&gt;=TIME(18,0,0)),"24H Night", IF(AND(L274&gt;=22,L274&lt;=25,E274&lt;TIME(18,0,0)),"24H Day", IF(AND(L274&gt;=11,L274&lt;=13,E274&gt;=TIME(18,0,0)),"12H Night", IF(AND(L274&gt;=11,L274&lt;=13,E274&lt;TIME(18,0,0)),"12H Day", IF(AND(L274&lt;10,E274&gt;=TIME(18,0,0)),"Couple Night", "Couple Day")))))</f>
        <v>Couple Day</v>
      </c>
      <c r="P274" s="0" t="n">
        <f aca="false">WEEKDAY(D274,2)</f>
        <v>1</v>
      </c>
      <c r="Q274" s="0" t="n">
        <f aca="false">MONTH(D274)</f>
        <v>11</v>
      </c>
      <c r="R274" s="0" t="str">
        <f aca="false">"Q"&amp;ROUNDUP(MONTH(D274)/3,0)</f>
        <v>Q4</v>
      </c>
    </row>
    <row r="275" customFormat="false" ht="141" hidden="false" customHeight="false" outlineLevel="0" collapsed="false">
      <c r="A275" s="7" t="s">
        <v>815</v>
      </c>
      <c r="B275" s="7" t="s">
        <v>816</v>
      </c>
      <c r="C275" s="13" t="s">
        <v>817</v>
      </c>
      <c r="D275" s="11" t="n">
        <v>45623</v>
      </c>
      <c r="E275" s="12" t="n">
        <v>0.375</v>
      </c>
      <c r="F275" s="11" t="n">
        <v>45623</v>
      </c>
      <c r="G275" s="12" t="n">
        <v>0.75</v>
      </c>
      <c r="H275" s="10" t="n">
        <v>45623.8438717593</v>
      </c>
      <c r="I275" s="7" t="n">
        <v>1900</v>
      </c>
      <c r="J275" s="0" t="n">
        <f aca="false">IF(AND(D275&gt;=DATE(YEAR(D275),3,15),D275&lt;=DATE(YEAR(D275),6,10)),1,0)</f>
        <v>0</v>
      </c>
      <c r="K275" s="0" t="e">
        <f aca="false">VLOOKUP(D275,Festival_List!$A$2:$B$100,2,0)</f>
        <v>#N/A</v>
      </c>
      <c r="L275" s="0" t="n">
        <f aca="false">ROUND(((F275+G275)-(D275+E275))*24,0)</f>
        <v>9</v>
      </c>
      <c r="M275" s="0" t="n">
        <f aca="false">IF(OR(WEEKDAY(D275)=1,WEEKDAY(D275)=7),1,0)</f>
        <v>0</v>
      </c>
      <c r="N275" s="0" t="str">
        <f aca="false">IF(AND(MONTH(D275)&gt;=3,MONTH(D275)&lt;=6),"Summer",IF(AND(MONTH(D275)&gt;=7,MONTH(D275)&lt;=9),"Monsoon","Winter"))</f>
        <v>Winter</v>
      </c>
      <c r="O275" s="0" t="str">
        <f aca="false">IF(AND(L275&gt;=22,L275&lt;=25,E275&gt;=TIME(18,0,0)),"24H Night", IF(AND(L275&gt;=22,L275&lt;=25,E275&lt;TIME(18,0,0)),"24H Day", IF(AND(L275&gt;=11,L275&lt;=13,E275&gt;=TIME(18,0,0)),"12H Night", IF(AND(L275&gt;=11,L275&lt;=13,E275&lt;TIME(18,0,0)),"12H Day", IF(AND(L275&lt;10,E275&gt;=TIME(18,0,0)),"Couple Night", "Couple Day")))))</f>
        <v>Couple Day</v>
      </c>
      <c r="P275" s="0" t="n">
        <f aca="false">WEEKDAY(D275,2)</f>
        <v>3</v>
      </c>
      <c r="Q275" s="0" t="n">
        <f aca="false">MONTH(D275)</f>
        <v>11</v>
      </c>
      <c r="R275" s="0" t="str">
        <f aca="false">"Q"&amp;ROUNDUP(MONTH(D275)/3,0)</f>
        <v>Q4</v>
      </c>
    </row>
    <row r="276" customFormat="false" ht="141" hidden="false" customHeight="false" outlineLevel="0" collapsed="false">
      <c r="A276" s="7" t="s">
        <v>818</v>
      </c>
      <c r="B276" s="7" t="s">
        <v>819</v>
      </c>
      <c r="C276" s="13" t="s">
        <v>820</v>
      </c>
      <c r="D276" s="11" t="n">
        <v>45624</v>
      </c>
      <c r="E276" s="12" t="n">
        <v>0.375</v>
      </c>
      <c r="F276" s="11" t="n">
        <v>45624</v>
      </c>
      <c r="G276" s="12" t="n">
        <v>0.75</v>
      </c>
      <c r="H276" s="10" t="n">
        <v>45621.9387707176</v>
      </c>
      <c r="I276" s="7" t="n">
        <v>3000</v>
      </c>
      <c r="J276" s="0" t="n">
        <f aca="false">IF(AND(D276&gt;=DATE(YEAR(D276),3,15),D276&lt;=DATE(YEAR(D276),6,10)),1,0)</f>
        <v>0</v>
      </c>
      <c r="K276" s="0" t="e">
        <f aca="false">VLOOKUP(D276,Festival_List!$A$2:$B$100,2,0)</f>
        <v>#N/A</v>
      </c>
      <c r="L276" s="0" t="n">
        <f aca="false">ROUND(((F276+G276)-(D276+E276))*24,0)</f>
        <v>9</v>
      </c>
      <c r="M276" s="0" t="n">
        <f aca="false">IF(OR(WEEKDAY(D276)=1,WEEKDAY(D276)=7),1,0)</f>
        <v>0</v>
      </c>
      <c r="N276" s="0" t="str">
        <f aca="false">IF(AND(MONTH(D276)&gt;=3,MONTH(D276)&lt;=6),"Summer",IF(AND(MONTH(D276)&gt;=7,MONTH(D276)&lt;=9),"Monsoon","Winter"))</f>
        <v>Winter</v>
      </c>
      <c r="O276" s="0" t="str">
        <f aca="false">IF(AND(L276&gt;=22,L276&lt;=25,E276&gt;=TIME(18,0,0)),"24H Night", IF(AND(L276&gt;=22,L276&lt;=25,E276&lt;TIME(18,0,0)),"24H Day", IF(AND(L276&gt;=11,L276&lt;=13,E276&gt;=TIME(18,0,0)),"12H Night", IF(AND(L276&gt;=11,L276&lt;=13,E276&lt;TIME(18,0,0)),"12H Day", IF(AND(L276&lt;10,E276&gt;=TIME(18,0,0)),"Couple Night", "Couple Day")))))</f>
        <v>Couple Day</v>
      </c>
      <c r="P276" s="0" t="n">
        <f aca="false">WEEKDAY(D276,2)</f>
        <v>4</v>
      </c>
      <c r="Q276" s="0" t="n">
        <f aca="false">MONTH(D276)</f>
        <v>11</v>
      </c>
      <c r="R276" s="0" t="str">
        <f aca="false">"Q"&amp;ROUNDUP(MONTH(D276)/3,0)</f>
        <v>Q4</v>
      </c>
    </row>
    <row r="277" customFormat="false" ht="141" hidden="false" customHeight="false" outlineLevel="0" collapsed="false">
      <c r="A277" s="7" t="s">
        <v>821</v>
      </c>
      <c r="B277" s="7" t="s">
        <v>539</v>
      </c>
      <c r="C277" s="13" t="s">
        <v>822</v>
      </c>
      <c r="D277" s="11" t="n">
        <v>45625</v>
      </c>
      <c r="E277" s="12" t="n">
        <v>0.375</v>
      </c>
      <c r="F277" s="11" t="n">
        <v>45625</v>
      </c>
      <c r="G277" s="12" t="n">
        <v>0.75</v>
      </c>
      <c r="H277" s="10" t="n">
        <v>45622.4601615741</v>
      </c>
      <c r="I277" s="7" t="n">
        <v>2000</v>
      </c>
      <c r="J277" s="0" t="n">
        <f aca="false">IF(AND(D277&gt;=DATE(YEAR(D277),3,15),D277&lt;=DATE(YEAR(D277),6,10)),1,0)</f>
        <v>0</v>
      </c>
      <c r="K277" s="0" t="e">
        <f aca="false">VLOOKUP(D277,Festival_List!$A$2:$B$100,2,0)</f>
        <v>#N/A</v>
      </c>
      <c r="L277" s="0" t="n">
        <f aca="false">ROUND(((F277+G277)-(D277+E277))*24,0)</f>
        <v>9</v>
      </c>
      <c r="M277" s="0" t="n">
        <f aca="false">IF(OR(WEEKDAY(D277)=1,WEEKDAY(D277)=7),1,0)</f>
        <v>0</v>
      </c>
      <c r="N277" s="0" t="str">
        <f aca="false">IF(AND(MONTH(D277)&gt;=3,MONTH(D277)&lt;=6),"Summer",IF(AND(MONTH(D277)&gt;=7,MONTH(D277)&lt;=9),"Monsoon","Winter"))</f>
        <v>Winter</v>
      </c>
      <c r="O277" s="0" t="str">
        <f aca="false">IF(AND(L277&gt;=22,L277&lt;=25,E277&gt;=TIME(18,0,0)),"24H Night", IF(AND(L277&gt;=22,L277&lt;=25,E277&lt;TIME(18,0,0)),"24H Day", IF(AND(L277&gt;=11,L277&lt;=13,E277&gt;=TIME(18,0,0)),"12H Night", IF(AND(L277&gt;=11,L277&lt;=13,E277&lt;TIME(18,0,0)),"12H Day", IF(AND(L277&lt;10,E277&gt;=TIME(18,0,0)),"Couple Night", "Couple Day")))))</f>
        <v>Couple Day</v>
      </c>
      <c r="P277" s="0" t="n">
        <f aca="false">WEEKDAY(D277,2)</f>
        <v>5</v>
      </c>
      <c r="Q277" s="0" t="n">
        <f aca="false">MONTH(D277)</f>
        <v>11</v>
      </c>
      <c r="R277" s="0" t="str">
        <f aca="false">"Q"&amp;ROUNDUP(MONTH(D277)/3,0)</f>
        <v>Q4</v>
      </c>
    </row>
    <row r="278" customFormat="false" ht="141" hidden="false" customHeight="false" outlineLevel="0" collapsed="false">
      <c r="A278" s="7" t="s">
        <v>823</v>
      </c>
      <c r="B278" s="7" t="s">
        <v>824</v>
      </c>
      <c r="C278" s="13" t="s">
        <v>825</v>
      </c>
      <c r="D278" s="11" t="n">
        <v>45625</v>
      </c>
      <c r="E278" s="12" t="n">
        <v>0.833333333299375</v>
      </c>
      <c r="F278" s="11" t="n">
        <v>45626</v>
      </c>
      <c r="G278" s="12" t="n">
        <v>0.333333333299375</v>
      </c>
      <c r="H278" s="10" t="n">
        <v>45624.5814717593</v>
      </c>
      <c r="I278" s="7" t="n">
        <v>2500</v>
      </c>
      <c r="J278" s="0" t="n">
        <f aca="false">IF(AND(D278&gt;=DATE(YEAR(D278),3,15),D278&lt;=DATE(YEAR(D278),6,10)),1,0)</f>
        <v>0</v>
      </c>
      <c r="K278" s="0" t="e">
        <f aca="false">VLOOKUP(D278,Festival_List!$A$2:$B$100,2,0)</f>
        <v>#N/A</v>
      </c>
      <c r="L278" s="0" t="n">
        <f aca="false">ROUND(((F278+G278)-(D278+E278))*24,0)</f>
        <v>12</v>
      </c>
      <c r="M278" s="0" t="n">
        <f aca="false">IF(OR(WEEKDAY(D278)=1,WEEKDAY(D278)=7),1,0)</f>
        <v>0</v>
      </c>
      <c r="N278" s="0" t="str">
        <f aca="false">IF(AND(MONTH(D278)&gt;=3,MONTH(D278)&lt;=6),"Summer",IF(AND(MONTH(D278)&gt;=7,MONTH(D278)&lt;=9),"Monsoon","Winter"))</f>
        <v>Winter</v>
      </c>
      <c r="O278" s="0" t="str">
        <f aca="false">IF(AND(L278&gt;=22,L278&lt;=25,E278&gt;=TIME(18,0,0)),"24H Night", IF(AND(L278&gt;=22,L278&lt;=25,E278&lt;TIME(18,0,0)),"24H Day", IF(AND(L278&gt;=11,L278&lt;=13,E278&gt;=TIME(18,0,0)),"12H Night", IF(AND(L278&gt;=11,L278&lt;=13,E278&lt;TIME(18,0,0)),"12H Day", IF(AND(L278&lt;10,E278&gt;=TIME(18,0,0)),"Couple Night", "Couple Day")))))</f>
        <v>12H Night</v>
      </c>
      <c r="P278" s="0" t="n">
        <f aca="false">WEEKDAY(D278,2)</f>
        <v>5</v>
      </c>
      <c r="Q278" s="0" t="n">
        <f aca="false">MONTH(D278)</f>
        <v>11</v>
      </c>
      <c r="R278" s="0" t="str">
        <f aca="false">"Q"&amp;ROUNDUP(MONTH(D278)/3,0)</f>
        <v>Q4</v>
      </c>
    </row>
    <row r="279" customFormat="false" ht="153.7" hidden="false" customHeight="false" outlineLevel="0" collapsed="false">
      <c r="A279" s="7" t="s">
        <v>826</v>
      </c>
      <c r="B279" s="7" t="s">
        <v>389</v>
      </c>
      <c r="C279" s="13" t="s">
        <v>827</v>
      </c>
      <c r="D279" s="11" t="n">
        <v>45627</v>
      </c>
      <c r="E279" s="12" t="n">
        <v>0.291666666700625</v>
      </c>
      <c r="F279" s="11" t="n">
        <v>45627</v>
      </c>
      <c r="G279" s="12" t="n">
        <v>0.833333333299375</v>
      </c>
      <c r="H279" s="10" t="n">
        <v>45628.5994862269</v>
      </c>
      <c r="I279" s="7" t="n">
        <v>3500</v>
      </c>
      <c r="J279" s="0" t="n">
        <f aca="false">IF(AND(D279&gt;=DATE(YEAR(D279),3,15),D279&lt;=DATE(YEAR(D279),6,10)),1,0)</f>
        <v>0</v>
      </c>
      <c r="K279" s="0" t="e">
        <f aca="false">VLOOKUP(D279,Festival_List!$A$2:$B$100,2,0)</f>
        <v>#N/A</v>
      </c>
      <c r="L279" s="0" t="n">
        <f aca="false">ROUND(((F279+G279)-(D279+E279))*24,0)</f>
        <v>13</v>
      </c>
      <c r="M279" s="0" t="n">
        <f aca="false">IF(OR(WEEKDAY(D279)=1,WEEKDAY(D279)=7),1,0)</f>
        <v>1</v>
      </c>
      <c r="N279" s="0" t="str">
        <f aca="false">IF(AND(MONTH(D279)&gt;=3,MONTH(D279)&lt;=6),"Summer",IF(AND(MONTH(D279)&gt;=7,MONTH(D279)&lt;=9),"Monsoon","Winter"))</f>
        <v>Winter</v>
      </c>
      <c r="O279" s="0" t="str">
        <f aca="false">IF(AND(L279&gt;=22,L279&lt;=25,E279&gt;=TIME(18,0,0)),"24H Night", IF(AND(L279&gt;=22,L279&lt;=25,E279&lt;TIME(18,0,0)),"24H Day", IF(AND(L279&gt;=11,L279&lt;=13,E279&gt;=TIME(18,0,0)),"12H Night", IF(AND(L279&gt;=11,L279&lt;=13,E279&lt;TIME(18,0,0)),"12H Day", IF(AND(L279&lt;10,E279&gt;=TIME(18,0,0)),"Couple Night", "Couple Day")))))</f>
        <v>12H Day</v>
      </c>
      <c r="P279" s="0" t="n">
        <f aca="false">WEEKDAY(D279,2)</f>
        <v>7</v>
      </c>
      <c r="Q279" s="0" t="n">
        <f aca="false">MONTH(D279)</f>
        <v>12</v>
      </c>
      <c r="R279" s="0" t="str">
        <f aca="false">"Q"&amp;ROUNDUP(MONTH(D279)/3,0)</f>
        <v>Q4</v>
      </c>
    </row>
    <row r="280" customFormat="false" ht="141" hidden="false" customHeight="false" outlineLevel="0" collapsed="false">
      <c r="A280" s="7" t="s">
        <v>828</v>
      </c>
      <c r="B280" s="7" t="s">
        <v>829</v>
      </c>
      <c r="C280" s="13" t="s">
        <v>830</v>
      </c>
      <c r="D280" s="11" t="n">
        <v>45629</v>
      </c>
      <c r="E280" s="12" t="n">
        <v>0.5</v>
      </c>
      <c r="F280" s="11" t="n">
        <v>45629</v>
      </c>
      <c r="G280" s="12" t="n">
        <v>0.708333333299375</v>
      </c>
      <c r="H280" s="10" t="n">
        <v>45626.730274537</v>
      </c>
      <c r="I280" s="7" t="n">
        <v>1500</v>
      </c>
      <c r="J280" s="0" t="n">
        <f aca="false">IF(AND(D280&gt;=DATE(YEAR(D280),3,15),D280&lt;=DATE(YEAR(D280),6,10)),1,0)</f>
        <v>0</v>
      </c>
      <c r="K280" s="0" t="e">
        <f aca="false">VLOOKUP(D280,Festival_List!$A$2:$B$100,2,0)</f>
        <v>#N/A</v>
      </c>
      <c r="L280" s="0" t="n">
        <f aca="false">ROUND(((F280+G280)-(D280+E280))*24,0)</f>
        <v>5</v>
      </c>
      <c r="M280" s="0" t="n">
        <f aca="false">IF(OR(WEEKDAY(D280)=1,WEEKDAY(D280)=7),1,0)</f>
        <v>0</v>
      </c>
      <c r="N280" s="0" t="str">
        <f aca="false">IF(AND(MONTH(D280)&gt;=3,MONTH(D280)&lt;=6),"Summer",IF(AND(MONTH(D280)&gt;=7,MONTH(D280)&lt;=9),"Monsoon","Winter"))</f>
        <v>Winter</v>
      </c>
      <c r="O280" s="0" t="str">
        <f aca="false">IF(AND(L280&gt;=22,L280&lt;=25,E280&gt;=TIME(18,0,0)),"24H Night", IF(AND(L280&gt;=22,L280&lt;=25,E280&lt;TIME(18,0,0)),"24H Day", IF(AND(L280&gt;=11,L280&lt;=13,E280&gt;=TIME(18,0,0)),"12H Night", IF(AND(L280&gt;=11,L280&lt;=13,E280&lt;TIME(18,0,0)),"12H Day", IF(AND(L280&lt;10,E280&gt;=TIME(18,0,0)),"Couple Night", "Couple Day")))))</f>
        <v>Couple Day</v>
      </c>
      <c r="P280" s="0" t="n">
        <f aca="false">WEEKDAY(D280,2)</f>
        <v>2</v>
      </c>
      <c r="Q280" s="0" t="n">
        <f aca="false">MONTH(D280)</f>
        <v>12</v>
      </c>
      <c r="R280" s="0" t="str">
        <f aca="false">"Q"&amp;ROUNDUP(MONTH(D280)/3,0)</f>
        <v>Q4</v>
      </c>
    </row>
    <row r="281" customFormat="false" ht="141" hidden="false" customHeight="false" outlineLevel="0" collapsed="false">
      <c r="A281" s="7" t="s">
        <v>831</v>
      </c>
      <c r="B281" s="7" t="s">
        <v>824</v>
      </c>
      <c r="C281" s="13" t="s">
        <v>832</v>
      </c>
      <c r="D281" s="11" t="n">
        <v>45630</v>
      </c>
      <c r="E281" s="12" t="n">
        <v>0.375</v>
      </c>
      <c r="F281" s="11" t="n">
        <v>45630</v>
      </c>
      <c r="G281" s="12" t="n">
        <v>0.75</v>
      </c>
      <c r="H281" s="10" t="n">
        <v>45623.4111652778</v>
      </c>
      <c r="I281" s="7" t="n">
        <v>1500</v>
      </c>
      <c r="J281" s="0" t="n">
        <f aca="false">IF(AND(D281&gt;=DATE(YEAR(D281),3,15),D281&lt;=DATE(YEAR(D281),6,10)),1,0)</f>
        <v>0</v>
      </c>
      <c r="K281" s="0" t="e">
        <f aca="false">VLOOKUP(D281,Festival_List!$A$2:$B$100,2,0)</f>
        <v>#N/A</v>
      </c>
      <c r="L281" s="0" t="n">
        <f aca="false">ROUND(((F281+G281)-(D281+E281))*24,0)</f>
        <v>9</v>
      </c>
      <c r="M281" s="0" t="n">
        <f aca="false">IF(OR(WEEKDAY(D281)=1,WEEKDAY(D281)=7),1,0)</f>
        <v>0</v>
      </c>
      <c r="N281" s="0" t="str">
        <f aca="false">IF(AND(MONTH(D281)&gt;=3,MONTH(D281)&lt;=6),"Summer",IF(AND(MONTH(D281)&gt;=7,MONTH(D281)&lt;=9),"Monsoon","Winter"))</f>
        <v>Winter</v>
      </c>
      <c r="O281" s="0" t="str">
        <f aca="false">IF(AND(L281&gt;=22,L281&lt;=25,E281&gt;=TIME(18,0,0)),"24H Night", IF(AND(L281&gt;=22,L281&lt;=25,E281&lt;TIME(18,0,0)),"24H Day", IF(AND(L281&gt;=11,L281&lt;=13,E281&gt;=TIME(18,0,0)),"12H Night", IF(AND(L281&gt;=11,L281&lt;=13,E281&lt;TIME(18,0,0)),"12H Day", IF(AND(L281&lt;10,E281&gt;=TIME(18,0,0)),"Couple Night", "Couple Day")))))</f>
        <v>Couple Day</v>
      </c>
      <c r="P281" s="0" t="n">
        <f aca="false">WEEKDAY(D281,2)</f>
        <v>3</v>
      </c>
      <c r="Q281" s="0" t="n">
        <f aca="false">MONTH(D281)</f>
        <v>12</v>
      </c>
      <c r="R281" s="0" t="str">
        <f aca="false">"Q"&amp;ROUNDUP(MONTH(D281)/3,0)</f>
        <v>Q4</v>
      </c>
    </row>
    <row r="282" customFormat="false" ht="141" hidden="false" customHeight="false" outlineLevel="0" collapsed="false">
      <c r="A282" s="7" t="s">
        <v>833</v>
      </c>
      <c r="B282" s="7" t="s">
        <v>191</v>
      </c>
      <c r="C282" s="13" t="s">
        <v>834</v>
      </c>
      <c r="D282" s="11" t="n">
        <v>45631</v>
      </c>
      <c r="E282" s="12" t="n">
        <v>0.791666666700625</v>
      </c>
      <c r="F282" s="11" t="n">
        <v>45632</v>
      </c>
      <c r="G282" s="12" t="n">
        <v>0.75</v>
      </c>
      <c r="H282" s="10" t="n">
        <v>45630.935730787</v>
      </c>
      <c r="I282" s="7" t="n">
        <v>4000</v>
      </c>
      <c r="J282" s="0" t="n">
        <f aca="false">IF(AND(D282&gt;=DATE(YEAR(D282),3,15),D282&lt;=DATE(YEAR(D282),6,10)),1,0)</f>
        <v>0</v>
      </c>
      <c r="K282" s="0" t="e">
        <f aca="false">VLOOKUP(D282,Festival_List!$A$2:$B$100,2,0)</f>
        <v>#N/A</v>
      </c>
      <c r="L282" s="0" t="n">
        <f aca="false">ROUND(((F282+G282)-(D282+E282))*24,0)</f>
        <v>23</v>
      </c>
      <c r="M282" s="0" t="n">
        <f aca="false">IF(OR(WEEKDAY(D282)=1,WEEKDAY(D282)=7),1,0)</f>
        <v>0</v>
      </c>
      <c r="N282" s="0" t="str">
        <f aca="false">IF(AND(MONTH(D282)&gt;=3,MONTH(D282)&lt;=6),"Summer",IF(AND(MONTH(D282)&gt;=7,MONTH(D282)&lt;=9),"Monsoon","Winter"))</f>
        <v>Winter</v>
      </c>
      <c r="O282" s="0" t="str">
        <f aca="false">IF(AND(L282&gt;=22,L282&lt;=25,E282&gt;=TIME(18,0,0)),"24H Night", IF(AND(L282&gt;=22,L282&lt;=25,E282&lt;TIME(18,0,0)),"24H Day", IF(AND(L282&gt;=11,L282&lt;=13,E282&gt;=TIME(18,0,0)),"12H Night", IF(AND(L282&gt;=11,L282&lt;=13,E282&lt;TIME(18,0,0)),"12H Day", IF(AND(L282&lt;10,E282&gt;=TIME(18,0,0)),"Couple Night", "Couple Day")))))</f>
        <v>24H Night</v>
      </c>
      <c r="P282" s="0" t="n">
        <f aca="false">WEEKDAY(D282,2)</f>
        <v>4</v>
      </c>
      <c r="Q282" s="0" t="n">
        <f aca="false">MONTH(D282)</f>
        <v>12</v>
      </c>
      <c r="R282" s="0" t="str">
        <f aca="false">"Q"&amp;ROUNDUP(MONTH(D282)/3,0)</f>
        <v>Q4</v>
      </c>
    </row>
    <row r="283" customFormat="false" ht="153.7" hidden="false" customHeight="false" outlineLevel="0" collapsed="false">
      <c r="A283" s="7" t="s">
        <v>835</v>
      </c>
      <c r="B283" s="7" t="s">
        <v>563</v>
      </c>
      <c r="C283" s="13" t="s">
        <v>836</v>
      </c>
      <c r="D283" s="11" t="n">
        <v>45632</v>
      </c>
      <c r="E283" s="12" t="n">
        <v>0.791666666700625</v>
      </c>
      <c r="F283" s="11" t="n">
        <v>45633</v>
      </c>
      <c r="G283" s="12" t="n">
        <v>0.75</v>
      </c>
      <c r="H283" s="10" t="n">
        <v>45632.6006583333</v>
      </c>
      <c r="I283" s="7" t="n">
        <v>3800</v>
      </c>
      <c r="J283" s="0" t="n">
        <f aca="false">IF(AND(D283&gt;=DATE(YEAR(D283),3,15),D283&lt;=DATE(YEAR(D283),6,10)),1,0)</f>
        <v>0</v>
      </c>
      <c r="K283" s="0" t="e">
        <f aca="false">VLOOKUP(D283,Festival_List!$A$2:$B$100,2,0)</f>
        <v>#N/A</v>
      </c>
      <c r="L283" s="0" t="n">
        <f aca="false">ROUND(((F283+G283)-(D283+E283))*24,0)</f>
        <v>23</v>
      </c>
      <c r="M283" s="0" t="n">
        <f aca="false">IF(OR(WEEKDAY(D283)=1,WEEKDAY(D283)=7),1,0)</f>
        <v>0</v>
      </c>
      <c r="N283" s="0" t="str">
        <f aca="false">IF(AND(MONTH(D283)&gt;=3,MONTH(D283)&lt;=6),"Summer",IF(AND(MONTH(D283)&gt;=7,MONTH(D283)&lt;=9),"Monsoon","Winter"))</f>
        <v>Winter</v>
      </c>
      <c r="O283" s="0" t="str">
        <f aca="false">IF(AND(L283&gt;=22,L283&lt;=25,E283&gt;=TIME(18,0,0)),"24H Night", IF(AND(L283&gt;=22,L283&lt;=25,E283&lt;TIME(18,0,0)),"24H Day", IF(AND(L283&gt;=11,L283&lt;=13,E283&gt;=TIME(18,0,0)),"12H Night", IF(AND(L283&gt;=11,L283&lt;=13,E283&lt;TIME(18,0,0)),"12H Day", IF(AND(L283&lt;10,E283&gt;=TIME(18,0,0)),"Couple Night", "Couple Day")))))</f>
        <v>24H Night</v>
      </c>
      <c r="P283" s="0" t="n">
        <f aca="false">WEEKDAY(D283,2)</f>
        <v>5</v>
      </c>
      <c r="Q283" s="0" t="n">
        <f aca="false">MONTH(D283)</f>
        <v>12</v>
      </c>
      <c r="R283" s="0" t="str">
        <f aca="false">"Q"&amp;ROUNDUP(MONTH(D283)/3,0)</f>
        <v>Q4</v>
      </c>
    </row>
    <row r="284" customFormat="false" ht="13.8" hidden="false" customHeight="false" outlineLevel="0" collapsed="false">
      <c r="A284" s="7" t="s">
        <v>837</v>
      </c>
      <c r="B284" s="7" t="s">
        <v>838</v>
      </c>
      <c r="C284" s="7" t="s">
        <v>839</v>
      </c>
      <c r="D284" s="11" t="n">
        <v>45635</v>
      </c>
      <c r="E284" s="12" t="n">
        <v>0</v>
      </c>
      <c r="F284" s="11" t="n">
        <v>45635</v>
      </c>
      <c r="G284" s="12" t="n">
        <v>0.322916666700625</v>
      </c>
      <c r="H284" s="10" t="n">
        <v>45725.4806696759</v>
      </c>
      <c r="I284" s="7" t="n">
        <v>2000</v>
      </c>
      <c r="J284" s="0" t="n">
        <f aca="false">IF(AND(D284&gt;=DATE(YEAR(D284),3,15),D284&lt;=DATE(YEAR(D284),6,10)),1,0)</f>
        <v>0</v>
      </c>
      <c r="K284" s="0" t="e">
        <f aca="false">VLOOKUP(D284,Festival_List!$A$2:$B$100,2,0)</f>
        <v>#N/A</v>
      </c>
      <c r="L284" s="0" t="n">
        <f aca="false">ROUND(((F284+G284)-(D284+E284))*24,0)</f>
        <v>8</v>
      </c>
      <c r="M284" s="0" t="n">
        <f aca="false">IF(OR(WEEKDAY(D284)=1,WEEKDAY(D284)=7),1,0)</f>
        <v>0</v>
      </c>
      <c r="N284" s="0" t="str">
        <f aca="false">IF(AND(MONTH(D284)&gt;=3,MONTH(D284)&lt;=6),"Summer",IF(AND(MONTH(D284)&gt;=7,MONTH(D284)&lt;=9),"Monsoon","Winter"))</f>
        <v>Winter</v>
      </c>
      <c r="O284" s="0" t="str">
        <f aca="false">IF(AND(L284&gt;=22,L284&lt;=25,E284&gt;=TIME(18,0,0)),"24H Night", IF(AND(L284&gt;=22,L284&lt;=25,E284&lt;TIME(18,0,0)),"24H Day", IF(AND(L284&gt;=11,L284&lt;=13,E284&gt;=TIME(18,0,0)),"12H Night", IF(AND(L284&gt;=11,L284&lt;=13,E284&lt;TIME(18,0,0)),"12H Day", IF(AND(L284&lt;10,E284&gt;=TIME(18,0,0)),"Couple Night", "Couple Day")))))</f>
        <v>Couple Day</v>
      </c>
      <c r="P284" s="0" t="n">
        <f aca="false">WEEKDAY(D284,2)</f>
        <v>1</v>
      </c>
      <c r="Q284" s="0" t="n">
        <f aca="false">MONTH(D284)</f>
        <v>12</v>
      </c>
      <c r="R284" s="0" t="str">
        <f aca="false">"Q"&amp;ROUNDUP(MONTH(D284)/3,0)</f>
        <v>Q4</v>
      </c>
    </row>
    <row r="285" customFormat="false" ht="141" hidden="false" customHeight="false" outlineLevel="0" collapsed="false">
      <c r="A285" s="7" t="s">
        <v>840</v>
      </c>
      <c r="B285" s="7" t="s">
        <v>824</v>
      </c>
      <c r="C285" s="13" t="s">
        <v>841</v>
      </c>
      <c r="D285" s="11" t="n">
        <v>45635</v>
      </c>
      <c r="E285" s="12" t="n">
        <v>0.333333333299375</v>
      </c>
      <c r="F285" s="11" t="n">
        <v>45635</v>
      </c>
      <c r="G285" s="12" t="n">
        <v>0.75</v>
      </c>
      <c r="H285" s="10" t="n">
        <v>45632.7133003472</v>
      </c>
      <c r="I285" s="7" t="n">
        <v>2700</v>
      </c>
      <c r="J285" s="0" t="n">
        <f aca="false">IF(AND(D285&gt;=DATE(YEAR(D285),3,15),D285&lt;=DATE(YEAR(D285),6,10)),1,0)</f>
        <v>0</v>
      </c>
      <c r="K285" s="0" t="e">
        <f aca="false">VLOOKUP(D285,Festival_List!$A$2:$B$100,2,0)</f>
        <v>#N/A</v>
      </c>
      <c r="L285" s="0" t="n">
        <f aca="false">ROUND(((F285+G285)-(D285+E285))*24,0)</f>
        <v>10</v>
      </c>
      <c r="M285" s="0" t="n">
        <f aca="false">IF(OR(WEEKDAY(D285)=1,WEEKDAY(D285)=7),1,0)</f>
        <v>0</v>
      </c>
      <c r="N285" s="0" t="str">
        <f aca="false">IF(AND(MONTH(D285)&gt;=3,MONTH(D285)&lt;=6),"Summer",IF(AND(MONTH(D285)&gt;=7,MONTH(D285)&lt;=9),"Monsoon","Winter"))</f>
        <v>Winter</v>
      </c>
      <c r="O285" s="0" t="str">
        <f aca="false">IF(AND(L285&gt;=22,L285&lt;=25,E285&gt;=TIME(18,0,0)),"24H Night", IF(AND(L285&gt;=22,L285&lt;=25,E285&lt;TIME(18,0,0)),"24H Day", IF(AND(L285&gt;=11,L285&lt;=13,E285&gt;=TIME(18,0,0)),"12H Night", IF(AND(L285&gt;=11,L285&lt;=13,E285&lt;TIME(18,0,0)),"12H Day", IF(AND(L285&lt;10,E285&gt;=TIME(18,0,0)),"Couple Night", "Couple Day")))))</f>
        <v>Couple Day</v>
      </c>
      <c r="P285" s="0" t="n">
        <f aca="false">WEEKDAY(D285,2)</f>
        <v>1</v>
      </c>
      <c r="Q285" s="0" t="n">
        <f aca="false">MONTH(D285)</f>
        <v>12</v>
      </c>
      <c r="R285" s="0" t="str">
        <f aca="false">"Q"&amp;ROUNDUP(MONTH(D285)/3,0)</f>
        <v>Q4</v>
      </c>
    </row>
    <row r="286" customFormat="false" ht="141" hidden="false" customHeight="false" outlineLevel="0" collapsed="false">
      <c r="A286" s="7" t="s">
        <v>842</v>
      </c>
      <c r="B286" s="7" t="s">
        <v>686</v>
      </c>
      <c r="C286" s="13" t="s">
        <v>843</v>
      </c>
      <c r="D286" s="11" t="n">
        <v>45637</v>
      </c>
      <c r="E286" s="12" t="n">
        <v>0.375</v>
      </c>
      <c r="F286" s="11" t="n">
        <v>45637</v>
      </c>
      <c r="G286" s="12" t="n">
        <v>0.75</v>
      </c>
      <c r="H286" s="10" t="n">
        <v>45635.6884052083</v>
      </c>
      <c r="I286" s="7" t="n">
        <v>1500</v>
      </c>
      <c r="J286" s="0" t="n">
        <f aca="false">IF(AND(D286&gt;=DATE(YEAR(D286),3,15),D286&lt;=DATE(YEAR(D286),6,10)),1,0)</f>
        <v>0</v>
      </c>
      <c r="K286" s="0" t="e">
        <f aca="false">VLOOKUP(D286,Festival_List!$A$2:$B$100,2,0)</f>
        <v>#N/A</v>
      </c>
      <c r="L286" s="0" t="n">
        <f aca="false">ROUND(((F286+G286)-(D286+E286))*24,0)</f>
        <v>9</v>
      </c>
      <c r="M286" s="0" t="n">
        <f aca="false">IF(OR(WEEKDAY(D286)=1,WEEKDAY(D286)=7),1,0)</f>
        <v>0</v>
      </c>
      <c r="N286" s="0" t="str">
        <f aca="false">IF(AND(MONTH(D286)&gt;=3,MONTH(D286)&lt;=6),"Summer",IF(AND(MONTH(D286)&gt;=7,MONTH(D286)&lt;=9),"Monsoon","Winter"))</f>
        <v>Winter</v>
      </c>
      <c r="O286" s="0" t="str">
        <f aca="false">IF(AND(L286&gt;=22,L286&lt;=25,E286&gt;=TIME(18,0,0)),"24H Night", IF(AND(L286&gt;=22,L286&lt;=25,E286&lt;TIME(18,0,0)),"24H Day", IF(AND(L286&gt;=11,L286&lt;=13,E286&gt;=TIME(18,0,0)),"12H Night", IF(AND(L286&gt;=11,L286&lt;=13,E286&lt;TIME(18,0,0)),"12H Day", IF(AND(L286&lt;10,E286&gt;=TIME(18,0,0)),"Couple Night", "Couple Day")))))</f>
        <v>Couple Day</v>
      </c>
      <c r="P286" s="0" t="n">
        <f aca="false">WEEKDAY(D286,2)</f>
        <v>3</v>
      </c>
      <c r="Q286" s="0" t="n">
        <f aca="false">MONTH(D286)</f>
        <v>12</v>
      </c>
      <c r="R286" s="0" t="str">
        <f aca="false">"Q"&amp;ROUNDUP(MONTH(D286)/3,0)</f>
        <v>Q4</v>
      </c>
    </row>
    <row r="287" customFormat="false" ht="141" hidden="false" customHeight="false" outlineLevel="0" collapsed="false">
      <c r="A287" s="7" t="s">
        <v>844</v>
      </c>
      <c r="B287" s="7" t="s">
        <v>845</v>
      </c>
      <c r="C287" s="13" t="s">
        <v>846</v>
      </c>
      <c r="D287" s="11" t="n">
        <v>45637</v>
      </c>
      <c r="E287" s="12" t="n">
        <v>0.791666666700625</v>
      </c>
      <c r="F287" s="11" t="n">
        <v>45638</v>
      </c>
      <c r="G287" s="12" t="n">
        <v>0.333333333299375</v>
      </c>
      <c r="H287" s="10" t="n">
        <v>45637.7699653935</v>
      </c>
      <c r="I287" s="7" t="n">
        <v>2000</v>
      </c>
      <c r="J287" s="0" t="n">
        <f aca="false">IF(AND(D287&gt;=DATE(YEAR(D287),3,15),D287&lt;=DATE(YEAR(D287),6,10)),1,0)</f>
        <v>0</v>
      </c>
      <c r="K287" s="0" t="e">
        <f aca="false">VLOOKUP(D287,Festival_List!$A$2:$B$100,2,0)</f>
        <v>#N/A</v>
      </c>
      <c r="L287" s="0" t="n">
        <f aca="false">ROUND(((F287+G287)-(D287+E287))*24,0)</f>
        <v>13</v>
      </c>
      <c r="M287" s="0" t="n">
        <f aca="false">IF(OR(WEEKDAY(D287)=1,WEEKDAY(D287)=7),1,0)</f>
        <v>0</v>
      </c>
      <c r="N287" s="0" t="str">
        <f aca="false">IF(AND(MONTH(D287)&gt;=3,MONTH(D287)&lt;=6),"Summer",IF(AND(MONTH(D287)&gt;=7,MONTH(D287)&lt;=9),"Monsoon","Winter"))</f>
        <v>Winter</v>
      </c>
      <c r="O287" s="0" t="str">
        <f aca="false">IF(AND(L287&gt;=22,L287&lt;=25,E287&gt;=TIME(18,0,0)),"24H Night", IF(AND(L287&gt;=22,L287&lt;=25,E287&lt;TIME(18,0,0)),"24H Day", IF(AND(L287&gt;=11,L287&lt;=13,E287&gt;=TIME(18,0,0)),"12H Night", IF(AND(L287&gt;=11,L287&lt;=13,E287&lt;TIME(18,0,0)),"12H Day", IF(AND(L287&lt;10,E287&gt;=TIME(18,0,0)),"Couple Night", "Couple Day")))))</f>
        <v>12H Night</v>
      </c>
      <c r="P287" s="0" t="n">
        <f aca="false">WEEKDAY(D287,2)</f>
        <v>3</v>
      </c>
      <c r="Q287" s="0" t="n">
        <f aca="false">MONTH(D287)</f>
        <v>12</v>
      </c>
      <c r="R287" s="0" t="str">
        <f aca="false">"Q"&amp;ROUNDUP(MONTH(D287)/3,0)</f>
        <v>Q4</v>
      </c>
    </row>
    <row r="288" customFormat="false" ht="90.25" hidden="false" customHeight="false" outlineLevel="0" collapsed="false">
      <c r="A288" s="7" t="s">
        <v>847</v>
      </c>
      <c r="B288" s="7" t="s">
        <v>478</v>
      </c>
      <c r="C288" s="13" t="s">
        <v>848</v>
      </c>
      <c r="D288" s="11" t="n">
        <v>45639</v>
      </c>
      <c r="E288" s="12" t="n">
        <v>0.625</v>
      </c>
      <c r="F288" s="11" t="n">
        <v>45640</v>
      </c>
      <c r="G288" s="12" t="n">
        <v>0.583333333299375</v>
      </c>
      <c r="H288" s="10" t="n">
        <v>45638.881519213</v>
      </c>
      <c r="I288" s="7" t="n">
        <v>3000</v>
      </c>
      <c r="J288" s="0" t="n">
        <f aca="false">IF(AND(D288&gt;=DATE(YEAR(D288),3,15),D288&lt;=DATE(YEAR(D288),6,10)),1,0)</f>
        <v>0</v>
      </c>
      <c r="K288" s="0" t="e">
        <f aca="false">VLOOKUP(D288,Festival_List!$A$2:$B$100,2,0)</f>
        <v>#N/A</v>
      </c>
      <c r="L288" s="0" t="n">
        <f aca="false">ROUND(((F288+G288)-(D288+E288))*24,0)</f>
        <v>23</v>
      </c>
      <c r="M288" s="0" t="n">
        <f aca="false">IF(OR(WEEKDAY(D288)=1,WEEKDAY(D288)=7),1,0)</f>
        <v>0</v>
      </c>
      <c r="N288" s="0" t="str">
        <f aca="false">IF(AND(MONTH(D288)&gt;=3,MONTH(D288)&lt;=6),"Summer",IF(AND(MONTH(D288)&gt;=7,MONTH(D288)&lt;=9),"Monsoon","Winter"))</f>
        <v>Winter</v>
      </c>
      <c r="O288" s="0" t="str">
        <f aca="false">IF(AND(L288&gt;=22,L288&lt;=25,E288&gt;=TIME(18,0,0)),"24H Night", IF(AND(L288&gt;=22,L288&lt;=25,E288&lt;TIME(18,0,0)),"24H Day", IF(AND(L288&gt;=11,L288&lt;=13,E288&gt;=TIME(18,0,0)),"12H Night", IF(AND(L288&gt;=11,L288&lt;=13,E288&lt;TIME(18,0,0)),"12H Day", IF(AND(L288&lt;10,E288&gt;=TIME(18,0,0)),"Couple Night", "Couple Day")))))</f>
        <v>24H Day</v>
      </c>
      <c r="P288" s="0" t="n">
        <f aca="false">WEEKDAY(D288,2)</f>
        <v>5</v>
      </c>
      <c r="Q288" s="0" t="n">
        <f aca="false">MONTH(D288)</f>
        <v>12</v>
      </c>
      <c r="R288" s="0" t="str">
        <f aca="false">"Q"&amp;ROUNDUP(MONTH(D288)/3,0)</f>
        <v>Q4</v>
      </c>
    </row>
    <row r="289" customFormat="false" ht="141" hidden="false" customHeight="false" outlineLevel="0" collapsed="false">
      <c r="A289" s="7" t="s">
        <v>849</v>
      </c>
      <c r="B289" s="7" t="s">
        <v>850</v>
      </c>
      <c r="C289" s="13" t="s">
        <v>851</v>
      </c>
      <c r="D289" s="11" t="n">
        <v>45640</v>
      </c>
      <c r="E289" s="12" t="n">
        <v>0.708333333299375</v>
      </c>
      <c r="F289" s="11" t="n">
        <v>45641</v>
      </c>
      <c r="G289" s="12" t="n">
        <v>0.291666666700625</v>
      </c>
      <c r="H289" s="10" t="n">
        <v>45639.9232459491</v>
      </c>
      <c r="I289" s="7" t="n">
        <v>2500</v>
      </c>
      <c r="J289" s="0" t="n">
        <f aca="false">IF(AND(D289&gt;=DATE(YEAR(D289),3,15),D289&lt;=DATE(YEAR(D289),6,10)),1,0)</f>
        <v>0</v>
      </c>
      <c r="K289" s="0" t="e">
        <f aca="false">VLOOKUP(D289,Festival_List!$A$2:$B$100,2,0)</f>
        <v>#N/A</v>
      </c>
      <c r="L289" s="0" t="n">
        <f aca="false">ROUND(((F289+G289)-(D289+E289))*24,0)</f>
        <v>14</v>
      </c>
      <c r="M289" s="0" t="n">
        <f aca="false">IF(OR(WEEKDAY(D289)=1,WEEKDAY(D289)=7),1,0)</f>
        <v>1</v>
      </c>
      <c r="N289" s="0" t="str">
        <f aca="false">IF(AND(MONTH(D289)&gt;=3,MONTH(D289)&lt;=6),"Summer",IF(AND(MONTH(D289)&gt;=7,MONTH(D289)&lt;=9),"Monsoon","Winter"))</f>
        <v>Winter</v>
      </c>
      <c r="O289" s="0" t="str">
        <f aca="false">IF(AND(L289&gt;=22,L289&lt;=25,E289&gt;=TIME(18,0,0)),"24H Night", IF(AND(L289&gt;=22,L289&lt;=25,E289&lt;TIME(18,0,0)),"24H Day", IF(AND(L289&gt;=11,L289&lt;=13,E289&gt;=TIME(18,0,0)),"12H Night", IF(AND(L289&gt;=11,L289&lt;=13,E289&lt;TIME(18,0,0)),"12H Day", IF(AND(L289&lt;10,E289&gt;=TIME(18,0,0)),"Couple Night", "Couple Day")))))</f>
        <v>Couple Day</v>
      </c>
      <c r="P289" s="0" t="n">
        <f aca="false">WEEKDAY(D289,2)</f>
        <v>6</v>
      </c>
      <c r="Q289" s="0" t="n">
        <f aca="false">MONTH(D289)</f>
        <v>12</v>
      </c>
      <c r="R289" s="0" t="str">
        <f aca="false">"Q"&amp;ROUNDUP(MONTH(D289)/3,0)</f>
        <v>Q4</v>
      </c>
    </row>
    <row r="290" customFormat="false" ht="13.8" hidden="false" customHeight="false" outlineLevel="0" collapsed="false">
      <c r="A290" s="7" t="s">
        <v>852</v>
      </c>
      <c r="B290" s="7" t="s">
        <v>853</v>
      </c>
      <c r="C290" s="7" t="s">
        <v>94</v>
      </c>
      <c r="D290" s="11" t="n">
        <v>45641</v>
      </c>
      <c r="E290" s="12" t="n">
        <v>0.833333333299375</v>
      </c>
      <c r="F290" s="11" t="n">
        <v>45642</v>
      </c>
      <c r="G290" s="12" t="n">
        <v>0.5</v>
      </c>
      <c r="H290" s="10" t="n">
        <v>45725.4808710648</v>
      </c>
      <c r="I290" s="7" t="n">
        <v>2500</v>
      </c>
      <c r="J290" s="0" t="n">
        <f aca="false">IF(AND(D290&gt;=DATE(YEAR(D290),3,15),D290&lt;=DATE(YEAR(D290),6,10)),1,0)</f>
        <v>0</v>
      </c>
      <c r="K290" s="0" t="e">
        <f aca="false">VLOOKUP(D290,Festival_List!$A$2:$B$100,2,0)</f>
        <v>#N/A</v>
      </c>
      <c r="L290" s="0" t="n">
        <f aca="false">ROUND(((F290+G290)-(D290+E290))*24,0)</f>
        <v>16</v>
      </c>
      <c r="M290" s="0" t="n">
        <f aca="false">IF(OR(WEEKDAY(D290)=1,WEEKDAY(D290)=7),1,0)</f>
        <v>1</v>
      </c>
      <c r="N290" s="0" t="str">
        <f aca="false">IF(AND(MONTH(D290)&gt;=3,MONTH(D290)&lt;=6),"Summer",IF(AND(MONTH(D290)&gt;=7,MONTH(D290)&lt;=9),"Monsoon","Winter"))</f>
        <v>Winter</v>
      </c>
      <c r="O290" s="0" t="str">
        <f aca="false">IF(AND(L290&gt;=22,L290&lt;=25,E290&gt;=TIME(18,0,0)),"24H Night", IF(AND(L290&gt;=22,L290&lt;=25,E290&lt;TIME(18,0,0)),"24H Day", IF(AND(L290&gt;=11,L290&lt;=13,E290&gt;=TIME(18,0,0)),"12H Night", IF(AND(L290&gt;=11,L290&lt;=13,E290&lt;TIME(18,0,0)),"12H Day", IF(AND(L290&lt;10,E290&gt;=TIME(18,0,0)),"Couple Night", "Couple Day")))))</f>
        <v>Couple Day</v>
      </c>
      <c r="P290" s="0" t="n">
        <f aca="false">WEEKDAY(D290,2)</f>
        <v>7</v>
      </c>
      <c r="Q290" s="0" t="n">
        <f aca="false">MONTH(D290)</f>
        <v>12</v>
      </c>
      <c r="R290" s="0" t="str">
        <f aca="false">"Q"&amp;ROUNDUP(MONTH(D290)/3,0)</f>
        <v>Q4</v>
      </c>
    </row>
    <row r="291" customFormat="false" ht="153.7" hidden="false" customHeight="false" outlineLevel="0" collapsed="false">
      <c r="A291" s="7" t="s">
        <v>854</v>
      </c>
      <c r="B291" s="7" t="s">
        <v>317</v>
      </c>
      <c r="C291" s="13" t="s">
        <v>855</v>
      </c>
      <c r="D291" s="11" t="n">
        <v>45644</v>
      </c>
      <c r="E291" s="12" t="n">
        <v>0.375</v>
      </c>
      <c r="F291" s="11" t="n">
        <v>45644</v>
      </c>
      <c r="G291" s="12" t="n">
        <v>0.708333333299375</v>
      </c>
      <c r="H291" s="10" t="n">
        <v>45642.5109986111</v>
      </c>
      <c r="I291" s="7" t="n">
        <v>1500</v>
      </c>
      <c r="J291" s="0" t="n">
        <f aca="false">IF(AND(D291&gt;=DATE(YEAR(D291),3,15),D291&lt;=DATE(YEAR(D291),6,10)),1,0)</f>
        <v>0</v>
      </c>
      <c r="K291" s="0" t="e">
        <f aca="false">VLOOKUP(D291,Festival_List!$A$2:$B$100,2,0)</f>
        <v>#N/A</v>
      </c>
      <c r="L291" s="0" t="n">
        <f aca="false">ROUND(((F291+G291)-(D291+E291))*24,0)</f>
        <v>8</v>
      </c>
      <c r="M291" s="0" t="n">
        <f aca="false">IF(OR(WEEKDAY(D291)=1,WEEKDAY(D291)=7),1,0)</f>
        <v>0</v>
      </c>
      <c r="N291" s="0" t="str">
        <f aca="false">IF(AND(MONTH(D291)&gt;=3,MONTH(D291)&lt;=6),"Summer",IF(AND(MONTH(D291)&gt;=7,MONTH(D291)&lt;=9),"Monsoon","Winter"))</f>
        <v>Winter</v>
      </c>
      <c r="O291" s="0" t="str">
        <f aca="false">IF(AND(L291&gt;=22,L291&lt;=25,E291&gt;=TIME(18,0,0)),"24H Night", IF(AND(L291&gt;=22,L291&lt;=25,E291&lt;TIME(18,0,0)),"24H Day", IF(AND(L291&gt;=11,L291&lt;=13,E291&gt;=TIME(18,0,0)),"12H Night", IF(AND(L291&gt;=11,L291&lt;=13,E291&lt;TIME(18,0,0)),"12H Day", IF(AND(L291&lt;10,E291&gt;=TIME(18,0,0)),"Couple Night", "Couple Day")))))</f>
        <v>Couple Day</v>
      </c>
      <c r="P291" s="0" t="n">
        <f aca="false">WEEKDAY(D291,2)</f>
        <v>3</v>
      </c>
      <c r="Q291" s="0" t="n">
        <f aca="false">MONTH(D291)</f>
        <v>12</v>
      </c>
      <c r="R291" s="0" t="str">
        <f aca="false">"Q"&amp;ROUNDUP(MONTH(D291)/3,0)</f>
        <v>Q4</v>
      </c>
    </row>
    <row r="292" customFormat="false" ht="141" hidden="false" customHeight="false" outlineLevel="0" collapsed="false">
      <c r="A292" s="7" t="s">
        <v>856</v>
      </c>
      <c r="B292" s="7" t="s">
        <v>642</v>
      </c>
      <c r="C292" s="13" t="s">
        <v>857</v>
      </c>
      <c r="D292" s="11" t="n">
        <v>45645</v>
      </c>
      <c r="E292" s="12" t="n">
        <v>0.333333333299375</v>
      </c>
      <c r="F292" s="11" t="n">
        <v>45645</v>
      </c>
      <c r="G292" s="12" t="n">
        <v>0.75</v>
      </c>
      <c r="H292" s="10" t="n">
        <v>45641.7581177083</v>
      </c>
      <c r="I292" s="7" t="n">
        <v>2500</v>
      </c>
      <c r="J292" s="0" t="n">
        <f aca="false">IF(AND(D292&gt;=DATE(YEAR(D292),3,15),D292&lt;=DATE(YEAR(D292),6,10)),1,0)</f>
        <v>0</v>
      </c>
      <c r="K292" s="0" t="e">
        <f aca="false">VLOOKUP(D292,Festival_List!$A$2:$B$100,2,0)</f>
        <v>#N/A</v>
      </c>
      <c r="L292" s="0" t="n">
        <f aca="false">ROUND(((F292+G292)-(D292+E292))*24,0)</f>
        <v>10</v>
      </c>
      <c r="M292" s="0" t="n">
        <f aca="false">IF(OR(WEEKDAY(D292)=1,WEEKDAY(D292)=7),1,0)</f>
        <v>0</v>
      </c>
      <c r="N292" s="0" t="str">
        <f aca="false">IF(AND(MONTH(D292)&gt;=3,MONTH(D292)&lt;=6),"Summer",IF(AND(MONTH(D292)&gt;=7,MONTH(D292)&lt;=9),"Monsoon","Winter"))</f>
        <v>Winter</v>
      </c>
      <c r="O292" s="0" t="str">
        <f aca="false">IF(AND(L292&gt;=22,L292&lt;=25,E292&gt;=TIME(18,0,0)),"24H Night", IF(AND(L292&gt;=22,L292&lt;=25,E292&lt;TIME(18,0,0)),"24H Day", IF(AND(L292&gt;=11,L292&lt;=13,E292&gt;=TIME(18,0,0)),"12H Night", IF(AND(L292&gt;=11,L292&lt;=13,E292&lt;TIME(18,0,0)),"12H Day", IF(AND(L292&lt;10,E292&gt;=TIME(18,0,0)),"Couple Night", "Couple Day")))))</f>
        <v>Couple Day</v>
      </c>
      <c r="P292" s="0" t="n">
        <f aca="false">WEEKDAY(D292,2)</f>
        <v>4</v>
      </c>
      <c r="Q292" s="0" t="n">
        <f aca="false">MONTH(D292)</f>
        <v>12</v>
      </c>
      <c r="R292" s="0" t="str">
        <f aca="false">"Q"&amp;ROUNDUP(MONTH(D292)/3,0)</f>
        <v>Q4</v>
      </c>
    </row>
    <row r="293" customFormat="false" ht="39.55" hidden="false" customHeight="false" outlineLevel="0" collapsed="false">
      <c r="A293" s="7" t="s">
        <v>858</v>
      </c>
      <c r="B293" s="7" t="s">
        <v>389</v>
      </c>
      <c r="C293" s="13" t="s">
        <v>859</v>
      </c>
      <c r="D293" s="11" t="n">
        <v>45646</v>
      </c>
      <c r="E293" s="12" t="n">
        <v>0.333333333299375</v>
      </c>
      <c r="F293" s="11" t="n">
        <v>45646</v>
      </c>
      <c r="G293" s="12" t="n">
        <v>0.78125</v>
      </c>
      <c r="H293" s="10" t="n">
        <v>45725.4810695602</v>
      </c>
      <c r="I293" s="7" t="n">
        <v>0</v>
      </c>
      <c r="J293" s="0" t="n">
        <f aca="false">IF(AND(D293&gt;=DATE(YEAR(D293),3,15),D293&lt;=DATE(YEAR(D293),6,10)),1,0)</f>
        <v>0</v>
      </c>
      <c r="K293" s="0" t="e">
        <f aca="false">VLOOKUP(D293,Festival_List!$A$2:$B$100,2,0)</f>
        <v>#N/A</v>
      </c>
      <c r="L293" s="0" t="n">
        <f aca="false">ROUND(((F293+G293)-(D293+E293))*24,0)</f>
        <v>11</v>
      </c>
      <c r="M293" s="0" t="n">
        <f aca="false">IF(OR(WEEKDAY(D293)=1,WEEKDAY(D293)=7),1,0)</f>
        <v>0</v>
      </c>
      <c r="N293" s="0" t="str">
        <f aca="false">IF(AND(MONTH(D293)&gt;=3,MONTH(D293)&lt;=6),"Summer",IF(AND(MONTH(D293)&gt;=7,MONTH(D293)&lt;=9),"Monsoon","Winter"))</f>
        <v>Winter</v>
      </c>
      <c r="O293" s="0" t="str">
        <f aca="false">IF(AND(L293&gt;=22,L293&lt;=25,E293&gt;=TIME(18,0,0)),"24H Night", IF(AND(L293&gt;=22,L293&lt;=25,E293&lt;TIME(18,0,0)),"24H Day", IF(AND(L293&gt;=11,L293&lt;=13,E293&gt;=TIME(18,0,0)),"12H Night", IF(AND(L293&gt;=11,L293&lt;=13,E293&lt;TIME(18,0,0)),"12H Day", IF(AND(L293&lt;10,E293&gt;=TIME(18,0,0)),"Couple Night", "Couple Day")))))</f>
        <v>12H Day</v>
      </c>
      <c r="P293" s="0" t="n">
        <f aca="false">WEEKDAY(D293,2)</f>
        <v>5</v>
      </c>
      <c r="Q293" s="0" t="n">
        <f aca="false">MONTH(D293)</f>
        <v>12</v>
      </c>
      <c r="R293" s="0" t="str">
        <f aca="false">"Q"&amp;ROUNDUP(MONTH(D293)/3,0)</f>
        <v>Q4</v>
      </c>
    </row>
    <row r="294" customFormat="false" ht="141" hidden="false" customHeight="false" outlineLevel="0" collapsed="false">
      <c r="A294" s="7" t="s">
        <v>860</v>
      </c>
      <c r="B294" s="7" t="s">
        <v>861</v>
      </c>
      <c r="C294" s="13" t="s">
        <v>862</v>
      </c>
      <c r="D294" s="11" t="n">
        <v>45647</v>
      </c>
      <c r="E294" s="12" t="n">
        <v>0.791666666700625</v>
      </c>
      <c r="F294" s="11" t="n">
        <v>45648</v>
      </c>
      <c r="G294" s="12" t="n">
        <v>0.791666666700625</v>
      </c>
      <c r="H294" s="10" t="n">
        <v>45645.9270134259</v>
      </c>
      <c r="I294" s="7" t="n">
        <v>5000</v>
      </c>
      <c r="J294" s="0" t="n">
        <f aca="false">IF(AND(D294&gt;=DATE(YEAR(D294),3,15),D294&lt;=DATE(YEAR(D294),6,10)),1,0)</f>
        <v>0</v>
      </c>
      <c r="K294" s="0" t="e">
        <f aca="false">VLOOKUP(D294,Festival_List!$A$2:$B$100,2,0)</f>
        <v>#N/A</v>
      </c>
      <c r="L294" s="0" t="n">
        <f aca="false">ROUND(((F294+G294)-(D294+E294))*24,0)</f>
        <v>24</v>
      </c>
      <c r="M294" s="0" t="n">
        <f aca="false">IF(OR(WEEKDAY(D294)=1,WEEKDAY(D294)=7),1,0)</f>
        <v>1</v>
      </c>
      <c r="N294" s="0" t="str">
        <f aca="false">IF(AND(MONTH(D294)&gt;=3,MONTH(D294)&lt;=6),"Summer",IF(AND(MONTH(D294)&gt;=7,MONTH(D294)&lt;=9),"Monsoon","Winter"))</f>
        <v>Winter</v>
      </c>
      <c r="O294" s="0" t="str">
        <f aca="false">IF(AND(L294&gt;=22,L294&lt;=25,E294&gt;=TIME(18,0,0)),"24H Night", IF(AND(L294&gt;=22,L294&lt;=25,E294&lt;TIME(18,0,0)),"24H Day", IF(AND(L294&gt;=11,L294&lt;=13,E294&gt;=TIME(18,0,0)),"12H Night", IF(AND(L294&gt;=11,L294&lt;=13,E294&lt;TIME(18,0,0)),"12H Day", IF(AND(L294&lt;10,E294&gt;=TIME(18,0,0)),"Couple Night", "Couple Day")))))</f>
        <v>24H Night</v>
      </c>
      <c r="P294" s="0" t="n">
        <f aca="false">WEEKDAY(D294,2)</f>
        <v>6</v>
      </c>
      <c r="Q294" s="0" t="n">
        <f aca="false">MONTH(D294)</f>
        <v>12</v>
      </c>
      <c r="R294" s="0" t="str">
        <f aca="false">"Q"&amp;ROUNDUP(MONTH(D294)/3,0)</f>
        <v>Q4</v>
      </c>
    </row>
    <row r="295" customFormat="false" ht="141" hidden="false" customHeight="false" outlineLevel="0" collapsed="false">
      <c r="A295" s="7" t="s">
        <v>863</v>
      </c>
      <c r="B295" s="7" t="s">
        <v>864</v>
      </c>
      <c r="C295" s="13" t="s">
        <v>865</v>
      </c>
      <c r="D295" s="11" t="n">
        <v>45651</v>
      </c>
      <c r="E295" s="12" t="n">
        <v>0.541666666700625</v>
      </c>
      <c r="F295" s="11" t="n">
        <v>45651</v>
      </c>
      <c r="G295" s="12" t="n">
        <v>0.75</v>
      </c>
      <c r="H295" s="10" t="n">
        <v>45651.5641740741</v>
      </c>
      <c r="I295" s="7" t="n">
        <v>1500</v>
      </c>
      <c r="J295" s="0" t="n">
        <f aca="false">IF(AND(D295&gt;=DATE(YEAR(D295),3,15),D295&lt;=DATE(YEAR(D295),6,10)),1,0)</f>
        <v>0</v>
      </c>
      <c r="K295" s="0" t="str">
        <f aca="false">VLOOKUP(D295,Festival_List!$A$2:$B$100,2,0)</f>
        <v>Christmas</v>
      </c>
      <c r="L295" s="0" t="n">
        <f aca="false">ROUND(((F295+G295)-(D295+E295))*24,0)</f>
        <v>5</v>
      </c>
      <c r="M295" s="0" t="n">
        <f aca="false">IF(OR(WEEKDAY(D295)=1,WEEKDAY(D295)=7),1,0)</f>
        <v>0</v>
      </c>
      <c r="N295" s="0" t="str">
        <f aca="false">IF(AND(MONTH(D295)&gt;=3,MONTH(D295)&lt;=6),"Summer",IF(AND(MONTH(D295)&gt;=7,MONTH(D295)&lt;=9),"Monsoon","Winter"))</f>
        <v>Winter</v>
      </c>
      <c r="O295" s="0" t="str">
        <f aca="false">IF(AND(L295&gt;=22,L295&lt;=25,E295&gt;=TIME(18,0,0)),"24H Night", IF(AND(L295&gt;=22,L295&lt;=25,E295&lt;TIME(18,0,0)),"24H Day", IF(AND(L295&gt;=11,L295&lt;=13,E295&gt;=TIME(18,0,0)),"12H Night", IF(AND(L295&gt;=11,L295&lt;=13,E295&lt;TIME(18,0,0)),"12H Day", IF(AND(L295&lt;10,E295&gt;=TIME(18,0,0)),"Couple Night", "Couple Day")))))</f>
        <v>Couple Day</v>
      </c>
      <c r="P295" s="0" t="n">
        <f aca="false">WEEKDAY(D295,2)</f>
        <v>3</v>
      </c>
      <c r="Q295" s="0" t="n">
        <f aca="false">MONTH(D295)</f>
        <v>12</v>
      </c>
      <c r="R295" s="0" t="str">
        <f aca="false">"Q"&amp;ROUNDUP(MONTH(D295)/3,0)</f>
        <v>Q4</v>
      </c>
    </row>
    <row r="296" customFormat="false" ht="141" hidden="false" customHeight="false" outlineLevel="0" collapsed="false">
      <c r="A296" s="7" t="s">
        <v>866</v>
      </c>
      <c r="B296" s="7" t="s">
        <v>733</v>
      </c>
      <c r="C296" s="13" t="s">
        <v>867</v>
      </c>
      <c r="D296" s="11" t="n">
        <v>45653</v>
      </c>
      <c r="E296" s="12" t="n">
        <v>0.416666666700625</v>
      </c>
      <c r="F296" s="11" t="n">
        <v>45654</v>
      </c>
      <c r="G296" s="12" t="n">
        <v>0.75</v>
      </c>
      <c r="H296" s="10" t="n">
        <v>45651.4637471065</v>
      </c>
      <c r="I296" s="7" t="n">
        <v>4500</v>
      </c>
      <c r="J296" s="0" t="n">
        <f aca="false">IF(AND(D296&gt;=DATE(YEAR(D296),3,15),D296&lt;=DATE(YEAR(D296),6,10)),1,0)</f>
        <v>0</v>
      </c>
      <c r="K296" s="0" t="e">
        <f aca="false">VLOOKUP(D296,Festival_List!$A$2:$B$100,2,0)</f>
        <v>#N/A</v>
      </c>
      <c r="L296" s="0" t="n">
        <f aca="false">ROUND(((F296+G296)-(D296+E296))*24,0)</f>
        <v>32</v>
      </c>
      <c r="M296" s="0" t="n">
        <f aca="false">IF(OR(WEEKDAY(D296)=1,WEEKDAY(D296)=7),1,0)</f>
        <v>0</v>
      </c>
      <c r="N296" s="0" t="str">
        <f aca="false">IF(AND(MONTH(D296)&gt;=3,MONTH(D296)&lt;=6),"Summer",IF(AND(MONTH(D296)&gt;=7,MONTH(D296)&lt;=9),"Monsoon","Winter"))</f>
        <v>Winter</v>
      </c>
      <c r="O296" s="0" t="str">
        <f aca="false">IF(AND(L296&gt;=22,L296&lt;=25,E296&gt;=TIME(18,0,0)),"24H Night", IF(AND(L296&gt;=22,L296&lt;=25,E296&lt;TIME(18,0,0)),"24H Day", IF(AND(L296&gt;=11,L296&lt;=13,E296&gt;=TIME(18,0,0)),"12H Night", IF(AND(L296&gt;=11,L296&lt;=13,E296&lt;TIME(18,0,0)),"12H Day", IF(AND(L296&lt;10,E296&gt;=TIME(18,0,0)),"Couple Night", "Couple Day")))))</f>
        <v>Couple Day</v>
      </c>
      <c r="P296" s="0" t="n">
        <f aca="false">WEEKDAY(D296,2)</f>
        <v>5</v>
      </c>
      <c r="Q296" s="0" t="n">
        <f aca="false">MONTH(D296)</f>
        <v>12</v>
      </c>
      <c r="R296" s="0" t="str">
        <f aca="false">"Q"&amp;ROUNDUP(MONTH(D296)/3,0)</f>
        <v>Q4</v>
      </c>
    </row>
    <row r="297" customFormat="false" ht="141" hidden="false" customHeight="false" outlineLevel="0" collapsed="false">
      <c r="A297" s="7" t="s">
        <v>868</v>
      </c>
      <c r="B297" s="7" t="s">
        <v>869</v>
      </c>
      <c r="C297" s="13" t="s">
        <v>870</v>
      </c>
      <c r="D297" s="11" t="n">
        <v>45654</v>
      </c>
      <c r="E297" s="12" t="n">
        <v>0.791666666700625</v>
      </c>
      <c r="F297" s="11" t="n">
        <v>45655</v>
      </c>
      <c r="G297" s="12" t="n">
        <v>0.791666666700625</v>
      </c>
      <c r="H297" s="10" t="n">
        <v>45648.9363636574</v>
      </c>
      <c r="I297" s="7" t="n">
        <v>5000</v>
      </c>
      <c r="J297" s="0" t="n">
        <f aca="false">IF(AND(D297&gt;=DATE(YEAR(D297),3,15),D297&lt;=DATE(YEAR(D297),6,10)),1,0)</f>
        <v>0</v>
      </c>
      <c r="K297" s="0" t="e">
        <f aca="false">VLOOKUP(D297,Festival_List!$A$2:$B$100,2,0)</f>
        <v>#N/A</v>
      </c>
      <c r="L297" s="0" t="n">
        <f aca="false">ROUND(((F297+G297)-(D297+E297))*24,0)</f>
        <v>24</v>
      </c>
      <c r="M297" s="0" t="n">
        <f aca="false">IF(OR(WEEKDAY(D297)=1,WEEKDAY(D297)=7),1,0)</f>
        <v>1</v>
      </c>
      <c r="N297" s="0" t="str">
        <f aca="false">IF(AND(MONTH(D297)&gt;=3,MONTH(D297)&lt;=6),"Summer",IF(AND(MONTH(D297)&gt;=7,MONTH(D297)&lt;=9),"Monsoon","Winter"))</f>
        <v>Winter</v>
      </c>
      <c r="O297" s="0" t="str">
        <f aca="false">IF(AND(L297&gt;=22,L297&lt;=25,E297&gt;=TIME(18,0,0)),"24H Night", IF(AND(L297&gt;=22,L297&lt;=25,E297&lt;TIME(18,0,0)),"24H Day", IF(AND(L297&gt;=11,L297&lt;=13,E297&gt;=TIME(18,0,0)),"12H Night", IF(AND(L297&gt;=11,L297&lt;=13,E297&lt;TIME(18,0,0)),"12H Day", IF(AND(L297&lt;10,E297&gt;=TIME(18,0,0)),"Couple Night", "Couple Day")))))</f>
        <v>24H Night</v>
      </c>
      <c r="P297" s="0" t="n">
        <f aca="false">WEEKDAY(D297,2)</f>
        <v>6</v>
      </c>
      <c r="Q297" s="0" t="n">
        <f aca="false">MONTH(D297)</f>
        <v>12</v>
      </c>
      <c r="R297" s="0" t="str">
        <f aca="false">"Q"&amp;ROUNDUP(MONTH(D297)/3,0)</f>
        <v>Q4</v>
      </c>
    </row>
    <row r="298" customFormat="false" ht="153.7" hidden="false" customHeight="false" outlineLevel="0" collapsed="false">
      <c r="A298" s="7" t="s">
        <v>871</v>
      </c>
      <c r="B298" s="7" t="s">
        <v>872</v>
      </c>
      <c r="C298" s="13" t="s">
        <v>873</v>
      </c>
      <c r="D298" s="11" t="n">
        <v>45657</v>
      </c>
      <c r="E298" s="12" t="n">
        <v>0.5</v>
      </c>
      <c r="F298" s="11" t="n">
        <v>45657</v>
      </c>
      <c r="G298" s="12" t="n">
        <v>0.75</v>
      </c>
      <c r="H298" s="10" t="n">
        <v>45653.7305674769</v>
      </c>
      <c r="I298" s="7" t="n">
        <v>2700</v>
      </c>
      <c r="J298" s="0" t="n">
        <f aca="false">IF(AND(D298&gt;=DATE(YEAR(D298),3,15),D298&lt;=DATE(YEAR(D298),6,10)),1,0)</f>
        <v>0</v>
      </c>
      <c r="K298" s="0" t="str">
        <f aca="false">VLOOKUP(D298,Festival_List!$A$2:$B$100,2,0)</f>
        <v>New Year's Eve</v>
      </c>
      <c r="L298" s="0" t="n">
        <f aca="false">ROUND(((F298+G298)-(D298+E298))*24,0)</f>
        <v>6</v>
      </c>
      <c r="M298" s="0" t="n">
        <f aca="false">IF(OR(WEEKDAY(D298)=1,WEEKDAY(D298)=7),1,0)</f>
        <v>0</v>
      </c>
      <c r="N298" s="0" t="str">
        <f aca="false">IF(AND(MONTH(D298)&gt;=3,MONTH(D298)&lt;=6),"Summer",IF(AND(MONTH(D298)&gt;=7,MONTH(D298)&lt;=9),"Monsoon","Winter"))</f>
        <v>Winter</v>
      </c>
      <c r="O298" s="0" t="str">
        <f aca="false">IF(AND(L298&gt;=22,L298&lt;=25,E298&gt;=TIME(18,0,0)),"24H Night", IF(AND(L298&gt;=22,L298&lt;=25,E298&lt;TIME(18,0,0)),"24H Day", IF(AND(L298&gt;=11,L298&lt;=13,E298&gt;=TIME(18,0,0)),"12H Night", IF(AND(L298&gt;=11,L298&lt;=13,E298&lt;TIME(18,0,0)),"12H Day", IF(AND(L298&lt;10,E298&gt;=TIME(18,0,0)),"Couple Night", "Couple Day")))))</f>
        <v>Couple Day</v>
      </c>
      <c r="P298" s="0" t="n">
        <f aca="false">WEEKDAY(D298,2)</f>
        <v>2</v>
      </c>
      <c r="Q298" s="0" t="n">
        <f aca="false">MONTH(D298)</f>
        <v>12</v>
      </c>
      <c r="R298" s="0" t="str">
        <f aca="false">"Q"&amp;ROUNDUP(MONTH(D298)/3,0)</f>
        <v>Q4</v>
      </c>
    </row>
    <row r="299" customFormat="false" ht="153.7" hidden="false" customHeight="false" outlineLevel="0" collapsed="false">
      <c r="A299" s="7" t="s">
        <v>874</v>
      </c>
      <c r="B299" s="7" t="s">
        <v>875</v>
      </c>
      <c r="C299" s="13" t="s">
        <v>876</v>
      </c>
      <c r="D299" s="11" t="n">
        <v>45657</v>
      </c>
      <c r="E299" s="12" t="n">
        <v>0.791666666700625</v>
      </c>
      <c r="F299" s="11" t="n">
        <v>45658</v>
      </c>
      <c r="G299" s="12" t="n">
        <v>0.333333333299375</v>
      </c>
      <c r="H299" s="10" t="n">
        <v>45657.4664671296</v>
      </c>
      <c r="I299" s="7" t="n">
        <v>4000</v>
      </c>
      <c r="J299" s="0" t="n">
        <f aca="false">IF(AND(D299&gt;=DATE(YEAR(D299),3,15),D299&lt;=DATE(YEAR(D299),6,10)),1,0)</f>
        <v>0</v>
      </c>
      <c r="K299" s="0" t="str">
        <f aca="false">VLOOKUP(D299,Festival_List!$A$2:$B$100,2,0)</f>
        <v>New Year's Eve</v>
      </c>
      <c r="L299" s="0" t="n">
        <f aca="false">ROUND(((F299+G299)-(D299+E299))*24,0)</f>
        <v>13</v>
      </c>
      <c r="M299" s="0" t="n">
        <f aca="false">IF(OR(WEEKDAY(D299)=1,WEEKDAY(D299)=7),1,0)</f>
        <v>0</v>
      </c>
      <c r="N299" s="0" t="str">
        <f aca="false">IF(AND(MONTH(D299)&gt;=3,MONTH(D299)&lt;=6),"Summer",IF(AND(MONTH(D299)&gt;=7,MONTH(D299)&lt;=9),"Monsoon","Winter"))</f>
        <v>Winter</v>
      </c>
      <c r="O299" s="0" t="str">
        <f aca="false">IF(AND(L299&gt;=22,L299&lt;=25,E299&gt;=TIME(18,0,0)),"24H Night", IF(AND(L299&gt;=22,L299&lt;=25,E299&lt;TIME(18,0,0)),"24H Day", IF(AND(L299&gt;=11,L299&lt;=13,E299&gt;=TIME(18,0,0)),"12H Night", IF(AND(L299&gt;=11,L299&lt;=13,E299&lt;TIME(18,0,0)),"12H Day", IF(AND(L299&lt;10,E299&gt;=TIME(18,0,0)),"Couple Night", "Couple Day")))))</f>
        <v>12H Night</v>
      </c>
      <c r="P299" s="0" t="n">
        <f aca="false">WEEKDAY(D299,2)</f>
        <v>2</v>
      </c>
      <c r="Q299" s="0" t="n">
        <f aca="false">MONTH(D299)</f>
        <v>12</v>
      </c>
      <c r="R299" s="0" t="str">
        <f aca="false">"Q"&amp;ROUNDUP(MONTH(D299)/3,0)</f>
        <v>Q4</v>
      </c>
    </row>
    <row r="300" customFormat="false" ht="141" hidden="false" customHeight="false" outlineLevel="0" collapsed="false">
      <c r="A300" s="7" t="s">
        <v>877</v>
      </c>
      <c r="B300" s="7" t="s">
        <v>878</v>
      </c>
      <c r="C300" s="13" t="s">
        <v>879</v>
      </c>
      <c r="D300" s="11" t="n">
        <v>45659</v>
      </c>
      <c r="E300" s="12" t="n">
        <v>0.375</v>
      </c>
      <c r="F300" s="11" t="n">
        <v>45659</v>
      </c>
      <c r="G300" s="12" t="n">
        <v>0.708333333299375</v>
      </c>
      <c r="H300" s="10" t="n">
        <v>45656.5778586806</v>
      </c>
      <c r="I300" s="7" t="n">
        <v>2000</v>
      </c>
      <c r="J300" s="0" t="n">
        <f aca="false">IF(AND(D300&gt;=DATE(YEAR(D300),3,15),D300&lt;=DATE(YEAR(D300),6,10)),1,0)</f>
        <v>0</v>
      </c>
      <c r="K300" s="0" t="e">
        <f aca="false">VLOOKUP(D300,Festival_List!$A$2:$B$100,2,0)</f>
        <v>#N/A</v>
      </c>
      <c r="L300" s="0" t="n">
        <f aca="false">ROUND(((F300+G300)-(D300+E300))*24,0)</f>
        <v>8</v>
      </c>
      <c r="M300" s="0" t="n">
        <f aca="false">IF(OR(WEEKDAY(D300)=1,WEEKDAY(D300)=7),1,0)</f>
        <v>0</v>
      </c>
      <c r="N300" s="0" t="str">
        <f aca="false">IF(AND(MONTH(D300)&gt;=3,MONTH(D300)&lt;=6),"Summer",IF(AND(MONTH(D300)&gt;=7,MONTH(D300)&lt;=9),"Monsoon","Winter"))</f>
        <v>Winter</v>
      </c>
      <c r="O300" s="0" t="str">
        <f aca="false">IF(AND(L300&gt;=22,L300&lt;=25,E300&gt;=TIME(18,0,0)),"24H Night", IF(AND(L300&gt;=22,L300&lt;=25,E300&lt;TIME(18,0,0)),"24H Day", IF(AND(L300&gt;=11,L300&lt;=13,E300&gt;=TIME(18,0,0)),"12H Night", IF(AND(L300&gt;=11,L300&lt;=13,E300&lt;TIME(18,0,0)),"12H Day", IF(AND(L300&lt;10,E300&gt;=TIME(18,0,0)),"Couple Night", "Couple Day")))))</f>
        <v>Couple Day</v>
      </c>
      <c r="P300" s="0" t="n">
        <f aca="false">WEEKDAY(D300,2)</f>
        <v>4</v>
      </c>
      <c r="Q300" s="0" t="n">
        <f aca="false">MONTH(D300)</f>
        <v>1</v>
      </c>
      <c r="R300" s="0" t="str">
        <f aca="false">"Q"&amp;ROUNDUP(MONTH(D300)/3,0)</f>
        <v>Q1</v>
      </c>
    </row>
    <row r="301" customFormat="false" ht="128.35" hidden="false" customHeight="false" outlineLevel="0" collapsed="false">
      <c r="A301" s="7" t="s">
        <v>880</v>
      </c>
      <c r="B301" s="7" t="s">
        <v>881</v>
      </c>
      <c r="C301" s="13" t="s">
        <v>882</v>
      </c>
      <c r="D301" s="11" t="n">
        <v>45661</v>
      </c>
      <c r="E301" s="12" t="n">
        <v>0.333333333299375</v>
      </c>
      <c r="F301" s="11" t="n">
        <v>45661</v>
      </c>
      <c r="G301" s="12" t="n">
        <v>0.75</v>
      </c>
      <c r="H301" s="10" t="n">
        <v>45662.0375114583</v>
      </c>
      <c r="I301" s="7" t="n">
        <v>3000</v>
      </c>
      <c r="J301" s="0" t="n">
        <f aca="false">IF(AND(D301&gt;=DATE(YEAR(D301),3,15),D301&lt;=DATE(YEAR(D301),6,10)),1,0)</f>
        <v>0</v>
      </c>
      <c r="K301" s="0" t="e">
        <f aca="false">VLOOKUP(D301,Festival_List!$A$2:$B$100,2,0)</f>
        <v>#N/A</v>
      </c>
      <c r="L301" s="0" t="n">
        <f aca="false">ROUND(((F301+G301)-(D301+E301))*24,0)</f>
        <v>10</v>
      </c>
      <c r="M301" s="0" t="n">
        <f aca="false">IF(OR(WEEKDAY(D301)=1,WEEKDAY(D301)=7),1,0)</f>
        <v>1</v>
      </c>
      <c r="N301" s="0" t="str">
        <f aca="false">IF(AND(MONTH(D301)&gt;=3,MONTH(D301)&lt;=6),"Summer",IF(AND(MONTH(D301)&gt;=7,MONTH(D301)&lt;=9),"Monsoon","Winter"))</f>
        <v>Winter</v>
      </c>
      <c r="O301" s="0" t="str">
        <f aca="false">IF(AND(L301&gt;=22,L301&lt;=25,E301&gt;=TIME(18,0,0)),"24H Night", IF(AND(L301&gt;=22,L301&lt;=25,E301&lt;TIME(18,0,0)),"24H Day", IF(AND(L301&gt;=11,L301&lt;=13,E301&gt;=TIME(18,0,0)),"12H Night", IF(AND(L301&gt;=11,L301&lt;=13,E301&lt;TIME(18,0,0)),"12H Day", IF(AND(L301&lt;10,E301&gt;=TIME(18,0,0)),"Couple Night", "Couple Day")))))</f>
        <v>Couple Day</v>
      </c>
      <c r="P301" s="0" t="n">
        <f aca="false">WEEKDAY(D301,2)</f>
        <v>6</v>
      </c>
      <c r="Q301" s="0" t="n">
        <f aca="false">MONTH(D301)</f>
        <v>1</v>
      </c>
      <c r="R301" s="0" t="str">
        <f aca="false">"Q"&amp;ROUNDUP(MONTH(D301)/3,0)</f>
        <v>Q1</v>
      </c>
    </row>
    <row r="302" customFormat="false" ht="90.25" hidden="false" customHeight="false" outlineLevel="0" collapsed="false">
      <c r="A302" s="7" t="s">
        <v>883</v>
      </c>
      <c r="B302" s="7" t="s">
        <v>884</v>
      </c>
      <c r="C302" s="13" t="s">
        <v>885</v>
      </c>
      <c r="D302" s="11" t="n">
        <v>45661</v>
      </c>
      <c r="E302" s="12" t="n">
        <v>0.791666666700625</v>
      </c>
      <c r="F302" s="11" t="n">
        <v>45662</v>
      </c>
      <c r="G302" s="12" t="n">
        <v>0.75</v>
      </c>
      <c r="H302" s="10" t="n">
        <v>45654.8878957176</v>
      </c>
      <c r="I302" s="7" t="n">
        <v>5000</v>
      </c>
      <c r="J302" s="0" t="n">
        <f aca="false">IF(AND(D302&gt;=DATE(YEAR(D302),3,15),D302&lt;=DATE(YEAR(D302),6,10)),1,0)</f>
        <v>0</v>
      </c>
      <c r="K302" s="0" t="e">
        <f aca="false">VLOOKUP(D302,Festival_List!$A$2:$B$100,2,0)</f>
        <v>#N/A</v>
      </c>
      <c r="L302" s="0" t="n">
        <f aca="false">ROUND(((F302+G302)-(D302+E302))*24,0)</f>
        <v>23</v>
      </c>
      <c r="M302" s="0" t="n">
        <f aca="false">IF(OR(WEEKDAY(D302)=1,WEEKDAY(D302)=7),1,0)</f>
        <v>1</v>
      </c>
      <c r="N302" s="0" t="str">
        <f aca="false">IF(AND(MONTH(D302)&gt;=3,MONTH(D302)&lt;=6),"Summer",IF(AND(MONTH(D302)&gt;=7,MONTH(D302)&lt;=9),"Monsoon","Winter"))</f>
        <v>Winter</v>
      </c>
      <c r="O302" s="0" t="str">
        <f aca="false">IF(AND(L302&gt;=22,L302&lt;=25,E302&gt;=TIME(18,0,0)),"24H Night", IF(AND(L302&gt;=22,L302&lt;=25,E302&lt;TIME(18,0,0)),"24H Day", IF(AND(L302&gt;=11,L302&lt;=13,E302&gt;=TIME(18,0,0)),"12H Night", IF(AND(L302&gt;=11,L302&lt;=13,E302&lt;TIME(18,0,0)),"12H Day", IF(AND(L302&lt;10,E302&gt;=TIME(18,0,0)),"Couple Night", "Couple Day")))))</f>
        <v>24H Night</v>
      </c>
      <c r="P302" s="0" t="n">
        <f aca="false">WEEKDAY(D302,2)</f>
        <v>6</v>
      </c>
      <c r="Q302" s="0" t="n">
        <f aca="false">MONTH(D302)</f>
        <v>1</v>
      </c>
      <c r="R302" s="0" t="str">
        <f aca="false">"Q"&amp;ROUNDUP(MONTH(D302)/3,0)</f>
        <v>Q1</v>
      </c>
    </row>
    <row r="303" customFormat="false" ht="153.7" hidden="false" customHeight="false" outlineLevel="0" collapsed="false">
      <c r="A303" s="7" t="s">
        <v>886</v>
      </c>
      <c r="B303" s="7" t="s">
        <v>887</v>
      </c>
      <c r="C303" s="13" t="s">
        <v>888</v>
      </c>
      <c r="D303" s="11" t="n">
        <v>45663</v>
      </c>
      <c r="E303" s="12" t="n">
        <v>0.375</v>
      </c>
      <c r="F303" s="11" t="n">
        <v>45663</v>
      </c>
      <c r="G303" s="12" t="n">
        <v>0.75</v>
      </c>
      <c r="H303" s="10" t="n">
        <v>45662.7915510417</v>
      </c>
      <c r="I303" s="7" t="n">
        <v>2500</v>
      </c>
      <c r="J303" s="0" t="n">
        <f aca="false">IF(AND(D303&gt;=DATE(YEAR(D303),3,15),D303&lt;=DATE(YEAR(D303),6,10)),1,0)</f>
        <v>0</v>
      </c>
      <c r="K303" s="0" t="e">
        <f aca="false">VLOOKUP(D303,Festival_List!$A$2:$B$100,2,0)</f>
        <v>#N/A</v>
      </c>
      <c r="L303" s="0" t="n">
        <f aca="false">ROUND(((F303+G303)-(D303+E303))*24,0)</f>
        <v>9</v>
      </c>
      <c r="M303" s="0" t="n">
        <f aca="false">IF(OR(WEEKDAY(D303)=1,WEEKDAY(D303)=7),1,0)</f>
        <v>0</v>
      </c>
      <c r="N303" s="0" t="str">
        <f aca="false">IF(AND(MONTH(D303)&gt;=3,MONTH(D303)&lt;=6),"Summer",IF(AND(MONTH(D303)&gt;=7,MONTH(D303)&lt;=9),"Monsoon","Winter"))</f>
        <v>Winter</v>
      </c>
      <c r="O303" s="0" t="str">
        <f aca="false">IF(AND(L303&gt;=22,L303&lt;=25,E303&gt;=TIME(18,0,0)),"24H Night", IF(AND(L303&gt;=22,L303&lt;=25,E303&lt;TIME(18,0,0)),"24H Day", IF(AND(L303&gt;=11,L303&lt;=13,E303&gt;=TIME(18,0,0)),"12H Night", IF(AND(L303&gt;=11,L303&lt;=13,E303&lt;TIME(18,0,0)),"12H Day", IF(AND(L303&lt;10,E303&gt;=TIME(18,0,0)),"Couple Night", "Couple Day")))))</f>
        <v>Couple Day</v>
      </c>
      <c r="P303" s="0" t="n">
        <f aca="false">WEEKDAY(D303,2)</f>
        <v>1</v>
      </c>
      <c r="Q303" s="0" t="n">
        <f aca="false">MONTH(D303)</f>
        <v>1</v>
      </c>
      <c r="R303" s="0" t="str">
        <f aca="false">"Q"&amp;ROUNDUP(MONTH(D303)/3,0)</f>
        <v>Q1</v>
      </c>
    </row>
    <row r="304" customFormat="false" ht="141" hidden="false" customHeight="false" outlineLevel="0" collapsed="false">
      <c r="A304" s="7" t="s">
        <v>889</v>
      </c>
      <c r="B304" s="7" t="s">
        <v>544</v>
      </c>
      <c r="C304" s="13" t="s">
        <v>890</v>
      </c>
      <c r="D304" s="11" t="n">
        <v>45665</v>
      </c>
      <c r="E304" s="12" t="n">
        <v>0.375</v>
      </c>
      <c r="F304" s="11" t="n">
        <v>45665</v>
      </c>
      <c r="G304" s="12" t="n">
        <v>0.75</v>
      </c>
      <c r="H304" s="10" t="n">
        <v>45663.5932472222</v>
      </c>
      <c r="I304" s="7" t="n">
        <v>2500</v>
      </c>
      <c r="J304" s="0" t="n">
        <f aca="false">IF(AND(D304&gt;=DATE(YEAR(D304),3,15),D304&lt;=DATE(YEAR(D304),6,10)),1,0)</f>
        <v>0</v>
      </c>
      <c r="K304" s="0" t="e">
        <f aca="false">VLOOKUP(D304,Festival_List!$A$2:$B$100,2,0)</f>
        <v>#N/A</v>
      </c>
      <c r="L304" s="0" t="n">
        <f aca="false">ROUND(((F304+G304)-(D304+E304))*24,0)</f>
        <v>9</v>
      </c>
      <c r="M304" s="0" t="n">
        <f aca="false">IF(OR(WEEKDAY(D304)=1,WEEKDAY(D304)=7),1,0)</f>
        <v>0</v>
      </c>
      <c r="N304" s="0" t="str">
        <f aca="false">IF(AND(MONTH(D304)&gt;=3,MONTH(D304)&lt;=6),"Summer",IF(AND(MONTH(D304)&gt;=7,MONTH(D304)&lt;=9),"Monsoon","Winter"))</f>
        <v>Winter</v>
      </c>
      <c r="O304" s="0" t="str">
        <f aca="false">IF(AND(L304&gt;=22,L304&lt;=25,E304&gt;=TIME(18,0,0)),"24H Night", IF(AND(L304&gt;=22,L304&lt;=25,E304&lt;TIME(18,0,0)),"24H Day", IF(AND(L304&gt;=11,L304&lt;=13,E304&gt;=TIME(18,0,0)),"12H Night", IF(AND(L304&gt;=11,L304&lt;=13,E304&lt;TIME(18,0,0)),"12H Day", IF(AND(L304&lt;10,E304&gt;=TIME(18,0,0)),"Couple Night", "Couple Day")))))</f>
        <v>Couple Day</v>
      </c>
      <c r="P304" s="0" t="n">
        <f aca="false">WEEKDAY(D304,2)</f>
        <v>3</v>
      </c>
      <c r="Q304" s="0" t="n">
        <f aca="false">MONTH(D304)</f>
        <v>1</v>
      </c>
      <c r="R304" s="0" t="str">
        <f aca="false">"Q"&amp;ROUNDUP(MONTH(D304)/3,0)</f>
        <v>Q1</v>
      </c>
    </row>
    <row r="305" customFormat="false" ht="141" hidden="false" customHeight="false" outlineLevel="0" collapsed="false">
      <c r="A305" s="7" t="s">
        <v>891</v>
      </c>
      <c r="B305" s="7" t="s">
        <v>892</v>
      </c>
      <c r="C305" s="13" t="s">
        <v>893</v>
      </c>
      <c r="D305" s="11" t="n">
        <v>45665</v>
      </c>
      <c r="E305" s="12" t="n">
        <v>0.791666666700625</v>
      </c>
      <c r="F305" s="11" t="n">
        <v>45666</v>
      </c>
      <c r="G305" s="12" t="n">
        <v>0.75</v>
      </c>
      <c r="H305" s="10" t="n">
        <v>45666.7477832176</v>
      </c>
      <c r="I305" s="7" t="n">
        <v>4200</v>
      </c>
      <c r="J305" s="0" t="n">
        <f aca="false">IF(AND(D305&gt;=DATE(YEAR(D305),3,15),D305&lt;=DATE(YEAR(D305),6,10)),1,0)</f>
        <v>0</v>
      </c>
      <c r="K305" s="0" t="e">
        <f aca="false">VLOOKUP(D305,Festival_List!$A$2:$B$100,2,0)</f>
        <v>#N/A</v>
      </c>
      <c r="L305" s="0" t="n">
        <f aca="false">ROUND(((F305+G305)-(D305+E305))*24,0)</f>
        <v>23</v>
      </c>
      <c r="M305" s="0" t="n">
        <f aca="false">IF(OR(WEEKDAY(D305)=1,WEEKDAY(D305)=7),1,0)</f>
        <v>0</v>
      </c>
      <c r="N305" s="0" t="str">
        <f aca="false">IF(AND(MONTH(D305)&gt;=3,MONTH(D305)&lt;=6),"Summer",IF(AND(MONTH(D305)&gt;=7,MONTH(D305)&lt;=9),"Monsoon","Winter"))</f>
        <v>Winter</v>
      </c>
      <c r="O305" s="0" t="str">
        <f aca="false">IF(AND(L305&gt;=22,L305&lt;=25,E305&gt;=TIME(18,0,0)),"24H Night", IF(AND(L305&gt;=22,L305&lt;=25,E305&lt;TIME(18,0,0)),"24H Day", IF(AND(L305&gt;=11,L305&lt;=13,E305&gt;=TIME(18,0,0)),"12H Night", IF(AND(L305&gt;=11,L305&lt;=13,E305&lt;TIME(18,0,0)),"12H Day", IF(AND(L305&lt;10,E305&gt;=TIME(18,0,0)),"Couple Night", "Couple Day")))))</f>
        <v>24H Night</v>
      </c>
      <c r="P305" s="0" t="n">
        <f aca="false">WEEKDAY(D305,2)</f>
        <v>3</v>
      </c>
      <c r="Q305" s="0" t="n">
        <f aca="false">MONTH(D305)</f>
        <v>1</v>
      </c>
      <c r="R305" s="0" t="str">
        <f aca="false">"Q"&amp;ROUNDUP(MONTH(D305)/3,0)</f>
        <v>Q1</v>
      </c>
    </row>
    <row r="306" customFormat="false" ht="141" hidden="false" customHeight="false" outlineLevel="0" collapsed="false">
      <c r="A306" s="7" t="s">
        <v>894</v>
      </c>
      <c r="B306" s="7" t="s">
        <v>191</v>
      </c>
      <c r="C306" s="13" t="s">
        <v>895</v>
      </c>
      <c r="D306" s="11" t="n">
        <v>45667</v>
      </c>
      <c r="E306" s="12" t="n">
        <v>0.375</v>
      </c>
      <c r="F306" s="11" t="n">
        <v>45667</v>
      </c>
      <c r="G306" s="12" t="n">
        <v>0.75</v>
      </c>
      <c r="H306" s="10" t="n">
        <v>45664.6040200232</v>
      </c>
      <c r="I306" s="7" t="n">
        <v>2000</v>
      </c>
      <c r="J306" s="0" t="n">
        <f aca="false">IF(AND(D306&gt;=DATE(YEAR(D306),3,15),D306&lt;=DATE(YEAR(D306),6,10)),1,0)</f>
        <v>0</v>
      </c>
      <c r="K306" s="0" t="e">
        <f aca="false">VLOOKUP(D306,Festival_List!$A$2:$B$100,2,0)</f>
        <v>#N/A</v>
      </c>
      <c r="L306" s="0" t="n">
        <f aca="false">ROUND(((F306+G306)-(D306+E306))*24,0)</f>
        <v>9</v>
      </c>
      <c r="M306" s="0" t="n">
        <f aca="false">IF(OR(WEEKDAY(D306)=1,WEEKDAY(D306)=7),1,0)</f>
        <v>0</v>
      </c>
      <c r="N306" s="0" t="str">
        <f aca="false">IF(AND(MONTH(D306)&gt;=3,MONTH(D306)&lt;=6),"Summer",IF(AND(MONTH(D306)&gt;=7,MONTH(D306)&lt;=9),"Monsoon","Winter"))</f>
        <v>Winter</v>
      </c>
      <c r="O306" s="0" t="str">
        <f aca="false">IF(AND(L306&gt;=22,L306&lt;=25,E306&gt;=TIME(18,0,0)),"24H Night", IF(AND(L306&gt;=22,L306&lt;=25,E306&lt;TIME(18,0,0)),"24H Day", IF(AND(L306&gt;=11,L306&lt;=13,E306&gt;=TIME(18,0,0)),"12H Night", IF(AND(L306&gt;=11,L306&lt;=13,E306&lt;TIME(18,0,0)),"12H Day", IF(AND(L306&lt;10,E306&gt;=TIME(18,0,0)),"Couple Night", "Couple Day")))))</f>
        <v>Couple Day</v>
      </c>
      <c r="P306" s="0" t="n">
        <f aca="false">WEEKDAY(D306,2)</f>
        <v>5</v>
      </c>
      <c r="Q306" s="0" t="n">
        <f aca="false">MONTH(D306)</f>
        <v>1</v>
      </c>
      <c r="R306" s="0" t="str">
        <f aca="false">"Q"&amp;ROUNDUP(MONTH(D306)/3,0)</f>
        <v>Q1</v>
      </c>
    </row>
    <row r="307" customFormat="false" ht="141" hidden="false" customHeight="false" outlineLevel="0" collapsed="false">
      <c r="A307" s="7" t="s">
        <v>896</v>
      </c>
      <c r="B307" s="7" t="s">
        <v>539</v>
      </c>
      <c r="C307" s="13" t="s">
        <v>897</v>
      </c>
      <c r="D307" s="11" t="n">
        <v>45668</v>
      </c>
      <c r="E307" s="12" t="n">
        <v>0.375</v>
      </c>
      <c r="F307" s="11" t="n">
        <v>45668</v>
      </c>
      <c r="G307" s="12" t="n">
        <v>0.75</v>
      </c>
      <c r="H307" s="10" t="n">
        <v>45664.4127581019</v>
      </c>
      <c r="I307" s="7" t="n">
        <v>2000</v>
      </c>
      <c r="J307" s="0" t="n">
        <f aca="false">IF(AND(D307&gt;=DATE(YEAR(D307),3,15),D307&lt;=DATE(YEAR(D307),6,10)),1,0)</f>
        <v>0</v>
      </c>
      <c r="K307" s="0" t="e">
        <f aca="false">VLOOKUP(D307,Festival_List!$A$2:$B$100,2,0)</f>
        <v>#N/A</v>
      </c>
      <c r="L307" s="0" t="n">
        <f aca="false">ROUND(((F307+G307)-(D307+E307))*24,0)</f>
        <v>9</v>
      </c>
      <c r="M307" s="0" t="n">
        <f aca="false">IF(OR(WEEKDAY(D307)=1,WEEKDAY(D307)=7),1,0)</f>
        <v>1</v>
      </c>
      <c r="N307" s="0" t="str">
        <f aca="false">IF(AND(MONTH(D307)&gt;=3,MONTH(D307)&lt;=6),"Summer",IF(AND(MONTH(D307)&gt;=7,MONTH(D307)&lt;=9),"Monsoon","Winter"))</f>
        <v>Winter</v>
      </c>
      <c r="O307" s="0" t="str">
        <f aca="false">IF(AND(L307&gt;=22,L307&lt;=25,E307&gt;=TIME(18,0,0)),"24H Night", IF(AND(L307&gt;=22,L307&lt;=25,E307&lt;TIME(18,0,0)),"24H Day", IF(AND(L307&gt;=11,L307&lt;=13,E307&gt;=TIME(18,0,0)),"12H Night", IF(AND(L307&gt;=11,L307&lt;=13,E307&lt;TIME(18,0,0)),"12H Day", IF(AND(L307&lt;10,E307&gt;=TIME(18,0,0)),"Couple Night", "Couple Day")))))</f>
        <v>Couple Day</v>
      </c>
      <c r="P307" s="0" t="n">
        <f aca="false">WEEKDAY(D307,2)</f>
        <v>6</v>
      </c>
      <c r="Q307" s="0" t="n">
        <f aca="false">MONTH(D307)</f>
        <v>1</v>
      </c>
      <c r="R307" s="0" t="str">
        <f aca="false">"Q"&amp;ROUNDUP(MONTH(D307)/3,0)</f>
        <v>Q1</v>
      </c>
    </row>
    <row r="308" customFormat="false" ht="141" hidden="false" customHeight="false" outlineLevel="0" collapsed="false">
      <c r="A308" s="7" t="s">
        <v>898</v>
      </c>
      <c r="B308" s="7" t="s">
        <v>563</v>
      </c>
      <c r="C308" s="13" t="s">
        <v>899</v>
      </c>
      <c r="D308" s="11" t="n">
        <v>45668</v>
      </c>
      <c r="E308" s="12" t="n">
        <v>0.791666666700625</v>
      </c>
      <c r="F308" s="11" t="n">
        <v>45669</v>
      </c>
      <c r="G308" s="12" t="n">
        <v>0.75</v>
      </c>
      <c r="H308" s="10" t="n">
        <v>45668.55671875</v>
      </c>
      <c r="I308" s="7" t="n">
        <v>5000</v>
      </c>
      <c r="J308" s="0" t="n">
        <f aca="false">IF(AND(D308&gt;=DATE(YEAR(D308),3,15),D308&lt;=DATE(YEAR(D308),6,10)),1,0)</f>
        <v>0</v>
      </c>
      <c r="K308" s="0" t="e">
        <f aca="false">VLOOKUP(D308,Festival_List!$A$2:$B$100,2,0)</f>
        <v>#N/A</v>
      </c>
      <c r="L308" s="0" t="n">
        <f aca="false">ROUND(((F308+G308)-(D308+E308))*24,0)</f>
        <v>23</v>
      </c>
      <c r="M308" s="0" t="n">
        <f aca="false">IF(OR(WEEKDAY(D308)=1,WEEKDAY(D308)=7),1,0)</f>
        <v>1</v>
      </c>
      <c r="N308" s="0" t="str">
        <f aca="false">IF(AND(MONTH(D308)&gt;=3,MONTH(D308)&lt;=6),"Summer",IF(AND(MONTH(D308)&gt;=7,MONTH(D308)&lt;=9),"Monsoon","Winter"))</f>
        <v>Winter</v>
      </c>
      <c r="O308" s="0" t="str">
        <f aca="false">IF(AND(L308&gt;=22,L308&lt;=25,E308&gt;=TIME(18,0,0)),"24H Night", IF(AND(L308&gt;=22,L308&lt;=25,E308&lt;TIME(18,0,0)),"24H Day", IF(AND(L308&gt;=11,L308&lt;=13,E308&gt;=TIME(18,0,0)),"12H Night", IF(AND(L308&gt;=11,L308&lt;=13,E308&lt;TIME(18,0,0)),"12H Day", IF(AND(L308&lt;10,E308&gt;=TIME(18,0,0)),"Couple Night", "Couple Day")))))</f>
        <v>24H Night</v>
      </c>
      <c r="P308" s="0" t="n">
        <f aca="false">WEEKDAY(D308,2)</f>
        <v>6</v>
      </c>
      <c r="Q308" s="0" t="n">
        <f aca="false">MONTH(D308)</f>
        <v>1</v>
      </c>
      <c r="R308" s="0" t="str">
        <f aca="false">"Q"&amp;ROUNDUP(MONTH(D308)/3,0)</f>
        <v>Q1</v>
      </c>
    </row>
    <row r="309" customFormat="false" ht="141" hidden="false" customHeight="false" outlineLevel="0" collapsed="false">
      <c r="A309" s="7" t="s">
        <v>900</v>
      </c>
      <c r="B309" s="7" t="s">
        <v>668</v>
      </c>
      <c r="C309" s="13" t="s">
        <v>901</v>
      </c>
      <c r="D309" s="11" t="n">
        <v>45669</v>
      </c>
      <c r="E309" s="12" t="n">
        <v>0.791666666700625</v>
      </c>
      <c r="F309" s="11" t="n">
        <v>45670</v>
      </c>
      <c r="G309" s="12" t="n">
        <v>0.75</v>
      </c>
      <c r="H309" s="10" t="n">
        <v>45668.7827177083</v>
      </c>
      <c r="I309" s="7" t="n">
        <v>4000</v>
      </c>
      <c r="J309" s="0" t="n">
        <f aca="false">IF(AND(D309&gt;=DATE(YEAR(D309),3,15),D309&lt;=DATE(YEAR(D309),6,10)),1,0)</f>
        <v>0</v>
      </c>
      <c r="K309" s="0" t="e">
        <f aca="false">VLOOKUP(D309,Festival_List!$A$2:$B$100,2,0)</f>
        <v>#N/A</v>
      </c>
      <c r="L309" s="0" t="n">
        <f aca="false">ROUND(((F309+G309)-(D309+E309))*24,0)</f>
        <v>23</v>
      </c>
      <c r="M309" s="0" t="n">
        <f aca="false">IF(OR(WEEKDAY(D309)=1,WEEKDAY(D309)=7),1,0)</f>
        <v>1</v>
      </c>
      <c r="N309" s="0" t="str">
        <f aca="false">IF(AND(MONTH(D309)&gt;=3,MONTH(D309)&lt;=6),"Summer",IF(AND(MONTH(D309)&gt;=7,MONTH(D309)&lt;=9),"Monsoon","Winter"))</f>
        <v>Winter</v>
      </c>
      <c r="O309" s="0" t="str">
        <f aca="false">IF(AND(L309&gt;=22,L309&lt;=25,E309&gt;=TIME(18,0,0)),"24H Night", IF(AND(L309&gt;=22,L309&lt;=25,E309&lt;TIME(18,0,0)),"24H Day", IF(AND(L309&gt;=11,L309&lt;=13,E309&gt;=TIME(18,0,0)),"12H Night", IF(AND(L309&gt;=11,L309&lt;=13,E309&lt;TIME(18,0,0)),"12H Day", IF(AND(L309&lt;10,E309&gt;=TIME(18,0,0)),"Couple Night", "Couple Day")))))</f>
        <v>24H Night</v>
      </c>
      <c r="P309" s="0" t="n">
        <f aca="false">WEEKDAY(D309,2)</f>
        <v>7</v>
      </c>
      <c r="Q309" s="0" t="n">
        <f aca="false">MONTH(D309)</f>
        <v>1</v>
      </c>
      <c r="R309" s="0" t="str">
        <f aca="false">"Q"&amp;ROUNDUP(MONTH(D309)/3,0)</f>
        <v>Q1</v>
      </c>
    </row>
    <row r="310" customFormat="false" ht="153.7" hidden="false" customHeight="false" outlineLevel="0" collapsed="false">
      <c r="A310" s="7" t="s">
        <v>902</v>
      </c>
      <c r="B310" s="7" t="s">
        <v>484</v>
      </c>
      <c r="C310" s="13" t="s">
        <v>903</v>
      </c>
      <c r="D310" s="11" t="n">
        <v>45670</v>
      </c>
      <c r="E310" s="12" t="n">
        <v>0.791666666700625</v>
      </c>
      <c r="F310" s="11" t="n">
        <v>45671</v>
      </c>
      <c r="G310" s="12" t="n">
        <v>0.75</v>
      </c>
      <c r="H310" s="10" t="n">
        <v>45665.9316283565</v>
      </c>
      <c r="I310" s="7" t="n">
        <v>8000</v>
      </c>
      <c r="J310" s="0" t="n">
        <f aca="false">IF(AND(D310&gt;=DATE(YEAR(D310),3,15),D310&lt;=DATE(YEAR(D310),6,10)),1,0)</f>
        <v>0</v>
      </c>
      <c r="K310" s="0" t="e">
        <f aca="false">VLOOKUP(D310,Festival_List!$A$2:$B$100,2,0)</f>
        <v>#N/A</v>
      </c>
      <c r="L310" s="0" t="n">
        <f aca="false">ROUND(((F310+G310)-(D310+E310))*24,0)</f>
        <v>23</v>
      </c>
      <c r="M310" s="0" t="n">
        <f aca="false">IF(OR(WEEKDAY(D310)=1,WEEKDAY(D310)=7),1,0)</f>
        <v>0</v>
      </c>
      <c r="N310" s="0" t="str">
        <f aca="false">IF(AND(MONTH(D310)&gt;=3,MONTH(D310)&lt;=6),"Summer",IF(AND(MONTH(D310)&gt;=7,MONTH(D310)&lt;=9),"Monsoon","Winter"))</f>
        <v>Winter</v>
      </c>
      <c r="O310" s="0" t="str">
        <f aca="false">IF(AND(L310&gt;=22,L310&lt;=25,E310&gt;=TIME(18,0,0)),"24H Night", IF(AND(L310&gt;=22,L310&lt;=25,E310&lt;TIME(18,0,0)),"24H Day", IF(AND(L310&gt;=11,L310&lt;=13,E310&gt;=TIME(18,0,0)),"12H Night", IF(AND(L310&gt;=11,L310&lt;=13,E310&lt;TIME(18,0,0)),"12H Day", IF(AND(L310&lt;10,E310&gt;=TIME(18,0,0)),"Couple Night", "Couple Day")))))</f>
        <v>24H Night</v>
      </c>
      <c r="P310" s="0" t="n">
        <f aca="false">WEEKDAY(D310,2)</f>
        <v>1</v>
      </c>
      <c r="Q310" s="0" t="n">
        <f aca="false">MONTH(D310)</f>
        <v>1</v>
      </c>
      <c r="R310" s="0" t="str">
        <f aca="false">"Q"&amp;ROUNDUP(MONTH(D310)/3,0)</f>
        <v>Q1</v>
      </c>
    </row>
    <row r="311" customFormat="false" ht="141" hidden="false" customHeight="false" outlineLevel="0" collapsed="false">
      <c r="A311" s="7" t="s">
        <v>904</v>
      </c>
      <c r="B311" s="7" t="s">
        <v>905</v>
      </c>
      <c r="C311" s="13" t="s">
        <v>906</v>
      </c>
      <c r="D311" s="11" t="n">
        <v>45672</v>
      </c>
      <c r="E311" s="12" t="n">
        <v>0.833333333299375</v>
      </c>
      <c r="F311" s="11" t="n">
        <v>45673</v>
      </c>
      <c r="G311" s="12" t="n">
        <v>0.75</v>
      </c>
      <c r="H311" s="10" t="n">
        <v>46041.9751940972</v>
      </c>
      <c r="I311" s="7" t="n">
        <v>4000</v>
      </c>
      <c r="J311" s="0" t="n">
        <f aca="false">IF(AND(D311&gt;=DATE(YEAR(D311),3,15),D311&lt;=DATE(YEAR(D311),6,10)),1,0)</f>
        <v>0</v>
      </c>
      <c r="K311" s="0" t="e">
        <f aca="false">VLOOKUP(D311,Festival_List!$A$2:$B$100,2,0)</f>
        <v>#N/A</v>
      </c>
      <c r="L311" s="0" t="n">
        <f aca="false">ROUND(((F311+G311)-(D311+E311))*24,0)</f>
        <v>22</v>
      </c>
      <c r="M311" s="0" t="n">
        <f aca="false">IF(OR(WEEKDAY(D311)=1,WEEKDAY(D311)=7),1,0)</f>
        <v>0</v>
      </c>
      <c r="N311" s="0" t="str">
        <f aca="false">IF(AND(MONTH(D311)&gt;=3,MONTH(D311)&lt;=6),"Summer",IF(AND(MONTH(D311)&gt;=7,MONTH(D311)&lt;=9),"Monsoon","Winter"))</f>
        <v>Winter</v>
      </c>
      <c r="O311" s="0" t="str">
        <f aca="false">IF(AND(L311&gt;=22,L311&lt;=25,E311&gt;=TIME(18,0,0)),"24H Night", IF(AND(L311&gt;=22,L311&lt;=25,E311&lt;TIME(18,0,0)),"24H Day", IF(AND(L311&gt;=11,L311&lt;=13,E311&gt;=TIME(18,0,0)),"12H Night", IF(AND(L311&gt;=11,L311&lt;=13,E311&lt;TIME(18,0,0)),"12H Day", IF(AND(L311&lt;10,E311&gt;=TIME(18,0,0)),"Couple Night", "Couple Day")))))</f>
        <v>24H Night</v>
      </c>
      <c r="P311" s="0" t="n">
        <f aca="false">WEEKDAY(D311,2)</f>
        <v>3</v>
      </c>
      <c r="Q311" s="0" t="n">
        <f aca="false">MONTH(D311)</f>
        <v>1</v>
      </c>
      <c r="R311" s="0" t="str">
        <f aca="false">"Q"&amp;ROUNDUP(MONTH(D311)/3,0)</f>
        <v>Q1</v>
      </c>
    </row>
    <row r="312" customFormat="false" ht="13.8" hidden="false" customHeight="false" outlineLevel="0" collapsed="false">
      <c r="A312" s="7" t="s">
        <v>907</v>
      </c>
      <c r="B312" s="7" t="s">
        <v>394</v>
      </c>
      <c r="C312" s="7" t="s">
        <v>908</v>
      </c>
      <c r="D312" s="11" t="n">
        <v>45674</v>
      </c>
      <c r="E312" s="12" t="n">
        <v>0.375</v>
      </c>
      <c r="F312" s="11" t="n">
        <v>45674</v>
      </c>
      <c r="G312" s="12" t="n">
        <v>0.75</v>
      </c>
      <c r="H312" s="10" t="n">
        <v>45725.481275463</v>
      </c>
      <c r="I312" s="7" t="n">
        <v>1500</v>
      </c>
      <c r="J312" s="0" t="n">
        <f aca="false">IF(AND(D312&gt;=DATE(YEAR(D312),3,15),D312&lt;=DATE(YEAR(D312),6,10)),1,0)</f>
        <v>0</v>
      </c>
      <c r="K312" s="0" t="e">
        <f aca="false">VLOOKUP(D312,Festival_List!$A$2:$B$100,2,0)</f>
        <v>#N/A</v>
      </c>
      <c r="L312" s="0" t="n">
        <f aca="false">ROUND(((F312+G312)-(D312+E312))*24,0)</f>
        <v>9</v>
      </c>
      <c r="M312" s="0" t="n">
        <f aca="false">IF(OR(WEEKDAY(D312)=1,WEEKDAY(D312)=7),1,0)</f>
        <v>0</v>
      </c>
      <c r="N312" s="0" t="str">
        <f aca="false">IF(AND(MONTH(D312)&gt;=3,MONTH(D312)&lt;=6),"Summer",IF(AND(MONTH(D312)&gt;=7,MONTH(D312)&lt;=9),"Monsoon","Winter"))</f>
        <v>Winter</v>
      </c>
      <c r="O312" s="0" t="str">
        <f aca="false">IF(AND(L312&gt;=22,L312&lt;=25,E312&gt;=TIME(18,0,0)),"24H Night", IF(AND(L312&gt;=22,L312&lt;=25,E312&lt;TIME(18,0,0)),"24H Day", IF(AND(L312&gt;=11,L312&lt;=13,E312&gt;=TIME(18,0,0)),"12H Night", IF(AND(L312&gt;=11,L312&lt;=13,E312&lt;TIME(18,0,0)),"12H Day", IF(AND(L312&lt;10,E312&gt;=TIME(18,0,0)),"Couple Night", "Couple Day")))))</f>
        <v>Couple Day</v>
      </c>
      <c r="P312" s="0" t="n">
        <f aca="false">WEEKDAY(D312,2)</f>
        <v>5</v>
      </c>
      <c r="Q312" s="0" t="n">
        <f aca="false">MONTH(D312)</f>
        <v>1</v>
      </c>
      <c r="R312" s="0" t="str">
        <f aca="false">"Q"&amp;ROUNDUP(MONTH(D312)/3,0)</f>
        <v>Q1</v>
      </c>
    </row>
    <row r="313" customFormat="false" ht="153.7" hidden="false" customHeight="false" outlineLevel="0" collapsed="false">
      <c r="A313" s="7" t="s">
        <v>909</v>
      </c>
      <c r="B313" s="7" t="s">
        <v>910</v>
      </c>
      <c r="C313" s="13" t="s">
        <v>911</v>
      </c>
      <c r="D313" s="11" t="n">
        <v>45675</v>
      </c>
      <c r="E313" s="12" t="n">
        <v>0.791666666700625</v>
      </c>
      <c r="F313" s="11" t="n">
        <v>45676</v>
      </c>
      <c r="G313" s="12" t="n">
        <v>0.75</v>
      </c>
      <c r="H313" s="10" t="n">
        <v>45671.4893835648</v>
      </c>
      <c r="I313" s="7" t="n">
        <v>5000</v>
      </c>
      <c r="J313" s="0" t="n">
        <f aca="false">IF(AND(D313&gt;=DATE(YEAR(D313),3,15),D313&lt;=DATE(YEAR(D313),6,10)),1,0)</f>
        <v>0</v>
      </c>
      <c r="K313" s="0" t="e">
        <f aca="false">VLOOKUP(D313,Festival_List!$A$2:$B$100,2,0)</f>
        <v>#N/A</v>
      </c>
      <c r="L313" s="0" t="n">
        <f aca="false">ROUND(((F313+G313)-(D313+E313))*24,0)</f>
        <v>23</v>
      </c>
      <c r="M313" s="0" t="n">
        <f aca="false">IF(OR(WEEKDAY(D313)=1,WEEKDAY(D313)=7),1,0)</f>
        <v>1</v>
      </c>
      <c r="N313" s="0" t="str">
        <f aca="false">IF(AND(MONTH(D313)&gt;=3,MONTH(D313)&lt;=6),"Summer",IF(AND(MONTH(D313)&gt;=7,MONTH(D313)&lt;=9),"Monsoon","Winter"))</f>
        <v>Winter</v>
      </c>
      <c r="O313" s="0" t="str">
        <f aca="false">IF(AND(L313&gt;=22,L313&lt;=25,E313&gt;=TIME(18,0,0)),"24H Night", IF(AND(L313&gt;=22,L313&lt;=25,E313&lt;TIME(18,0,0)),"24H Day", IF(AND(L313&gt;=11,L313&lt;=13,E313&gt;=TIME(18,0,0)),"12H Night", IF(AND(L313&gt;=11,L313&lt;=13,E313&lt;TIME(18,0,0)),"12H Day", IF(AND(L313&lt;10,E313&gt;=TIME(18,0,0)),"Couple Night", "Couple Day")))))</f>
        <v>24H Night</v>
      </c>
      <c r="P313" s="0" t="n">
        <f aca="false">WEEKDAY(D313,2)</f>
        <v>6</v>
      </c>
      <c r="Q313" s="0" t="n">
        <f aca="false">MONTH(D313)</f>
        <v>1</v>
      </c>
      <c r="R313" s="0" t="str">
        <f aca="false">"Q"&amp;ROUNDUP(MONTH(D313)/3,0)</f>
        <v>Q1</v>
      </c>
    </row>
    <row r="314" customFormat="false" ht="90.25" hidden="false" customHeight="false" outlineLevel="0" collapsed="false">
      <c r="A314" s="7" t="s">
        <v>912</v>
      </c>
      <c r="B314" s="7" t="s">
        <v>913</v>
      </c>
      <c r="C314" s="13" t="s">
        <v>914</v>
      </c>
      <c r="D314" s="11" t="n">
        <v>45681</v>
      </c>
      <c r="E314" s="12" t="n">
        <v>0.625</v>
      </c>
      <c r="F314" s="11" t="n">
        <v>45681</v>
      </c>
      <c r="G314" s="12" t="n">
        <v>0.791666666700625</v>
      </c>
      <c r="H314" s="10" t="n">
        <v>45681.6577116898</v>
      </c>
      <c r="I314" s="7" t="n">
        <v>1500</v>
      </c>
      <c r="J314" s="0" t="n">
        <f aca="false">IF(AND(D314&gt;=DATE(YEAR(D314),3,15),D314&lt;=DATE(YEAR(D314),6,10)),1,0)</f>
        <v>0</v>
      </c>
      <c r="K314" s="0" t="e">
        <f aca="false">VLOOKUP(D314,Festival_List!$A$2:$B$100,2,0)</f>
        <v>#N/A</v>
      </c>
      <c r="L314" s="0" t="n">
        <f aca="false">ROUND(((F314+G314)-(D314+E314))*24,0)</f>
        <v>4</v>
      </c>
      <c r="M314" s="0" t="n">
        <f aca="false">IF(OR(WEEKDAY(D314)=1,WEEKDAY(D314)=7),1,0)</f>
        <v>0</v>
      </c>
      <c r="N314" s="0" t="str">
        <f aca="false">IF(AND(MONTH(D314)&gt;=3,MONTH(D314)&lt;=6),"Summer",IF(AND(MONTH(D314)&gt;=7,MONTH(D314)&lt;=9),"Monsoon","Winter"))</f>
        <v>Winter</v>
      </c>
      <c r="O314" s="0" t="str">
        <f aca="false">IF(AND(L314&gt;=22,L314&lt;=25,E314&gt;=TIME(18,0,0)),"24H Night", IF(AND(L314&gt;=22,L314&lt;=25,E314&lt;TIME(18,0,0)),"24H Day", IF(AND(L314&gt;=11,L314&lt;=13,E314&gt;=TIME(18,0,0)),"12H Night", IF(AND(L314&gt;=11,L314&lt;=13,E314&lt;TIME(18,0,0)),"12H Day", IF(AND(L314&lt;10,E314&gt;=TIME(18,0,0)),"Couple Night", "Couple Day")))))</f>
        <v>Couple Day</v>
      </c>
      <c r="P314" s="0" t="n">
        <f aca="false">WEEKDAY(D314,2)</f>
        <v>5</v>
      </c>
      <c r="Q314" s="0" t="n">
        <f aca="false">MONTH(D314)</f>
        <v>1</v>
      </c>
      <c r="R314" s="0" t="str">
        <f aca="false">"Q"&amp;ROUNDUP(MONTH(D314)/3,0)</f>
        <v>Q1</v>
      </c>
    </row>
    <row r="315" customFormat="false" ht="153.7" hidden="false" customHeight="false" outlineLevel="0" collapsed="false">
      <c r="A315" s="7" t="s">
        <v>915</v>
      </c>
      <c r="B315" s="7" t="s">
        <v>417</v>
      </c>
      <c r="C315" s="13" t="s">
        <v>916</v>
      </c>
      <c r="D315" s="11" t="n">
        <v>45681</v>
      </c>
      <c r="E315" s="12" t="n">
        <v>0.916666666700625</v>
      </c>
      <c r="F315" s="11" t="n">
        <v>45682</v>
      </c>
      <c r="G315" s="12" t="n">
        <v>0.416666666700625</v>
      </c>
      <c r="H315" s="10" t="n">
        <v>46061.0204680556</v>
      </c>
      <c r="I315" s="7" t="n">
        <v>2500</v>
      </c>
      <c r="J315" s="0" t="n">
        <f aca="false">IF(AND(D315&gt;=DATE(YEAR(D315),3,15),D315&lt;=DATE(YEAR(D315),6,10)),1,0)</f>
        <v>0</v>
      </c>
      <c r="K315" s="0" t="e">
        <f aca="false">VLOOKUP(D315,Festival_List!$A$2:$B$100,2,0)</f>
        <v>#N/A</v>
      </c>
      <c r="L315" s="0" t="n">
        <f aca="false">ROUND(((F315+G315)-(D315+E315))*24,0)</f>
        <v>12</v>
      </c>
      <c r="M315" s="0" t="n">
        <f aca="false">IF(OR(WEEKDAY(D315)=1,WEEKDAY(D315)=7),1,0)</f>
        <v>0</v>
      </c>
      <c r="N315" s="0" t="str">
        <f aca="false">IF(AND(MONTH(D315)&gt;=3,MONTH(D315)&lt;=6),"Summer",IF(AND(MONTH(D315)&gt;=7,MONTH(D315)&lt;=9),"Monsoon","Winter"))</f>
        <v>Winter</v>
      </c>
      <c r="O315" s="0" t="str">
        <f aca="false">IF(AND(L315&gt;=22,L315&lt;=25,E315&gt;=TIME(18,0,0)),"24H Night", IF(AND(L315&gt;=22,L315&lt;=25,E315&lt;TIME(18,0,0)),"24H Day", IF(AND(L315&gt;=11,L315&lt;=13,E315&gt;=TIME(18,0,0)),"12H Night", IF(AND(L315&gt;=11,L315&lt;=13,E315&lt;TIME(18,0,0)),"12H Day", IF(AND(L315&lt;10,E315&gt;=TIME(18,0,0)),"Couple Night", "Couple Day")))))</f>
        <v>12H Night</v>
      </c>
      <c r="P315" s="0" t="n">
        <f aca="false">WEEKDAY(D315,2)</f>
        <v>5</v>
      </c>
      <c r="Q315" s="0" t="n">
        <f aca="false">MONTH(D315)</f>
        <v>1</v>
      </c>
      <c r="R315" s="0" t="str">
        <f aca="false">"Q"&amp;ROUNDUP(MONTH(D315)/3,0)</f>
        <v>Q1</v>
      </c>
    </row>
    <row r="316" customFormat="false" ht="141" hidden="false" customHeight="false" outlineLevel="0" collapsed="false">
      <c r="A316" s="7" t="s">
        <v>917</v>
      </c>
      <c r="B316" s="7" t="s">
        <v>769</v>
      </c>
      <c r="C316" s="13" t="s">
        <v>918</v>
      </c>
      <c r="D316" s="11" t="n">
        <v>45682</v>
      </c>
      <c r="E316" s="12" t="n">
        <v>0.4375</v>
      </c>
      <c r="F316" s="11" t="n">
        <v>45682</v>
      </c>
      <c r="G316" s="12" t="n">
        <v>0.75</v>
      </c>
      <c r="H316" s="10" t="n">
        <v>45682.4097087963</v>
      </c>
      <c r="I316" s="7" t="n">
        <v>2000</v>
      </c>
      <c r="J316" s="0" t="n">
        <f aca="false">IF(AND(D316&gt;=DATE(YEAR(D316),3,15),D316&lt;=DATE(YEAR(D316),6,10)),1,0)</f>
        <v>0</v>
      </c>
      <c r="K316" s="0" t="e">
        <f aca="false">VLOOKUP(D316,Festival_List!$A$2:$B$100,2,0)</f>
        <v>#N/A</v>
      </c>
      <c r="L316" s="0" t="n">
        <f aca="false">ROUND(((F316+G316)-(D316+E316))*24,0)</f>
        <v>8</v>
      </c>
      <c r="M316" s="0" t="n">
        <f aca="false">IF(OR(WEEKDAY(D316)=1,WEEKDAY(D316)=7),1,0)</f>
        <v>1</v>
      </c>
      <c r="N316" s="0" t="str">
        <f aca="false">IF(AND(MONTH(D316)&gt;=3,MONTH(D316)&lt;=6),"Summer",IF(AND(MONTH(D316)&gt;=7,MONTH(D316)&lt;=9),"Monsoon","Winter"))</f>
        <v>Winter</v>
      </c>
      <c r="O316" s="0" t="str">
        <f aca="false">IF(AND(L316&gt;=22,L316&lt;=25,E316&gt;=TIME(18,0,0)),"24H Night", IF(AND(L316&gt;=22,L316&lt;=25,E316&lt;TIME(18,0,0)),"24H Day", IF(AND(L316&gt;=11,L316&lt;=13,E316&gt;=TIME(18,0,0)),"12H Night", IF(AND(L316&gt;=11,L316&lt;=13,E316&lt;TIME(18,0,0)),"12H Day", IF(AND(L316&lt;10,E316&gt;=TIME(18,0,0)),"Couple Night", "Couple Day")))))</f>
        <v>Couple Day</v>
      </c>
      <c r="P316" s="0" t="n">
        <f aca="false">WEEKDAY(D316,2)</f>
        <v>6</v>
      </c>
      <c r="Q316" s="0" t="n">
        <f aca="false">MONTH(D316)</f>
        <v>1</v>
      </c>
      <c r="R316" s="0" t="str">
        <f aca="false">"Q"&amp;ROUNDUP(MONTH(D316)/3,0)</f>
        <v>Q1</v>
      </c>
    </row>
    <row r="317" customFormat="false" ht="153.7" hidden="false" customHeight="false" outlineLevel="0" collapsed="false">
      <c r="A317" s="7" t="s">
        <v>919</v>
      </c>
      <c r="B317" s="7" t="s">
        <v>920</v>
      </c>
      <c r="C317" s="13" t="s">
        <v>921</v>
      </c>
      <c r="D317" s="11" t="n">
        <v>45682</v>
      </c>
      <c r="E317" s="12" t="n">
        <v>0.791666666700625</v>
      </c>
      <c r="F317" s="11" t="n">
        <v>45683</v>
      </c>
      <c r="G317" s="12" t="n">
        <v>0.75</v>
      </c>
      <c r="H317" s="10" t="n">
        <v>46061.0204680556</v>
      </c>
      <c r="I317" s="7" t="n">
        <v>4000</v>
      </c>
      <c r="J317" s="0" t="n">
        <f aca="false">IF(AND(D317&gt;=DATE(YEAR(D317),3,15),D317&lt;=DATE(YEAR(D317),6,10)),1,0)</f>
        <v>0</v>
      </c>
      <c r="K317" s="0" t="e">
        <f aca="false">VLOOKUP(D317,Festival_List!$A$2:$B$100,2,0)</f>
        <v>#N/A</v>
      </c>
      <c r="L317" s="0" t="n">
        <f aca="false">ROUND(((F317+G317)-(D317+E317))*24,0)</f>
        <v>23</v>
      </c>
      <c r="M317" s="0" t="n">
        <f aca="false">IF(OR(WEEKDAY(D317)=1,WEEKDAY(D317)=7),1,0)</f>
        <v>1</v>
      </c>
      <c r="N317" s="0" t="str">
        <f aca="false">IF(AND(MONTH(D317)&gt;=3,MONTH(D317)&lt;=6),"Summer",IF(AND(MONTH(D317)&gt;=7,MONTH(D317)&lt;=9),"Monsoon","Winter"))</f>
        <v>Winter</v>
      </c>
      <c r="O317" s="0" t="str">
        <f aca="false">IF(AND(L317&gt;=22,L317&lt;=25,E317&gt;=TIME(18,0,0)),"24H Night", IF(AND(L317&gt;=22,L317&lt;=25,E317&lt;TIME(18,0,0)),"24H Day", IF(AND(L317&gt;=11,L317&lt;=13,E317&gt;=TIME(18,0,0)),"12H Night", IF(AND(L317&gt;=11,L317&lt;=13,E317&lt;TIME(18,0,0)),"12H Day", IF(AND(L317&lt;10,E317&gt;=TIME(18,0,0)),"Couple Night", "Couple Day")))))</f>
        <v>24H Night</v>
      </c>
      <c r="P317" s="0" t="n">
        <f aca="false">WEEKDAY(D317,2)</f>
        <v>6</v>
      </c>
      <c r="Q317" s="0" t="n">
        <f aca="false">MONTH(D317)</f>
        <v>1</v>
      </c>
      <c r="R317" s="0" t="str">
        <f aca="false">"Q"&amp;ROUNDUP(MONTH(D317)/3,0)</f>
        <v>Q1</v>
      </c>
    </row>
    <row r="318" customFormat="false" ht="90.25" hidden="false" customHeight="false" outlineLevel="0" collapsed="false">
      <c r="A318" s="7" t="s">
        <v>922</v>
      </c>
      <c r="B318" s="7" t="s">
        <v>923</v>
      </c>
      <c r="C318" s="13" t="s">
        <v>924</v>
      </c>
      <c r="D318" s="11" t="n">
        <v>45684</v>
      </c>
      <c r="E318" s="12" t="n">
        <v>0.875</v>
      </c>
      <c r="F318" s="11" t="n">
        <v>45685</v>
      </c>
      <c r="G318" s="12" t="n">
        <v>0.354166666700625</v>
      </c>
      <c r="H318" s="10" t="n">
        <v>45684.9085291667</v>
      </c>
      <c r="I318" s="7" t="n">
        <v>2000</v>
      </c>
      <c r="J318" s="0" t="n">
        <f aca="false">IF(AND(D318&gt;=DATE(YEAR(D318),3,15),D318&lt;=DATE(YEAR(D318),6,10)),1,0)</f>
        <v>0</v>
      </c>
      <c r="K318" s="0" t="e">
        <f aca="false">VLOOKUP(D318,Festival_List!$A$2:$B$100,2,0)</f>
        <v>#N/A</v>
      </c>
      <c r="L318" s="0" t="n">
        <f aca="false">ROUND(((F318+G318)-(D318+E318))*24,0)</f>
        <v>12</v>
      </c>
      <c r="M318" s="0" t="n">
        <f aca="false">IF(OR(WEEKDAY(D318)=1,WEEKDAY(D318)=7),1,0)</f>
        <v>0</v>
      </c>
      <c r="N318" s="0" t="str">
        <f aca="false">IF(AND(MONTH(D318)&gt;=3,MONTH(D318)&lt;=6),"Summer",IF(AND(MONTH(D318)&gt;=7,MONTH(D318)&lt;=9),"Monsoon","Winter"))</f>
        <v>Winter</v>
      </c>
      <c r="O318" s="0" t="str">
        <f aca="false">IF(AND(L318&gt;=22,L318&lt;=25,E318&gt;=TIME(18,0,0)),"24H Night", IF(AND(L318&gt;=22,L318&lt;=25,E318&lt;TIME(18,0,0)),"24H Day", IF(AND(L318&gt;=11,L318&lt;=13,E318&gt;=TIME(18,0,0)),"12H Night", IF(AND(L318&gt;=11,L318&lt;=13,E318&lt;TIME(18,0,0)),"12H Day", IF(AND(L318&lt;10,E318&gt;=TIME(18,0,0)),"Couple Night", "Couple Day")))))</f>
        <v>12H Night</v>
      </c>
      <c r="P318" s="0" t="n">
        <f aca="false">WEEKDAY(D318,2)</f>
        <v>1</v>
      </c>
      <c r="Q318" s="0" t="n">
        <f aca="false">MONTH(D318)</f>
        <v>1</v>
      </c>
      <c r="R318" s="0" t="str">
        <f aca="false">"Q"&amp;ROUNDUP(MONTH(D318)/3,0)</f>
        <v>Q1</v>
      </c>
    </row>
    <row r="319" customFormat="false" ht="153.7" hidden="false" customHeight="false" outlineLevel="0" collapsed="false">
      <c r="A319" s="7" t="s">
        <v>925</v>
      </c>
      <c r="B319" s="7" t="s">
        <v>926</v>
      </c>
      <c r="C319" s="13" t="s">
        <v>927</v>
      </c>
      <c r="D319" s="11" t="n">
        <v>45685</v>
      </c>
      <c r="E319" s="12" t="n">
        <v>0.375</v>
      </c>
      <c r="F319" s="11" t="n">
        <v>45685</v>
      </c>
      <c r="G319" s="12" t="n">
        <v>0.75</v>
      </c>
      <c r="H319" s="10" t="n">
        <v>45675.9189165509</v>
      </c>
      <c r="I319" s="7" t="n">
        <v>2000</v>
      </c>
      <c r="J319" s="0" t="n">
        <f aca="false">IF(AND(D319&gt;=DATE(YEAR(D319),3,15),D319&lt;=DATE(YEAR(D319),6,10)),1,0)</f>
        <v>0</v>
      </c>
      <c r="K319" s="0" t="e">
        <f aca="false">VLOOKUP(D319,Festival_List!$A$2:$B$100,2,0)</f>
        <v>#N/A</v>
      </c>
      <c r="L319" s="0" t="n">
        <f aca="false">ROUND(((F319+G319)-(D319+E319))*24,0)</f>
        <v>9</v>
      </c>
      <c r="M319" s="0" t="n">
        <f aca="false">IF(OR(WEEKDAY(D319)=1,WEEKDAY(D319)=7),1,0)</f>
        <v>0</v>
      </c>
      <c r="N319" s="0" t="str">
        <f aca="false">IF(AND(MONTH(D319)&gt;=3,MONTH(D319)&lt;=6),"Summer",IF(AND(MONTH(D319)&gt;=7,MONTH(D319)&lt;=9),"Monsoon","Winter"))</f>
        <v>Winter</v>
      </c>
      <c r="O319" s="0" t="str">
        <f aca="false">IF(AND(L319&gt;=22,L319&lt;=25,E319&gt;=TIME(18,0,0)),"24H Night", IF(AND(L319&gt;=22,L319&lt;=25,E319&lt;TIME(18,0,0)),"24H Day", IF(AND(L319&gt;=11,L319&lt;=13,E319&gt;=TIME(18,0,0)),"12H Night", IF(AND(L319&gt;=11,L319&lt;=13,E319&lt;TIME(18,0,0)),"12H Day", IF(AND(L319&lt;10,E319&gt;=TIME(18,0,0)),"Couple Night", "Couple Day")))))</f>
        <v>Couple Day</v>
      </c>
      <c r="P319" s="0" t="n">
        <f aca="false">WEEKDAY(D319,2)</f>
        <v>2</v>
      </c>
      <c r="Q319" s="0" t="n">
        <f aca="false">MONTH(D319)</f>
        <v>1</v>
      </c>
      <c r="R319" s="0" t="str">
        <f aca="false">"Q"&amp;ROUNDUP(MONTH(D319)/3,0)</f>
        <v>Q1</v>
      </c>
    </row>
    <row r="320" customFormat="false" ht="141" hidden="false" customHeight="false" outlineLevel="0" collapsed="false">
      <c r="A320" s="7" t="s">
        <v>928</v>
      </c>
      <c r="B320" s="7" t="s">
        <v>819</v>
      </c>
      <c r="C320" s="13" t="s">
        <v>929</v>
      </c>
      <c r="D320" s="11" t="n">
        <v>45685</v>
      </c>
      <c r="E320" s="12" t="n">
        <v>0.791666666700625</v>
      </c>
      <c r="F320" s="11" t="n">
        <v>45686</v>
      </c>
      <c r="G320" s="12" t="n">
        <v>0.75</v>
      </c>
      <c r="H320" s="10" t="n">
        <v>46061.0204680556</v>
      </c>
      <c r="I320" s="7" t="n">
        <v>3000</v>
      </c>
      <c r="J320" s="0" t="n">
        <f aca="false">IF(AND(D320&gt;=DATE(YEAR(D320),3,15),D320&lt;=DATE(YEAR(D320),6,10)),1,0)</f>
        <v>0</v>
      </c>
      <c r="K320" s="0" t="e">
        <f aca="false">VLOOKUP(D320,Festival_List!$A$2:$B$100,2,0)</f>
        <v>#N/A</v>
      </c>
      <c r="L320" s="0" t="n">
        <f aca="false">ROUND(((F320+G320)-(D320+E320))*24,0)</f>
        <v>23</v>
      </c>
      <c r="M320" s="0" t="n">
        <f aca="false">IF(OR(WEEKDAY(D320)=1,WEEKDAY(D320)=7),1,0)</f>
        <v>0</v>
      </c>
      <c r="N320" s="0" t="str">
        <f aca="false">IF(AND(MONTH(D320)&gt;=3,MONTH(D320)&lt;=6),"Summer",IF(AND(MONTH(D320)&gt;=7,MONTH(D320)&lt;=9),"Monsoon","Winter"))</f>
        <v>Winter</v>
      </c>
      <c r="O320" s="0" t="str">
        <f aca="false">IF(AND(L320&gt;=22,L320&lt;=25,E320&gt;=TIME(18,0,0)),"24H Night", IF(AND(L320&gt;=22,L320&lt;=25,E320&lt;TIME(18,0,0)),"24H Day", IF(AND(L320&gt;=11,L320&lt;=13,E320&gt;=TIME(18,0,0)),"12H Night", IF(AND(L320&gt;=11,L320&lt;=13,E320&lt;TIME(18,0,0)),"12H Day", IF(AND(L320&lt;10,E320&gt;=TIME(18,0,0)),"Couple Night", "Couple Day")))))</f>
        <v>24H Night</v>
      </c>
      <c r="P320" s="0" t="n">
        <f aca="false">WEEKDAY(D320,2)</f>
        <v>2</v>
      </c>
      <c r="Q320" s="0" t="n">
        <f aca="false">MONTH(D320)</f>
        <v>1</v>
      </c>
      <c r="R320" s="0" t="str">
        <f aca="false">"Q"&amp;ROUNDUP(MONTH(D320)/3,0)</f>
        <v>Q1</v>
      </c>
    </row>
    <row r="321" customFormat="false" ht="153.7" hidden="false" customHeight="false" outlineLevel="0" collapsed="false">
      <c r="A321" s="7" t="s">
        <v>930</v>
      </c>
      <c r="B321" s="7" t="s">
        <v>931</v>
      </c>
      <c r="C321" s="13" t="s">
        <v>932</v>
      </c>
      <c r="D321" s="11" t="n">
        <v>45688</v>
      </c>
      <c r="E321" s="12" t="n">
        <v>0.375</v>
      </c>
      <c r="F321" s="11" t="n">
        <v>45688</v>
      </c>
      <c r="G321" s="12" t="n">
        <v>0.75</v>
      </c>
      <c r="H321" s="10" t="n">
        <v>46061.0204680556</v>
      </c>
      <c r="I321" s="7" t="n">
        <v>2000</v>
      </c>
      <c r="J321" s="0" t="n">
        <f aca="false">IF(AND(D321&gt;=DATE(YEAR(D321),3,15),D321&lt;=DATE(YEAR(D321),6,10)),1,0)</f>
        <v>0</v>
      </c>
      <c r="K321" s="0" t="e">
        <f aca="false">VLOOKUP(D321,Festival_List!$A$2:$B$100,2,0)</f>
        <v>#N/A</v>
      </c>
      <c r="L321" s="0" t="n">
        <f aca="false">ROUND(((F321+G321)-(D321+E321))*24,0)</f>
        <v>9</v>
      </c>
      <c r="M321" s="0" t="n">
        <f aca="false">IF(OR(WEEKDAY(D321)=1,WEEKDAY(D321)=7),1,0)</f>
        <v>0</v>
      </c>
      <c r="N321" s="0" t="str">
        <f aca="false">IF(AND(MONTH(D321)&gt;=3,MONTH(D321)&lt;=6),"Summer",IF(AND(MONTH(D321)&gt;=7,MONTH(D321)&lt;=9),"Monsoon","Winter"))</f>
        <v>Winter</v>
      </c>
      <c r="O321" s="0" t="str">
        <f aca="false">IF(AND(L321&gt;=22,L321&lt;=25,E321&gt;=TIME(18,0,0)),"24H Night", IF(AND(L321&gt;=22,L321&lt;=25,E321&lt;TIME(18,0,0)),"24H Day", IF(AND(L321&gt;=11,L321&lt;=13,E321&gt;=TIME(18,0,0)),"12H Night", IF(AND(L321&gt;=11,L321&lt;=13,E321&lt;TIME(18,0,0)),"12H Day", IF(AND(L321&lt;10,E321&gt;=TIME(18,0,0)),"Couple Night", "Couple Day")))))</f>
        <v>Couple Day</v>
      </c>
      <c r="P321" s="0" t="n">
        <f aca="false">WEEKDAY(D321,2)</f>
        <v>5</v>
      </c>
      <c r="Q321" s="0" t="n">
        <f aca="false">MONTH(D321)</f>
        <v>1</v>
      </c>
      <c r="R321" s="0" t="str">
        <f aca="false">"Q"&amp;ROUNDUP(MONTH(D321)/3,0)</f>
        <v>Q1</v>
      </c>
    </row>
    <row r="322" customFormat="false" ht="141" hidden="false" customHeight="false" outlineLevel="0" collapsed="false">
      <c r="A322" s="7" t="s">
        <v>933</v>
      </c>
      <c r="B322" s="7" t="s">
        <v>934</v>
      </c>
      <c r="C322" s="13" t="s">
        <v>935</v>
      </c>
      <c r="D322" s="11" t="n">
        <v>45688</v>
      </c>
      <c r="E322" s="12" t="n">
        <v>0.791666666700625</v>
      </c>
      <c r="F322" s="11" t="n">
        <v>45689</v>
      </c>
      <c r="G322" s="12" t="n">
        <v>0.75</v>
      </c>
      <c r="H322" s="10" t="n">
        <v>46061.0204680556</v>
      </c>
      <c r="I322" s="7" t="n">
        <v>3800</v>
      </c>
      <c r="J322" s="0" t="n">
        <f aca="false">IF(AND(D322&gt;=DATE(YEAR(D322),3,15),D322&lt;=DATE(YEAR(D322),6,10)),1,0)</f>
        <v>0</v>
      </c>
      <c r="K322" s="0" t="e">
        <f aca="false">VLOOKUP(D322,Festival_List!$A$2:$B$100,2,0)</f>
        <v>#N/A</v>
      </c>
      <c r="L322" s="0" t="n">
        <f aca="false">ROUND(((F322+G322)-(D322+E322))*24,0)</f>
        <v>23</v>
      </c>
      <c r="M322" s="0" t="n">
        <f aca="false">IF(OR(WEEKDAY(D322)=1,WEEKDAY(D322)=7),1,0)</f>
        <v>0</v>
      </c>
      <c r="N322" s="0" t="str">
        <f aca="false">IF(AND(MONTH(D322)&gt;=3,MONTH(D322)&lt;=6),"Summer",IF(AND(MONTH(D322)&gt;=7,MONTH(D322)&lt;=9),"Monsoon","Winter"))</f>
        <v>Winter</v>
      </c>
      <c r="O322" s="0" t="str">
        <f aca="false">IF(AND(L322&gt;=22,L322&lt;=25,E322&gt;=TIME(18,0,0)),"24H Night", IF(AND(L322&gt;=22,L322&lt;=25,E322&lt;TIME(18,0,0)),"24H Day", IF(AND(L322&gt;=11,L322&lt;=13,E322&gt;=TIME(18,0,0)),"12H Night", IF(AND(L322&gt;=11,L322&lt;=13,E322&lt;TIME(18,0,0)),"12H Day", IF(AND(L322&lt;10,E322&gt;=TIME(18,0,0)),"Couple Night", "Couple Day")))))</f>
        <v>24H Night</v>
      </c>
      <c r="P322" s="0" t="n">
        <f aca="false">WEEKDAY(D322,2)</f>
        <v>5</v>
      </c>
      <c r="Q322" s="0" t="n">
        <f aca="false">MONTH(D322)</f>
        <v>1</v>
      </c>
      <c r="R322" s="0" t="str">
        <f aca="false">"Q"&amp;ROUNDUP(MONTH(D322)/3,0)</f>
        <v>Q1</v>
      </c>
    </row>
    <row r="323" customFormat="false" ht="141" hidden="false" customHeight="false" outlineLevel="0" collapsed="false">
      <c r="A323" s="7" t="s">
        <v>936</v>
      </c>
      <c r="B323" s="7" t="s">
        <v>937</v>
      </c>
      <c r="C323" s="13" t="s">
        <v>938</v>
      </c>
      <c r="D323" s="11" t="n">
        <v>45689</v>
      </c>
      <c r="E323" s="12" t="n">
        <v>0.791666666700625</v>
      </c>
      <c r="F323" s="11" t="n">
        <v>45690</v>
      </c>
      <c r="G323" s="12" t="n">
        <v>0.75</v>
      </c>
      <c r="H323" s="10" t="n">
        <v>46061.0204680556</v>
      </c>
      <c r="I323" s="7" t="n">
        <v>5500</v>
      </c>
      <c r="J323" s="0" t="n">
        <f aca="false">IF(AND(D323&gt;=DATE(YEAR(D323),3,15),D323&lt;=DATE(YEAR(D323),6,10)),1,0)</f>
        <v>0</v>
      </c>
      <c r="K323" s="0" t="e">
        <f aca="false">VLOOKUP(D323,Festival_List!$A$2:$B$100,2,0)</f>
        <v>#N/A</v>
      </c>
      <c r="L323" s="0" t="n">
        <f aca="false">ROUND(((F323+G323)-(D323+E323))*24,0)</f>
        <v>23</v>
      </c>
      <c r="M323" s="0" t="n">
        <f aca="false">IF(OR(WEEKDAY(D323)=1,WEEKDAY(D323)=7),1,0)</f>
        <v>1</v>
      </c>
      <c r="N323" s="0" t="str">
        <f aca="false">IF(AND(MONTH(D323)&gt;=3,MONTH(D323)&lt;=6),"Summer",IF(AND(MONTH(D323)&gt;=7,MONTH(D323)&lt;=9),"Monsoon","Winter"))</f>
        <v>Winter</v>
      </c>
      <c r="O323" s="0" t="str">
        <f aca="false">IF(AND(L323&gt;=22,L323&lt;=25,E323&gt;=TIME(18,0,0)),"24H Night", IF(AND(L323&gt;=22,L323&lt;=25,E323&lt;TIME(18,0,0)),"24H Day", IF(AND(L323&gt;=11,L323&lt;=13,E323&gt;=TIME(18,0,0)),"12H Night", IF(AND(L323&gt;=11,L323&lt;=13,E323&lt;TIME(18,0,0)),"12H Day", IF(AND(L323&lt;10,E323&gt;=TIME(18,0,0)),"Couple Night", "Couple Day")))))</f>
        <v>24H Night</v>
      </c>
      <c r="P323" s="0" t="n">
        <f aca="false">WEEKDAY(D323,2)</f>
        <v>6</v>
      </c>
      <c r="Q323" s="0" t="n">
        <f aca="false">MONTH(D323)</f>
        <v>2</v>
      </c>
      <c r="R323" s="0" t="str">
        <f aca="false">"Q"&amp;ROUNDUP(MONTH(D323)/3,0)</f>
        <v>Q1</v>
      </c>
    </row>
    <row r="324" customFormat="false" ht="153.7" hidden="false" customHeight="false" outlineLevel="0" collapsed="false">
      <c r="A324" s="7" t="s">
        <v>939</v>
      </c>
      <c r="B324" s="7" t="s">
        <v>940</v>
      </c>
      <c r="C324" s="13" t="s">
        <v>941</v>
      </c>
      <c r="D324" s="11" t="n">
        <v>45691</v>
      </c>
      <c r="E324" s="12" t="n">
        <v>0.875</v>
      </c>
      <c r="F324" s="11" t="n">
        <v>45692</v>
      </c>
      <c r="G324" s="12" t="n">
        <v>0.333333333299375</v>
      </c>
      <c r="H324" s="10" t="n">
        <v>46061.0204680556</v>
      </c>
      <c r="I324" s="7" t="n">
        <v>1500</v>
      </c>
      <c r="J324" s="0" t="n">
        <f aca="false">IF(AND(D324&gt;=DATE(YEAR(D324),3,15),D324&lt;=DATE(YEAR(D324),6,10)),1,0)</f>
        <v>0</v>
      </c>
      <c r="K324" s="0" t="e">
        <f aca="false">VLOOKUP(D324,Festival_List!$A$2:$B$100,2,0)</f>
        <v>#N/A</v>
      </c>
      <c r="L324" s="0" t="n">
        <f aca="false">ROUND(((F324+G324)-(D324+E324))*24,0)</f>
        <v>11</v>
      </c>
      <c r="M324" s="0" t="n">
        <f aca="false">IF(OR(WEEKDAY(D324)=1,WEEKDAY(D324)=7),1,0)</f>
        <v>0</v>
      </c>
      <c r="N324" s="0" t="str">
        <f aca="false">IF(AND(MONTH(D324)&gt;=3,MONTH(D324)&lt;=6),"Summer",IF(AND(MONTH(D324)&gt;=7,MONTH(D324)&lt;=9),"Monsoon","Winter"))</f>
        <v>Winter</v>
      </c>
      <c r="O324" s="0" t="str">
        <f aca="false">IF(AND(L324&gt;=22,L324&lt;=25,E324&gt;=TIME(18,0,0)),"24H Night", IF(AND(L324&gt;=22,L324&lt;=25,E324&lt;TIME(18,0,0)),"24H Day", IF(AND(L324&gt;=11,L324&lt;=13,E324&gt;=TIME(18,0,0)),"12H Night", IF(AND(L324&gt;=11,L324&lt;=13,E324&lt;TIME(18,0,0)),"12H Day", IF(AND(L324&lt;10,E324&gt;=TIME(18,0,0)),"Couple Night", "Couple Day")))))</f>
        <v>12H Night</v>
      </c>
      <c r="P324" s="0" t="n">
        <f aca="false">WEEKDAY(D324,2)</f>
        <v>1</v>
      </c>
      <c r="Q324" s="0" t="n">
        <f aca="false">MONTH(D324)</f>
        <v>2</v>
      </c>
      <c r="R324" s="0" t="str">
        <f aca="false">"Q"&amp;ROUNDUP(MONTH(D324)/3,0)</f>
        <v>Q1</v>
      </c>
    </row>
    <row r="325" customFormat="false" ht="141" hidden="false" customHeight="false" outlineLevel="0" collapsed="false">
      <c r="A325" s="7" t="s">
        <v>942</v>
      </c>
      <c r="B325" s="7" t="s">
        <v>254</v>
      </c>
      <c r="C325" s="13" t="s">
        <v>943</v>
      </c>
      <c r="D325" s="11" t="n">
        <v>45695</v>
      </c>
      <c r="E325" s="12" t="n">
        <v>0.375</v>
      </c>
      <c r="F325" s="11" t="n">
        <v>45695</v>
      </c>
      <c r="G325" s="12" t="n">
        <v>0.75</v>
      </c>
      <c r="H325" s="10" t="n">
        <v>46061.0204680556</v>
      </c>
      <c r="I325" s="7" t="n">
        <v>2500</v>
      </c>
      <c r="J325" s="0" t="n">
        <f aca="false">IF(AND(D325&gt;=DATE(YEAR(D325),3,15),D325&lt;=DATE(YEAR(D325),6,10)),1,0)</f>
        <v>0</v>
      </c>
      <c r="K325" s="0" t="e">
        <f aca="false">VLOOKUP(D325,Festival_List!$A$2:$B$100,2,0)</f>
        <v>#N/A</v>
      </c>
      <c r="L325" s="0" t="n">
        <f aca="false">ROUND(((F325+G325)-(D325+E325))*24,0)</f>
        <v>9</v>
      </c>
      <c r="M325" s="0" t="n">
        <f aca="false">IF(OR(WEEKDAY(D325)=1,WEEKDAY(D325)=7),1,0)</f>
        <v>0</v>
      </c>
      <c r="N325" s="0" t="str">
        <f aca="false">IF(AND(MONTH(D325)&gt;=3,MONTH(D325)&lt;=6),"Summer",IF(AND(MONTH(D325)&gt;=7,MONTH(D325)&lt;=9),"Monsoon","Winter"))</f>
        <v>Winter</v>
      </c>
      <c r="O325" s="0" t="str">
        <f aca="false">IF(AND(L325&gt;=22,L325&lt;=25,E325&gt;=TIME(18,0,0)),"24H Night", IF(AND(L325&gt;=22,L325&lt;=25,E325&lt;TIME(18,0,0)),"24H Day", IF(AND(L325&gt;=11,L325&lt;=13,E325&gt;=TIME(18,0,0)),"12H Night", IF(AND(L325&gt;=11,L325&lt;=13,E325&lt;TIME(18,0,0)),"12H Day", IF(AND(L325&lt;10,E325&gt;=TIME(18,0,0)),"Couple Night", "Couple Day")))))</f>
        <v>Couple Day</v>
      </c>
      <c r="P325" s="0" t="n">
        <f aca="false">WEEKDAY(D325,2)</f>
        <v>5</v>
      </c>
      <c r="Q325" s="0" t="n">
        <f aca="false">MONTH(D325)</f>
        <v>2</v>
      </c>
      <c r="R325" s="0" t="str">
        <f aca="false">"Q"&amp;ROUNDUP(MONTH(D325)/3,0)</f>
        <v>Q1</v>
      </c>
    </row>
    <row r="326" customFormat="false" ht="153.7" hidden="false" customHeight="false" outlineLevel="0" collapsed="false">
      <c r="A326" s="7" t="s">
        <v>944</v>
      </c>
      <c r="B326" s="7" t="s">
        <v>945</v>
      </c>
      <c r="C326" s="13" t="s">
        <v>946</v>
      </c>
      <c r="D326" s="11" t="n">
        <v>45696</v>
      </c>
      <c r="E326" s="12" t="n">
        <v>0.333333333299375</v>
      </c>
      <c r="F326" s="11" t="n">
        <v>45696</v>
      </c>
      <c r="G326" s="12" t="n">
        <v>0.75</v>
      </c>
      <c r="H326" s="10" t="n">
        <v>45694.6188118056</v>
      </c>
      <c r="I326" s="7" t="n">
        <v>2500</v>
      </c>
      <c r="J326" s="0" t="n">
        <f aca="false">IF(AND(D326&gt;=DATE(YEAR(D326),3,15),D326&lt;=DATE(YEAR(D326),6,10)),1,0)</f>
        <v>0</v>
      </c>
      <c r="K326" s="0" t="e">
        <f aca="false">VLOOKUP(D326,Festival_List!$A$2:$B$100,2,0)</f>
        <v>#N/A</v>
      </c>
      <c r="L326" s="0" t="n">
        <f aca="false">ROUND(((F326+G326)-(D326+E326))*24,0)</f>
        <v>10</v>
      </c>
      <c r="M326" s="0" t="n">
        <f aca="false">IF(OR(WEEKDAY(D326)=1,WEEKDAY(D326)=7),1,0)</f>
        <v>1</v>
      </c>
      <c r="N326" s="0" t="str">
        <f aca="false">IF(AND(MONTH(D326)&gt;=3,MONTH(D326)&lt;=6),"Summer",IF(AND(MONTH(D326)&gt;=7,MONTH(D326)&lt;=9),"Monsoon","Winter"))</f>
        <v>Winter</v>
      </c>
      <c r="O326" s="0" t="str">
        <f aca="false">IF(AND(L326&gt;=22,L326&lt;=25,E326&gt;=TIME(18,0,0)),"24H Night", IF(AND(L326&gt;=22,L326&lt;=25,E326&lt;TIME(18,0,0)),"24H Day", IF(AND(L326&gt;=11,L326&lt;=13,E326&gt;=TIME(18,0,0)),"12H Night", IF(AND(L326&gt;=11,L326&lt;=13,E326&lt;TIME(18,0,0)),"12H Day", IF(AND(L326&lt;10,E326&gt;=TIME(18,0,0)),"Couple Night", "Couple Day")))))</f>
        <v>Couple Day</v>
      </c>
      <c r="P326" s="0" t="n">
        <f aca="false">WEEKDAY(D326,2)</f>
        <v>6</v>
      </c>
      <c r="Q326" s="0" t="n">
        <f aca="false">MONTH(D326)</f>
        <v>2</v>
      </c>
      <c r="R326" s="0" t="str">
        <f aca="false">"Q"&amp;ROUNDUP(MONTH(D326)/3,0)</f>
        <v>Q1</v>
      </c>
    </row>
    <row r="327" customFormat="false" ht="153.7" hidden="false" customHeight="false" outlineLevel="0" collapsed="false">
      <c r="A327" s="7" t="s">
        <v>947</v>
      </c>
      <c r="B327" s="7" t="s">
        <v>420</v>
      </c>
      <c r="C327" s="13" t="s">
        <v>948</v>
      </c>
      <c r="D327" s="11" t="n">
        <v>45697</v>
      </c>
      <c r="E327" s="12" t="n">
        <v>0.791666666700625</v>
      </c>
      <c r="F327" s="11" t="n">
        <v>45698</v>
      </c>
      <c r="G327" s="12" t="n">
        <v>0.75</v>
      </c>
      <c r="H327" s="10" t="n">
        <v>45698.5543744213</v>
      </c>
      <c r="I327" s="7" t="n">
        <v>3500</v>
      </c>
      <c r="J327" s="0" t="n">
        <f aca="false">IF(AND(D327&gt;=DATE(YEAR(D327),3,15),D327&lt;=DATE(YEAR(D327),6,10)),1,0)</f>
        <v>0</v>
      </c>
      <c r="K327" s="0" t="e">
        <f aca="false">VLOOKUP(D327,Festival_List!$A$2:$B$100,2,0)</f>
        <v>#N/A</v>
      </c>
      <c r="L327" s="0" t="n">
        <f aca="false">ROUND(((F327+G327)-(D327+E327))*24,0)</f>
        <v>23</v>
      </c>
      <c r="M327" s="0" t="n">
        <f aca="false">IF(OR(WEEKDAY(D327)=1,WEEKDAY(D327)=7),1,0)</f>
        <v>1</v>
      </c>
      <c r="N327" s="0" t="str">
        <f aca="false">IF(AND(MONTH(D327)&gt;=3,MONTH(D327)&lt;=6),"Summer",IF(AND(MONTH(D327)&gt;=7,MONTH(D327)&lt;=9),"Monsoon","Winter"))</f>
        <v>Winter</v>
      </c>
      <c r="O327" s="0" t="str">
        <f aca="false">IF(AND(L327&gt;=22,L327&lt;=25,E327&gt;=TIME(18,0,0)),"24H Night", IF(AND(L327&gt;=22,L327&lt;=25,E327&lt;TIME(18,0,0)),"24H Day", IF(AND(L327&gt;=11,L327&lt;=13,E327&gt;=TIME(18,0,0)),"12H Night", IF(AND(L327&gt;=11,L327&lt;=13,E327&lt;TIME(18,0,0)),"12H Day", IF(AND(L327&lt;10,E327&gt;=TIME(18,0,0)),"Couple Night", "Couple Day")))))</f>
        <v>24H Night</v>
      </c>
      <c r="P327" s="0" t="n">
        <f aca="false">WEEKDAY(D327,2)</f>
        <v>7</v>
      </c>
      <c r="Q327" s="0" t="n">
        <f aca="false">MONTH(D327)</f>
        <v>2</v>
      </c>
      <c r="R327" s="0" t="str">
        <f aca="false">"Q"&amp;ROUNDUP(MONTH(D327)/3,0)</f>
        <v>Q1</v>
      </c>
    </row>
    <row r="328" customFormat="false" ht="153.7" hidden="false" customHeight="false" outlineLevel="0" collapsed="false">
      <c r="A328" s="7" t="s">
        <v>949</v>
      </c>
      <c r="B328" s="7" t="s">
        <v>950</v>
      </c>
      <c r="C328" s="13" t="s">
        <v>951</v>
      </c>
      <c r="D328" s="11" t="n">
        <v>45698</v>
      </c>
      <c r="E328" s="12" t="n">
        <v>0.791666666700625</v>
      </c>
      <c r="F328" s="11" t="n">
        <v>45699</v>
      </c>
      <c r="G328" s="12" t="n">
        <v>0.75</v>
      </c>
      <c r="H328" s="10" t="n">
        <v>46075.0313638889</v>
      </c>
      <c r="I328" s="7" t="n">
        <v>3500</v>
      </c>
      <c r="J328" s="0" t="n">
        <f aca="false">IF(AND(D328&gt;=DATE(YEAR(D328),3,15),D328&lt;=DATE(YEAR(D328),6,10)),1,0)</f>
        <v>0</v>
      </c>
      <c r="K328" s="0" t="e">
        <f aca="false">VLOOKUP(D328,Festival_List!$A$2:$B$100,2,0)</f>
        <v>#N/A</v>
      </c>
      <c r="L328" s="0" t="n">
        <f aca="false">ROUND(((F328+G328)-(D328+E328))*24,0)</f>
        <v>23</v>
      </c>
      <c r="M328" s="0" t="n">
        <f aca="false">IF(OR(WEEKDAY(D328)=1,WEEKDAY(D328)=7),1,0)</f>
        <v>0</v>
      </c>
      <c r="N328" s="0" t="str">
        <f aca="false">IF(AND(MONTH(D328)&gt;=3,MONTH(D328)&lt;=6),"Summer",IF(AND(MONTH(D328)&gt;=7,MONTH(D328)&lt;=9),"Monsoon","Winter"))</f>
        <v>Winter</v>
      </c>
      <c r="O328" s="0" t="str">
        <f aca="false">IF(AND(L328&gt;=22,L328&lt;=25,E328&gt;=TIME(18,0,0)),"24H Night", IF(AND(L328&gt;=22,L328&lt;=25,E328&lt;TIME(18,0,0)),"24H Day", IF(AND(L328&gt;=11,L328&lt;=13,E328&gt;=TIME(18,0,0)),"12H Night", IF(AND(L328&gt;=11,L328&lt;=13,E328&lt;TIME(18,0,0)),"12H Day", IF(AND(L328&lt;10,E328&gt;=TIME(18,0,0)),"Couple Night", "Couple Day")))))</f>
        <v>24H Night</v>
      </c>
      <c r="P328" s="0" t="n">
        <f aca="false">WEEKDAY(D328,2)</f>
        <v>1</v>
      </c>
      <c r="Q328" s="0" t="n">
        <f aca="false">MONTH(D328)</f>
        <v>2</v>
      </c>
      <c r="R328" s="0" t="str">
        <f aca="false">"Q"&amp;ROUNDUP(MONTH(D328)/3,0)</f>
        <v>Q1</v>
      </c>
    </row>
    <row r="329" customFormat="false" ht="153.7" hidden="false" customHeight="false" outlineLevel="0" collapsed="false">
      <c r="A329" s="7" t="s">
        <v>952</v>
      </c>
      <c r="B329" s="7" t="s">
        <v>953</v>
      </c>
      <c r="C329" s="13" t="s">
        <v>954</v>
      </c>
      <c r="D329" s="11" t="n">
        <v>45700</v>
      </c>
      <c r="E329" s="12" t="n">
        <v>0.375</v>
      </c>
      <c r="F329" s="11" t="n">
        <v>45700</v>
      </c>
      <c r="G329" s="12" t="n">
        <v>0.75</v>
      </c>
      <c r="H329" s="10" t="n">
        <v>46075.0313638889</v>
      </c>
      <c r="I329" s="7" t="n">
        <v>2500</v>
      </c>
      <c r="J329" s="0" t="n">
        <f aca="false">IF(AND(D329&gt;=DATE(YEAR(D329),3,15),D329&lt;=DATE(YEAR(D329),6,10)),1,0)</f>
        <v>0</v>
      </c>
      <c r="K329" s="0" t="e">
        <f aca="false">VLOOKUP(D329,Festival_List!$A$2:$B$100,2,0)</f>
        <v>#N/A</v>
      </c>
      <c r="L329" s="0" t="n">
        <f aca="false">ROUND(((F329+G329)-(D329+E329))*24,0)</f>
        <v>9</v>
      </c>
      <c r="M329" s="0" t="n">
        <f aca="false">IF(OR(WEEKDAY(D329)=1,WEEKDAY(D329)=7),1,0)</f>
        <v>0</v>
      </c>
      <c r="N329" s="0" t="str">
        <f aca="false">IF(AND(MONTH(D329)&gt;=3,MONTH(D329)&lt;=6),"Summer",IF(AND(MONTH(D329)&gt;=7,MONTH(D329)&lt;=9),"Monsoon","Winter"))</f>
        <v>Winter</v>
      </c>
      <c r="O329" s="0" t="str">
        <f aca="false">IF(AND(L329&gt;=22,L329&lt;=25,E329&gt;=TIME(18,0,0)),"24H Night", IF(AND(L329&gt;=22,L329&lt;=25,E329&lt;TIME(18,0,0)),"24H Day", IF(AND(L329&gt;=11,L329&lt;=13,E329&gt;=TIME(18,0,0)),"12H Night", IF(AND(L329&gt;=11,L329&lt;=13,E329&lt;TIME(18,0,0)),"12H Day", IF(AND(L329&lt;10,E329&gt;=TIME(18,0,0)),"Couple Night", "Couple Day")))))</f>
        <v>Couple Day</v>
      </c>
      <c r="P329" s="0" t="n">
        <f aca="false">WEEKDAY(D329,2)</f>
        <v>3</v>
      </c>
      <c r="Q329" s="0" t="n">
        <f aca="false">MONTH(D329)</f>
        <v>2</v>
      </c>
      <c r="R329" s="0" t="str">
        <f aca="false">"Q"&amp;ROUNDUP(MONTH(D329)/3,0)</f>
        <v>Q1</v>
      </c>
    </row>
    <row r="330" customFormat="false" ht="153.7" hidden="false" customHeight="false" outlineLevel="0" collapsed="false">
      <c r="A330" s="7" t="s">
        <v>955</v>
      </c>
      <c r="B330" s="7" t="s">
        <v>956</v>
      </c>
      <c r="C330" s="13" t="s">
        <v>957</v>
      </c>
      <c r="D330" s="11" t="n">
        <v>45702</v>
      </c>
      <c r="E330" s="12" t="n">
        <v>0.375</v>
      </c>
      <c r="F330" s="11" t="n">
        <v>45702</v>
      </c>
      <c r="G330" s="12" t="n">
        <v>0.75</v>
      </c>
      <c r="H330" s="10" t="n">
        <v>46075.0313638889</v>
      </c>
      <c r="I330" s="7" t="n">
        <v>3000</v>
      </c>
      <c r="J330" s="0" t="n">
        <f aca="false">IF(AND(D330&gt;=DATE(YEAR(D330),3,15),D330&lt;=DATE(YEAR(D330),6,10)),1,0)</f>
        <v>0</v>
      </c>
      <c r="K330" s="0" t="e">
        <f aca="false">VLOOKUP(D330,Festival_List!$A$2:$B$100,2,0)</f>
        <v>#N/A</v>
      </c>
      <c r="L330" s="0" t="n">
        <f aca="false">ROUND(((F330+G330)-(D330+E330))*24,0)</f>
        <v>9</v>
      </c>
      <c r="M330" s="0" t="n">
        <f aca="false">IF(OR(WEEKDAY(D330)=1,WEEKDAY(D330)=7),1,0)</f>
        <v>0</v>
      </c>
      <c r="N330" s="0" t="str">
        <f aca="false">IF(AND(MONTH(D330)&gt;=3,MONTH(D330)&lt;=6),"Summer",IF(AND(MONTH(D330)&gt;=7,MONTH(D330)&lt;=9),"Monsoon","Winter"))</f>
        <v>Winter</v>
      </c>
      <c r="O330" s="0" t="str">
        <f aca="false">IF(AND(L330&gt;=22,L330&lt;=25,E330&gt;=TIME(18,0,0)),"24H Night", IF(AND(L330&gt;=22,L330&lt;=25,E330&lt;TIME(18,0,0)),"24H Day", IF(AND(L330&gt;=11,L330&lt;=13,E330&gt;=TIME(18,0,0)),"12H Night", IF(AND(L330&gt;=11,L330&lt;=13,E330&lt;TIME(18,0,0)),"12H Day", IF(AND(L330&lt;10,E330&gt;=TIME(18,0,0)),"Couple Night", "Couple Day")))))</f>
        <v>Couple Day</v>
      </c>
      <c r="P330" s="0" t="n">
        <f aca="false">WEEKDAY(D330,2)</f>
        <v>5</v>
      </c>
      <c r="Q330" s="0" t="n">
        <f aca="false">MONTH(D330)</f>
        <v>2</v>
      </c>
      <c r="R330" s="0" t="str">
        <f aca="false">"Q"&amp;ROUNDUP(MONTH(D330)/3,0)</f>
        <v>Q1</v>
      </c>
    </row>
    <row r="331" customFormat="false" ht="153.7" hidden="false" customHeight="false" outlineLevel="0" collapsed="false">
      <c r="A331" s="7" t="s">
        <v>958</v>
      </c>
      <c r="B331" s="7" t="s">
        <v>560</v>
      </c>
      <c r="C331" s="13" t="s">
        <v>959</v>
      </c>
      <c r="D331" s="11" t="n">
        <v>45702</v>
      </c>
      <c r="E331" s="12" t="n">
        <v>0.791666666700625</v>
      </c>
      <c r="F331" s="11" t="n">
        <v>45703</v>
      </c>
      <c r="G331" s="12" t="n">
        <v>0.75</v>
      </c>
      <c r="H331" s="10" t="n">
        <v>45699.4951091435</v>
      </c>
      <c r="I331" s="7" t="n">
        <v>3500</v>
      </c>
      <c r="J331" s="0" t="n">
        <f aca="false">IF(AND(D331&gt;=DATE(YEAR(D331),3,15),D331&lt;=DATE(YEAR(D331),6,10)),1,0)</f>
        <v>0</v>
      </c>
      <c r="K331" s="0" t="e">
        <f aca="false">VLOOKUP(D331,Festival_List!$A$2:$B$100,2,0)</f>
        <v>#N/A</v>
      </c>
      <c r="L331" s="0" t="n">
        <f aca="false">ROUND(((F331+G331)-(D331+E331))*24,0)</f>
        <v>23</v>
      </c>
      <c r="M331" s="0" t="n">
        <f aca="false">IF(OR(WEEKDAY(D331)=1,WEEKDAY(D331)=7),1,0)</f>
        <v>0</v>
      </c>
      <c r="N331" s="0" t="str">
        <f aca="false">IF(AND(MONTH(D331)&gt;=3,MONTH(D331)&lt;=6),"Summer",IF(AND(MONTH(D331)&gt;=7,MONTH(D331)&lt;=9),"Monsoon","Winter"))</f>
        <v>Winter</v>
      </c>
      <c r="O331" s="0" t="str">
        <f aca="false">IF(AND(L331&gt;=22,L331&lt;=25,E331&gt;=TIME(18,0,0)),"24H Night", IF(AND(L331&gt;=22,L331&lt;=25,E331&lt;TIME(18,0,0)),"24H Day", IF(AND(L331&gt;=11,L331&lt;=13,E331&gt;=TIME(18,0,0)),"12H Night", IF(AND(L331&gt;=11,L331&lt;=13,E331&lt;TIME(18,0,0)),"12H Day", IF(AND(L331&lt;10,E331&gt;=TIME(18,0,0)),"Couple Night", "Couple Day")))))</f>
        <v>24H Night</v>
      </c>
      <c r="P331" s="0" t="n">
        <f aca="false">WEEKDAY(D331,2)</f>
        <v>5</v>
      </c>
      <c r="Q331" s="0" t="n">
        <f aca="false">MONTH(D331)</f>
        <v>2</v>
      </c>
      <c r="R331" s="0" t="str">
        <f aca="false">"Q"&amp;ROUNDUP(MONTH(D331)/3,0)</f>
        <v>Q1</v>
      </c>
    </row>
    <row r="332" customFormat="false" ht="141" hidden="false" customHeight="false" outlineLevel="0" collapsed="false">
      <c r="A332" s="7" t="s">
        <v>960</v>
      </c>
      <c r="B332" s="7" t="s">
        <v>806</v>
      </c>
      <c r="C332" s="13" t="s">
        <v>961</v>
      </c>
      <c r="D332" s="11" t="n">
        <v>45705</v>
      </c>
      <c r="E332" s="12" t="n">
        <v>0.333333333299375</v>
      </c>
      <c r="F332" s="11" t="n">
        <v>45705</v>
      </c>
      <c r="G332" s="12" t="n">
        <v>0.583333333299375</v>
      </c>
      <c r="H332" s="10" t="n">
        <v>46075.0313638889</v>
      </c>
      <c r="I332" s="7" t="n">
        <v>1500</v>
      </c>
      <c r="J332" s="0" t="n">
        <f aca="false">IF(AND(D332&gt;=DATE(YEAR(D332),3,15),D332&lt;=DATE(YEAR(D332),6,10)),1,0)</f>
        <v>0</v>
      </c>
      <c r="K332" s="0" t="e">
        <f aca="false">VLOOKUP(D332,Festival_List!$A$2:$B$100,2,0)</f>
        <v>#N/A</v>
      </c>
      <c r="L332" s="0" t="n">
        <f aca="false">ROUND(((F332+G332)-(D332+E332))*24,0)</f>
        <v>6</v>
      </c>
      <c r="M332" s="0" t="n">
        <f aca="false">IF(OR(WEEKDAY(D332)=1,WEEKDAY(D332)=7),1,0)</f>
        <v>0</v>
      </c>
      <c r="N332" s="0" t="str">
        <f aca="false">IF(AND(MONTH(D332)&gt;=3,MONTH(D332)&lt;=6),"Summer",IF(AND(MONTH(D332)&gt;=7,MONTH(D332)&lt;=9),"Monsoon","Winter"))</f>
        <v>Winter</v>
      </c>
      <c r="O332" s="0" t="str">
        <f aca="false">IF(AND(L332&gt;=22,L332&lt;=25,E332&gt;=TIME(18,0,0)),"24H Night", IF(AND(L332&gt;=22,L332&lt;=25,E332&lt;TIME(18,0,0)),"24H Day", IF(AND(L332&gt;=11,L332&lt;=13,E332&gt;=TIME(18,0,0)),"12H Night", IF(AND(L332&gt;=11,L332&lt;=13,E332&lt;TIME(18,0,0)),"12H Day", IF(AND(L332&lt;10,E332&gt;=TIME(18,0,0)),"Couple Night", "Couple Day")))))</f>
        <v>Couple Day</v>
      </c>
      <c r="P332" s="0" t="n">
        <f aca="false">WEEKDAY(D332,2)</f>
        <v>1</v>
      </c>
      <c r="Q332" s="0" t="n">
        <f aca="false">MONTH(D332)</f>
        <v>2</v>
      </c>
      <c r="R332" s="0" t="str">
        <f aca="false">"Q"&amp;ROUNDUP(MONTH(D332)/3,0)</f>
        <v>Q1</v>
      </c>
    </row>
    <row r="333" customFormat="false" ht="128.35" hidden="false" customHeight="false" outlineLevel="0" collapsed="false">
      <c r="A333" s="7" t="s">
        <v>962</v>
      </c>
      <c r="B333" s="7" t="s">
        <v>386</v>
      </c>
      <c r="C333" s="13" t="s">
        <v>963</v>
      </c>
      <c r="D333" s="11" t="n">
        <v>45706</v>
      </c>
      <c r="E333" s="12" t="n">
        <v>0.375</v>
      </c>
      <c r="F333" s="11" t="n">
        <v>45706</v>
      </c>
      <c r="G333" s="12" t="n">
        <v>0.708333333299375</v>
      </c>
      <c r="H333" s="10" t="n">
        <v>45705.4483824074</v>
      </c>
      <c r="I333" s="7" t="n">
        <v>2000</v>
      </c>
      <c r="J333" s="0" t="n">
        <f aca="false">IF(AND(D333&gt;=DATE(YEAR(D333),3,15),D333&lt;=DATE(YEAR(D333),6,10)),1,0)</f>
        <v>0</v>
      </c>
      <c r="K333" s="0" t="e">
        <f aca="false">VLOOKUP(D333,Festival_List!$A$2:$B$100,2,0)</f>
        <v>#N/A</v>
      </c>
      <c r="L333" s="0" t="n">
        <f aca="false">ROUND(((F333+G333)-(D333+E333))*24,0)</f>
        <v>8</v>
      </c>
      <c r="M333" s="0" t="n">
        <f aca="false">IF(OR(WEEKDAY(D333)=1,WEEKDAY(D333)=7),1,0)</f>
        <v>0</v>
      </c>
      <c r="N333" s="0" t="str">
        <f aca="false">IF(AND(MONTH(D333)&gt;=3,MONTH(D333)&lt;=6),"Summer",IF(AND(MONTH(D333)&gt;=7,MONTH(D333)&lt;=9),"Monsoon","Winter"))</f>
        <v>Winter</v>
      </c>
      <c r="O333" s="0" t="str">
        <f aca="false">IF(AND(L333&gt;=22,L333&lt;=25,E333&gt;=TIME(18,0,0)),"24H Night", IF(AND(L333&gt;=22,L333&lt;=25,E333&lt;TIME(18,0,0)),"24H Day", IF(AND(L333&gt;=11,L333&lt;=13,E333&gt;=TIME(18,0,0)),"12H Night", IF(AND(L333&gt;=11,L333&lt;=13,E333&lt;TIME(18,0,0)),"12H Day", IF(AND(L333&lt;10,E333&gt;=TIME(18,0,0)),"Couple Night", "Couple Day")))))</f>
        <v>Couple Day</v>
      </c>
      <c r="P333" s="0" t="n">
        <f aca="false">WEEKDAY(D333,2)</f>
        <v>2</v>
      </c>
      <c r="Q333" s="0" t="n">
        <f aca="false">MONTH(D333)</f>
        <v>2</v>
      </c>
      <c r="R333" s="0" t="str">
        <f aca="false">"Q"&amp;ROUNDUP(MONTH(D333)/3,0)</f>
        <v>Q1</v>
      </c>
    </row>
    <row r="334" customFormat="false" ht="153.7" hidden="false" customHeight="false" outlineLevel="0" collapsed="false">
      <c r="A334" s="7" t="s">
        <v>964</v>
      </c>
      <c r="B334" s="7" t="s">
        <v>965</v>
      </c>
      <c r="C334" s="13" t="s">
        <v>966</v>
      </c>
      <c r="D334" s="11" t="n">
        <v>45707</v>
      </c>
      <c r="E334" s="12" t="n">
        <v>0.375</v>
      </c>
      <c r="F334" s="11" t="n">
        <v>45707</v>
      </c>
      <c r="G334" s="12" t="n">
        <v>0.75</v>
      </c>
      <c r="H334" s="10" t="n">
        <v>46075.0313638889</v>
      </c>
      <c r="I334" s="7" t="n">
        <v>2500</v>
      </c>
      <c r="J334" s="0" t="n">
        <f aca="false">IF(AND(D334&gt;=DATE(YEAR(D334),3,15),D334&lt;=DATE(YEAR(D334),6,10)),1,0)</f>
        <v>0</v>
      </c>
      <c r="K334" s="0" t="e">
        <f aca="false">VLOOKUP(D334,Festival_List!$A$2:$B$100,2,0)</f>
        <v>#N/A</v>
      </c>
      <c r="L334" s="0" t="n">
        <f aca="false">ROUND(((F334+G334)-(D334+E334))*24,0)</f>
        <v>9</v>
      </c>
      <c r="M334" s="0" t="n">
        <f aca="false">IF(OR(WEEKDAY(D334)=1,WEEKDAY(D334)=7),1,0)</f>
        <v>0</v>
      </c>
      <c r="N334" s="0" t="str">
        <f aca="false">IF(AND(MONTH(D334)&gt;=3,MONTH(D334)&lt;=6),"Summer",IF(AND(MONTH(D334)&gt;=7,MONTH(D334)&lt;=9),"Monsoon","Winter"))</f>
        <v>Winter</v>
      </c>
      <c r="O334" s="0" t="str">
        <f aca="false">IF(AND(L334&gt;=22,L334&lt;=25,E334&gt;=TIME(18,0,0)),"24H Night", IF(AND(L334&gt;=22,L334&lt;=25,E334&lt;TIME(18,0,0)),"24H Day", IF(AND(L334&gt;=11,L334&lt;=13,E334&gt;=TIME(18,0,0)),"12H Night", IF(AND(L334&gt;=11,L334&lt;=13,E334&lt;TIME(18,0,0)),"12H Day", IF(AND(L334&lt;10,E334&gt;=TIME(18,0,0)),"Couple Night", "Couple Day")))))</f>
        <v>Couple Day</v>
      </c>
      <c r="P334" s="0" t="n">
        <f aca="false">WEEKDAY(D334,2)</f>
        <v>3</v>
      </c>
      <c r="Q334" s="0" t="n">
        <f aca="false">MONTH(D334)</f>
        <v>2</v>
      </c>
      <c r="R334" s="0" t="str">
        <f aca="false">"Q"&amp;ROUNDUP(MONTH(D334)/3,0)</f>
        <v>Q1</v>
      </c>
    </row>
    <row r="335" customFormat="false" ht="153.7" hidden="false" customHeight="false" outlineLevel="0" collapsed="false">
      <c r="A335" s="7" t="s">
        <v>967</v>
      </c>
      <c r="B335" s="7" t="s">
        <v>191</v>
      </c>
      <c r="C335" s="13" t="s">
        <v>968</v>
      </c>
      <c r="D335" s="11" t="n">
        <v>45708</v>
      </c>
      <c r="E335" s="12" t="n">
        <v>0.375</v>
      </c>
      <c r="F335" s="11" t="n">
        <v>45708</v>
      </c>
      <c r="G335" s="12" t="n">
        <v>0.708333333299375</v>
      </c>
      <c r="H335" s="10" t="n">
        <v>46075.0313638889</v>
      </c>
      <c r="I335" s="7" t="n">
        <v>2000</v>
      </c>
      <c r="J335" s="0" t="n">
        <f aca="false">IF(AND(D335&gt;=DATE(YEAR(D335),3,15),D335&lt;=DATE(YEAR(D335),6,10)),1,0)</f>
        <v>0</v>
      </c>
      <c r="K335" s="0" t="e">
        <f aca="false">VLOOKUP(D335,Festival_List!$A$2:$B$100,2,0)</f>
        <v>#N/A</v>
      </c>
      <c r="L335" s="0" t="n">
        <f aca="false">ROUND(((F335+G335)-(D335+E335))*24,0)</f>
        <v>8</v>
      </c>
      <c r="M335" s="0" t="n">
        <f aca="false">IF(OR(WEEKDAY(D335)=1,WEEKDAY(D335)=7),1,0)</f>
        <v>0</v>
      </c>
      <c r="N335" s="0" t="str">
        <f aca="false">IF(AND(MONTH(D335)&gt;=3,MONTH(D335)&lt;=6),"Summer",IF(AND(MONTH(D335)&gt;=7,MONTH(D335)&lt;=9),"Monsoon","Winter"))</f>
        <v>Winter</v>
      </c>
      <c r="O335" s="0" t="str">
        <f aca="false">IF(AND(L335&gt;=22,L335&lt;=25,E335&gt;=TIME(18,0,0)),"24H Night", IF(AND(L335&gt;=22,L335&lt;=25,E335&lt;TIME(18,0,0)),"24H Day", IF(AND(L335&gt;=11,L335&lt;=13,E335&gt;=TIME(18,0,0)),"12H Night", IF(AND(L335&gt;=11,L335&lt;=13,E335&lt;TIME(18,0,0)),"12H Day", IF(AND(L335&lt;10,E335&gt;=TIME(18,0,0)),"Couple Night", "Couple Day")))))</f>
        <v>Couple Day</v>
      </c>
      <c r="P335" s="0" t="n">
        <f aca="false">WEEKDAY(D335,2)</f>
        <v>4</v>
      </c>
      <c r="Q335" s="0" t="n">
        <f aca="false">MONTH(D335)</f>
        <v>2</v>
      </c>
      <c r="R335" s="0" t="str">
        <f aca="false">"Q"&amp;ROUNDUP(MONTH(D335)/3,0)</f>
        <v>Q1</v>
      </c>
    </row>
    <row r="336" customFormat="false" ht="26.85" hidden="false" customHeight="false" outlineLevel="0" collapsed="false">
      <c r="A336" s="7" t="s">
        <v>969</v>
      </c>
      <c r="B336" s="7" t="s">
        <v>563</v>
      </c>
      <c r="C336" s="13" t="s">
        <v>970</v>
      </c>
      <c r="D336" s="11" t="n">
        <v>45708</v>
      </c>
      <c r="E336" s="12" t="n">
        <v>0.791666666700625</v>
      </c>
      <c r="F336" s="11" t="n">
        <v>45709</v>
      </c>
      <c r="G336" s="12" t="n">
        <v>0.75</v>
      </c>
      <c r="H336" s="10" t="n">
        <v>45725.4815668982</v>
      </c>
      <c r="I336" s="7" t="n">
        <v>0</v>
      </c>
      <c r="J336" s="0" t="n">
        <f aca="false">IF(AND(D336&gt;=DATE(YEAR(D336),3,15),D336&lt;=DATE(YEAR(D336),6,10)),1,0)</f>
        <v>0</v>
      </c>
      <c r="K336" s="0" t="e">
        <f aca="false">VLOOKUP(D336,Festival_List!$A$2:$B$100,2,0)</f>
        <v>#N/A</v>
      </c>
      <c r="L336" s="0" t="n">
        <f aca="false">ROUND(((F336+G336)-(D336+E336))*24,0)</f>
        <v>23</v>
      </c>
      <c r="M336" s="0" t="n">
        <f aca="false">IF(OR(WEEKDAY(D336)=1,WEEKDAY(D336)=7),1,0)</f>
        <v>0</v>
      </c>
      <c r="N336" s="0" t="str">
        <f aca="false">IF(AND(MONTH(D336)&gt;=3,MONTH(D336)&lt;=6),"Summer",IF(AND(MONTH(D336)&gt;=7,MONTH(D336)&lt;=9),"Monsoon","Winter"))</f>
        <v>Winter</v>
      </c>
      <c r="O336" s="0" t="str">
        <f aca="false">IF(AND(L336&gt;=22,L336&lt;=25,E336&gt;=TIME(18,0,0)),"24H Night", IF(AND(L336&gt;=22,L336&lt;=25,E336&lt;TIME(18,0,0)),"24H Day", IF(AND(L336&gt;=11,L336&lt;=13,E336&gt;=TIME(18,0,0)),"12H Night", IF(AND(L336&gt;=11,L336&lt;=13,E336&lt;TIME(18,0,0)),"12H Day", IF(AND(L336&lt;10,E336&gt;=TIME(18,0,0)),"Couple Night", "Couple Day")))))</f>
        <v>24H Night</v>
      </c>
      <c r="P336" s="0" t="n">
        <f aca="false">WEEKDAY(D336,2)</f>
        <v>4</v>
      </c>
      <c r="Q336" s="0" t="n">
        <f aca="false">MONTH(D336)</f>
        <v>2</v>
      </c>
      <c r="R336" s="0" t="str">
        <f aca="false">"Q"&amp;ROUNDUP(MONTH(D336)/3,0)</f>
        <v>Q1</v>
      </c>
    </row>
    <row r="337" customFormat="false" ht="13.8" hidden="false" customHeight="false" outlineLevel="0" collapsed="false">
      <c r="A337" s="7" t="s">
        <v>971</v>
      </c>
      <c r="B337" s="7" t="s">
        <v>972</v>
      </c>
      <c r="C337" s="7" t="s">
        <v>973</v>
      </c>
      <c r="D337" s="11" t="n">
        <v>45710</v>
      </c>
      <c r="E337" s="12" t="n">
        <v>0.5</v>
      </c>
      <c r="F337" s="11" t="n">
        <v>45710</v>
      </c>
      <c r="G337" s="12" t="n">
        <v>0.75</v>
      </c>
      <c r="H337" s="10" t="n">
        <v>45725.4816738426</v>
      </c>
      <c r="I337" s="7" t="n">
        <v>1500</v>
      </c>
      <c r="J337" s="0" t="n">
        <f aca="false">IF(AND(D337&gt;=DATE(YEAR(D337),3,15),D337&lt;=DATE(YEAR(D337),6,10)),1,0)</f>
        <v>0</v>
      </c>
      <c r="K337" s="0" t="e">
        <f aca="false">VLOOKUP(D337,Festival_List!$A$2:$B$100,2,0)</f>
        <v>#N/A</v>
      </c>
      <c r="L337" s="0" t="n">
        <f aca="false">ROUND(((F337+G337)-(D337+E337))*24,0)</f>
        <v>6</v>
      </c>
      <c r="M337" s="0" t="n">
        <f aca="false">IF(OR(WEEKDAY(D337)=1,WEEKDAY(D337)=7),1,0)</f>
        <v>1</v>
      </c>
      <c r="N337" s="0" t="str">
        <f aca="false">IF(AND(MONTH(D337)&gt;=3,MONTH(D337)&lt;=6),"Summer",IF(AND(MONTH(D337)&gt;=7,MONTH(D337)&lt;=9),"Monsoon","Winter"))</f>
        <v>Winter</v>
      </c>
      <c r="O337" s="0" t="str">
        <f aca="false">IF(AND(L337&gt;=22,L337&lt;=25,E337&gt;=TIME(18,0,0)),"24H Night", IF(AND(L337&gt;=22,L337&lt;=25,E337&lt;TIME(18,0,0)),"24H Day", IF(AND(L337&gt;=11,L337&lt;=13,E337&gt;=TIME(18,0,0)),"12H Night", IF(AND(L337&gt;=11,L337&lt;=13,E337&lt;TIME(18,0,0)),"12H Day", IF(AND(L337&lt;10,E337&gt;=TIME(18,0,0)),"Couple Night", "Couple Day")))))</f>
        <v>Couple Day</v>
      </c>
      <c r="P337" s="0" t="n">
        <f aca="false">WEEKDAY(D337,2)</f>
        <v>6</v>
      </c>
      <c r="Q337" s="0" t="n">
        <f aca="false">MONTH(D337)</f>
        <v>2</v>
      </c>
      <c r="R337" s="0" t="str">
        <f aca="false">"Q"&amp;ROUNDUP(MONTH(D337)/3,0)</f>
        <v>Q1</v>
      </c>
    </row>
    <row r="338" customFormat="false" ht="90.25" hidden="false" customHeight="false" outlineLevel="0" collapsed="false">
      <c r="A338" s="7" t="s">
        <v>974</v>
      </c>
      <c r="B338" s="7" t="s">
        <v>975</v>
      </c>
      <c r="C338" s="13" t="s">
        <v>976</v>
      </c>
      <c r="D338" s="11" t="n">
        <v>45711</v>
      </c>
      <c r="E338" s="12" t="n">
        <v>0.5</v>
      </c>
      <c r="F338" s="11" t="n">
        <v>45711</v>
      </c>
      <c r="G338" s="12" t="n">
        <v>0.958333333299375</v>
      </c>
      <c r="H338" s="10" t="n">
        <v>46089.2423881945</v>
      </c>
      <c r="I338" s="7" t="n">
        <v>3500</v>
      </c>
      <c r="J338" s="0" t="n">
        <f aca="false">IF(AND(D338&gt;=DATE(YEAR(D338),3,15),D338&lt;=DATE(YEAR(D338),6,10)),1,0)</f>
        <v>0</v>
      </c>
      <c r="K338" s="0" t="e">
        <f aca="false">VLOOKUP(D338,Festival_List!$A$2:$B$100,2,0)</f>
        <v>#N/A</v>
      </c>
      <c r="L338" s="0" t="n">
        <f aca="false">ROUND(((F338+G338)-(D338+E338))*24,0)</f>
        <v>11</v>
      </c>
      <c r="M338" s="0" t="n">
        <f aca="false">IF(OR(WEEKDAY(D338)=1,WEEKDAY(D338)=7),1,0)</f>
        <v>1</v>
      </c>
      <c r="N338" s="0" t="str">
        <f aca="false">IF(AND(MONTH(D338)&gt;=3,MONTH(D338)&lt;=6),"Summer",IF(AND(MONTH(D338)&gt;=7,MONTH(D338)&lt;=9),"Monsoon","Winter"))</f>
        <v>Winter</v>
      </c>
      <c r="O338" s="0" t="str">
        <f aca="false">IF(AND(L338&gt;=22,L338&lt;=25,E338&gt;=TIME(18,0,0)),"24H Night", IF(AND(L338&gt;=22,L338&lt;=25,E338&lt;TIME(18,0,0)),"24H Day", IF(AND(L338&gt;=11,L338&lt;=13,E338&gt;=TIME(18,0,0)),"12H Night", IF(AND(L338&gt;=11,L338&lt;=13,E338&lt;TIME(18,0,0)),"12H Day", IF(AND(L338&lt;10,E338&gt;=TIME(18,0,0)),"Couple Night", "Couple Day")))))</f>
        <v>12H Day</v>
      </c>
      <c r="P338" s="0" t="n">
        <f aca="false">WEEKDAY(D338,2)</f>
        <v>7</v>
      </c>
      <c r="Q338" s="0" t="n">
        <f aca="false">MONTH(D338)</f>
        <v>2</v>
      </c>
      <c r="R338" s="0" t="str">
        <f aca="false">"Q"&amp;ROUNDUP(MONTH(D338)/3,0)</f>
        <v>Q1</v>
      </c>
    </row>
    <row r="339" customFormat="false" ht="128.35" hidden="false" customHeight="false" outlineLevel="0" collapsed="false">
      <c r="A339" s="7" t="s">
        <v>977</v>
      </c>
      <c r="B339" s="7" t="s">
        <v>978</v>
      </c>
      <c r="C339" s="13" t="s">
        <v>979</v>
      </c>
      <c r="D339" s="11" t="n">
        <v>45719</v>
      </c>
      <c r="E339" s="12" t="n">
        <v>0.791666666700625</v>
      </c>
      <c r="F339" s="11" t="n">
        <v>45720</v>
      </c>
      <c r="G339" s="12" t="n">
        <v>0.75</v>
      </c>
      <c r="H339" s="10" t="n">
        <v>45719.5832292824</v>
      </c>
      <c r="I339" s="7" t="n">
        <v>4000</v>
      </c>
      <c r="J339" s="0" t="n">
        <f aca="false">IF(AND(D339&gt;=DATE(YEAR(D339),3,15),D339&lt;=DATE(YEAR(D339),6,10)),1,0)</f>
        <v>0</v>
      </c>
      <c r="K339" s="0" t="e">
        <f aca="false">VLOOKUP(D339,Festival_List!$A$2:$B$100,2,0)</f>
        <v>#N/A</v>
      </c>
      <c r="L339" s="0" t="n">
        <f aca="false">ROUND(((F339+G339)-(D339+E339))*24,0)</f>
        <v>23</v>
      </c>
      <c r="M339" s="0" t="n">
        <f aca="false">IF(OR(WEEKDAY(D339)=1,WEEKDAY(D339)=7),1,0)</f>
        <v>0</v>
      </c>
      <c r="N339" s="0" t="str">
        <f aca="false">IF(AND(MONTH(D339)&gt;=3,MONTH(D339)&lt;=6),"Summer",IF(AND(MONTH(D339)&gt;=7,MONTH(D339)&lt;=9),"Monsoon","Winter"))</f>
        <v>Summer</v>
      </c>
      <c r="O339" s="0" t="str">
        <f aca="false">IF(AND(L339&gt;=22,L339&lt;=25,E339&gt;=TIME(18,0,0)),"24H Night", IF(AND(L339&gt;=22,L339&lt;=25,E339&lt;TIME(18,0,0)),"24H Day", IF(AND(L339&gt;=11,L339&lt;=13,E339&gt;=TIME(18,0,0)),"12H Night", IF(AND(L339&gt;=11,L339&lt;=13,E339&lt;TIME(18,0,0)),"12H Day", IF(AND(L339&lt;10,E339&gt;=TIME(18,0,0)),"Couple Night", "Couple Day")))))</f>
        <v>24H Night</v>
      </c>
      <c r="P339" s="0" t="n">
        <f aca="false">WEEKDAY(D339,2)</f>
        <v>1</v>
      </c>
      <c r="Q339" s="0" t="n">
        <f aca="false">MONTH(D339)</f>
        <v>3</v>
      </c>
      <c r="R339" s="0" t="str">
        <f aca="false">"Q"&amp;ROUNDUP(MONTH(D339)/3,0)</f>
        <v>Q1</v>
      </c>
    </row>
    <row r="340" customFormat="false" ht="153.7" hidden="false" customHeight="false" outlineLevel="0" collapsed="false">
      <c r="A340" s="7" t="s">
        <v>980</v>
      </c>
      <c r="B340" s="7" t="s">
        <v>926</v>
      </c>
      <c r="C340" s="13" t="s">
        <v>981</v>
      </c>
      <c r="D340" s="11" t="n">
        <v>45720</v>
      </c>
      <c r="E340" s="12" t="n">
        <v>0.791666666700625</v>
      </c>
      <c r="F340" s="11" t="n">
        <v>45721</v>
      </c>
      <c r="G340" s="12" t="n">
        <v>0.3125</v>
      </c>
      <c r="H340" s="10" t="n">
        <v>45719.9417623843</v>
      </c>
      <c r="I340" s="7" t="n">
        <v>2500</v>
      </c>
      <c r="J340" s="0" t="n">
        <f aca="false">IF(AND(D340&gt;=DATE(YEAR(D340),3,15),D340&lt;=DATE(YEAR(D340),6,10)),1,0)</f>
        <v>0</v>
      </c>
      <c r="K340" s="0" t="e">
        <f aca="false">VLOOKUP(D340,Festival_List!$A$2:$B$100,2,0)</f>
        <v>#N/A</v>
      </c>
      <c r="L340" s="0" t="n">
        <f aca="false">ROUND(((F340+G340)-(D340+E340))*24,0)</f>
        <v>12</v>
      </c>
      <c r="M340" s="0" t="n">
        <f aca="false">IF(OR(WEEKDAY(D340)=1,WEEKDAY(D340)=7),1,0)</f>
        <v>0</v>
      </c>
      <c r="N340" s="0" t="str">
        <f aca="false">IF(AND(MONTH(D340)&gt;=3,MONTH(D340)&lt;=6),"Summer",IF(AND(MONTH(D340)&gt;=7,MONTH(D340)&lt;=9),"Monsoon","Winter"))</f>
        <v>Summer</v>
      </c>
      <c r="O340" s="0" t="str">
        <f aca="false">IF(AND(L340&gt;=22,L340&lt;=25,E340&gt;=TIME(18,0,0)),"24H Night", IF(AND(L340&gt;=22,L340&lt;=25,E340&lt;TIME(18,0,0)),"24H Day", IF(AND(L340&gt;=11,L340&lt;=13,E340&gt;=TIME(18,0,0)),"12H Night", IF(AND(L340&gt;=11,L340&lt;=13,E340&lt;TIME(18,0,0)),"12H Day", IF(AND(L340&lt;10,E340&gt;=TIME(18,0,0)),"Couple Night", "Couple Day")))))</f>
        <v>12H Night</v>
      </c>
      <c r="P340" s="0" t="n">
        <f aca="false">WEEKDAY(D340,2)</f>
        <v>2</v>
      </c>
      <c r="Q340" s="0" t="n">
        <f aca="false">MONTH(D340)</f>
        <v>3</v>
      </c>
      <c r="R340" s="0" t="str">
        <f aca="false">"Q"&amp;ROUNDUP(MONTH(D340)/3,0)</f>
        <v>Q1</v>
      </c>
    </row>
    <row r="341" customFormat="false" ht="153.7" hidden="false" customHeight="false" outlineLevel="0" collapsed="false">
      <c r="A341" s="7" t="s">
        <v>982</v>
      </c>
      <c r="B341" s="7" t="s">
        <v>446</v>
      </c>
      <c r="C341" s="13" t="s">
        <v>983</v>
      </c>
      <c r="D341" s="11" t="n">
        <v>45724</v>
      </c>
      <c r="E341" s="12" t="n">
        <v>0.791666666700625</v>
      </c>
      <c r="F341" s="11" t="n">
        <v>45725</v>
      </c>
      <c r="G341" s="12" t="n">
        <v>0.75</v>
      </c>
      <c r="H341" s="10" t="n">
        <v>45725.5136025463</v>
      </c>
      <c r="I341" s="7" t="n">
        <v>7000</v>
      </c>
      <c r="J341" s="0" t="n">
        <f aca="false">IF(AND(D341&gt;=DATE(YEAR(D341),3,15),D341&lt;=DATE(YEAR(D341),6,10)),1,0)</f>
        <v>0</v>
      </c>
      <c r="K341" s="0" t="e">
        <f aca="false">VLOOKUP(D341,Festival_List!$A$2:$B$100,2,0)</f>
        <v>#N/A</v>
      </c>
      <c r="L341" s="0" t="n">
        <f aca="false">ROUND(((F341+G341)-(D341+E341))*24,0)</f>
        <v>23</v>
      </c>
      <c r="M341" s="0" t="n">
        <f aca="false">IF(OR(WEEKDAY(D341)=1,WEEKDAY(D341)=7),1,0)</f>
        <v>1</v>
      </c>
      <c r="N341" s="0" t="str">
        <f aca="false">IF(AND(MONTH(D341)&gt;=3,MONTH(D341)&lt;=6),"Summer",IF(AND(MONTH(D341)&gt;=7,MONTH(D341)&lt;=9),"Monsoon","Winter"))</f>
        <v>Summer</v>
      </c>
      <c r="O341" s="0" t="str">
        <f aca="false">IF(AND(L341&gt;=22,L341&lt;=25,E341&gt;=TIME(18,0,0)),"24H Night", IF(AND(L341&gt;=22,L341&lt;=25,E341&lt;TIME(18,0,0)),"24H Day", IF(AND(L341&gt;=11,L341&lt;=13,E341&gt;=TIME(18,0,0)),"12H Night", IF(AND(L341&gt;=11,L341&lt;=13,E341&lt;TIME(18,0,0)),"12H Day", IF(AND(L341&lt;10,E341&gt;=TIME(18,0,0)),"Couple Night", "Couple Day")))))</f>
        <v>24H Night</v>
      </c>
      <c r="P341" s="0" t="n">
        <f aca="false">WEEKDAY(D341,2)</f>
        <v>6</v>
      </c>
      <c r="Q341" s="0" t="n">
        <f aca="false">MONTH(D341)</f>
        <v>3</v>
      </c>
      <c r="R341" s="0" t="str">
        <f aca="false">"Q"&amp;ROUNDUP(MONTH(D341)/3,0)</f>
        <v>Q1</v>
      </c>
    </row>
    <row r="342" customFormat="false" ht="153.7" hidden="false" customHeight="false" outlineLevel="0" collapsed="false">
      <c r="A342" s="7" t="s">
        <v>984</v>
      </c>
      <c r="B342" s="7" t="s">
        <v>985</v>
      </c>
      <c r="C342" s="13" t="s">
        <v>986</v>
      </c>
      <c r="D342" s="11" t="n">
        <v>45725</v>
      </c>
      <c r="E342" s="12" t="n">
        <v>0.791666666700625</v>
      </c>
      <c r="F342" s="11" t="n">
        <v>45726</v>
      </c>
      <c r="G342" s="12" t="n">
        <v>0.75</v>
      </c>
      <c r="H342" s="10" t="n">
        <v>45725.9178298611</v>
      </c>
      <c r="I342" s="7" t="n">
        <v>4000</v>
      </c>
      <c r="J342" s="0" t="n">
        <f aca="false">IF(AND(D342&gt;=DATE(YEAR(D342),3,15),D342&lt;=DATE(YEAR(D342),6,10)),1,0)</f>
        <v>0</v>
      </c>
      <c r="K342" s="0" t="e">
        <f aca="false">VLOOKUP(D342,Festival_List!$A$2:$B$100,2,0)</f>
        <v>#N/A</v>
      </c>
      <c r="L342" s="0" t="n">
        <f aca="false">ROUND(((F342+G342)-(D342+E342))*24,0)</f>
        <v>23</v>
      </c>
      <c r="M342" s="0" t="n">
        <f aca="false">IF(OR(WEEKDAY(D342)=1,WEEKDAY(D342)=7),1,0)</f>
        <v>1</v>
      </c>
      <c r="N342" s="0" t="str">
        <f aca="false">IF(AND(MONTH(D342)&gt;=3,MONTH(D342)&lt;=6),"Summer",IF(AND(MONTH(D342)&gt;=7,MONTH(D342)&lt;=9),"Monsoon","Winter"))</f>
        <v>Summer</v>
      </c>
      <c r="O342" s="0" t="str">
        <f aca="false">IF(AND(L342&gt;=22,L342&lt;=25,E342&gt;=TIME(18,0,0)),"24H Night", IF(AND(L342&gt;=22,L342&lt;=25,E342&lt;TIME(18,0,0)),"24H Day", IF(AND(L342&gt;=11,L342&lt;=13,E342&gt;=TIME(18,0,0)),"12H Night", IF(AND(L342&gt;=11,L342&lt;=13,E342&lt;TIME(18,0,0)),"12H Day", IF(AND(L342&lt;10,E342&gt;=TIME(18,0,0)),"Couple Night", "Couple Day")))))</f>
        <v>24H Night</v>
      </c>
      <c r="P342" s="0" t="n">
        <f aca="false">WEEKDAY(D342,2)</f>
        <v>7</v>
      </c>
      <c r="Q342" s="0" t="n">
        <f aca="false">MONTH(D342)</f>
        <v>3</v>
      </c>
      <c r="R342" s="0" t="str">
        <f aca="false">"Q"&amp;ROUNDUP(MONTH(D342)/3,0)</f>
        <v>Q1</v>
      </c>
    </row>
    <row r="343" customFormat="false" ht="153.7" hidden="false" customHeight="false" outlineLevel="0" collapsed="false">
      <c r="A343" s="7" t="s">
        <v>987</v>
      </c>
      <c r="B343" s="7" t="s">
        <v>582</v>
      </c>
      <c r="C343" s="13" t="s">
        <v>988</v>
      </c>
      <c r="D343" s="11" t="n">
        <v>45726</v>
      </c>
      <c r="E343" s="12" t="n">
        <v>0.791666666700625</v>
      </c>
      <c r="F343" s="11" t="n">
        <v>45727</v>
      </c>
      <c r="G343" s="12" t="n">
        <v>0.75</v>
      </c>
      <c r="H343" s="10" t="n">
        <v>46103.1640900463</v>
      </c>
      <c r="I343" s="7" t="n">
        <v>5000</v>
      </c>
      <c r="J343" s="0" t="n">
        <f aca="false">IF(AND(D343&gt;=DATE(YEAR(D343),3,15),D343&lt;=DATE(YEAR(D343),6,10)),1,0)</f>
        <v>0</v>
      </c>
      <c r="K343" s="0" t="e">
        <f aca="false">VLOOKUP(D343,Festival_List!$A$2:$B$100,2,0)</f>
        <v>#N/A</v>
      </c>
      <c r="L343" s="0" t="n">
        <f aca="false">ROUND(((F343+G343)-(D343+E343))*24,0)</f>
        <v>23</v>
      </c>
      <c r="M343" s="0" t="n">
        <f aca="false">IF(OR(WEEKDAY(D343)=1,WEEKDAY(D343)=7),1,0)</f>
        <v>0</v>
      </c>
      <c r="N343" s="0" t="str">
        <f aca="false">IF(AND(MONTH(D343)&gt;=3,MONTH(D343)&lt;=6),"Summer",IF(AND(MONTH(D343)&gt;=7,MONTH(D343)&lt;=9),"Monsoon","Winter"))</f>
        <v>Summer</v>
      </c>
      <c r="O343" s="0" t="str">
        <f aca="false">IF(AND(L343&gt;=22,L343&lt;=25,E343&gt;=TIME(18,0,0)),"24H Night", IF(AND(L343&gt;=22,L343&lt;=25,E343&lt;TIME(18,0,0)),"24H Day", IF(AND(L343&gt;=11,L343&lt;=13,E343&gt;=TIME(18,0,0)),"12H Night", IF(AND(L343&gt;=11,L343&lt;=13,E343&lt;TIME(18,0,0)),"12H Day", IF(AND(L343&lt;10,E343&gt;=TIME(18,0,0)),"Couple Night", "Couple Day")))))</f>
        <v>24H Night</v>
      </c>
      <c r="P343" s="0" t="n">
        <f aca="false">WEEKDAY(D343,2)</f>
        <v>1</v>
      </c>
      <c r="Q343" s="0" t="n">
        <f aca="false">MONTH(D343)</f>
        <v>3</v>
      </c>
      <c r="R343" s="0" t="str">
        <f aca="false">"Q"&amp;ROUNDUP(MONTH(D343)/3,0)</f>
        <v>Q1</v>
      </c>
    </row>
    <row r="344" customFormat="false" ht="153.7" hidden="false" customHeight="false" outlineLevel="0" collapsed="false">
      <c r="A344" s="7" t="s">
        <v>989</v>
      </c>
      <c r="B344" s="7" t="s">
        <v>990</v>
      </c>
      <c r="C344" s="13" t="s">
        <v>991</v>
      </c>
      <c r="D344" s="11" t="n">
        <v>45727</v>
      </c>
      <c r="E344" s="12" t="n">
        <v>0.791666666700625</v>
      </c>
      <c r="F344" s="11" t="n">
        <v>45728</v>
      </c>
      <c r="G344" s="12" t="n">
        <v>0.75</v>
      </c>
      <c r="H344" s="10" t="n">
        <v>45727.7920517361</v>
      </c>
      <c r="I344" s="7" t="n">
        <v>5000</v>
      </c>
      <c r="J344" s="0" t="n">
        <f aca="false">IF(AND(D344&gt;=DATE(YEAR(D344),3,15),D344&lt;=DATE(YEAR(D344),6,10)),1,0)</f>
        <v>0</v>
      </c>
      <c r="K344" s="0" t="e">
        <f aca="false">VLOOKUP(D344,Festival_List!$A$2:$B$100,2,0)</f>
        <v>#N/A</v>
      </c>
      <c r="L344" s="0" t="n">
        <f aca="false">ROUND(((F344+G344)-(D344+E344))*24,0)</f>
        <v>23</v>
      </c>
      <c r="M344" s="0" t="n">
        <f aca="false">IF(OR(WEEKDAY(D344)=1,WEEKDAY(D344)=7),1,0)</f>
        <v>0</v>
      </c>
      <c r="N344" s="0" t="str">
        <f aca="false">IF(AND(MONTH(D344)&gt;=3,MONTH(D344)&lt;=6),"Summer",IF(AND(MONTH(D344)&gt;=7,MONTH(D344)&lt;=9),"Monsoon","Winter"))</f>
        <v>Summer</v>
      </c>
      <c r="O344" s="0" t="str">
        <f aca="false">IF(AND(L344&gt;=22,L344&lt;=25,E344&gt;=TIME(18,0,0)),"24H Night", IF(AND(L344&gt;=22,L344&lt;=25,E344&lt;TIME(18,0,0)),"24H Day", IF(AND(L344&gt;=11,L344&lt;=13,E344&gt;=TIME(18,0,0)),"12H Night", IF(AND(L344&gt;=11,L344&lt;=13,E344&lt;TIME(18,0,0)),"12H Day", IF(AND(L344&lt;10,E344&gt;=TIME(18,0,0)),"Couple Night", "Couple Day")))))</f>
        <v>24H Night</v>
      </c>
      <c r="P344" s="0" t="n">
        <f aca="false">WEEKDAY(D344,2)</f>
        <v>2</v>
      </c>
      <c r="Q344" s="0" t="n">
        <f aca="false">MONTH(D344)</f>
        <v>3</v>
      </c>
      <c r="R344" s="0" t="str">
        <f aca="false">"Q"&amp;ROUNDUP(MONTH(D344)/3,0)</f>
        <v>Q1</v>
      </c>
    </row>
    <row r="345" customFormat="false" ht="153.7" hidden="false" customHeight="false" outlineLevel="0" collapsed="false">
      <c r="A345" s="7" t="s">
        <v>992</v>
      </c>
      <c r="B345" s="7" t="s">
        <v>993</v>
      </c>
      <c r="C345" s="13" t="s">
        <v>994</v>
      </c>
      <c r="D345" s="11" t="n">
        <v>45728</v>
      </c>
      <c r="E345" s="12" t="n">
        <v>0.791666666700625</v>
      </c>
      <c r="F345" s="11" t="n">
        <v>45729</v>
      </c>
      <c r="G345" s="12" t="n">
        <v>0.75</v>
      </c>
      <c r="H345" s="10" t="n">
        <v>46103.1640900463</v>
      </c>
      <c r="I345" s="7" t="n">
        <v>6000</v>
      </c>
      <c r="J345" s="0" t="n">
        <f aca="false">IF(AND(D345&gt;=DATE(YEAR(D345),3,15),D345&lt;=DATE(YEAR(D345),6,10)),1,0)</f>
        <v>0</v>
      </c>
      <c r="K345" s="0" t="e">
        <f aca="false">VLOOKUP(D345,Festival_List!$A$2:$B$100,2,0)</f>
        <v>#N/A</v>
      </c>
      <c r="L345" s="0" t="n">
        <f aca="false">ROUND(((F345+G345)-(D345+E345))*24,0)</f>
        <v>23</v>
      </c>
      <c r="M345" s="0" t="n">
        <f aca="false">IF(OR(WEEKDAY(D345)=1,WEEKDAY(D345)=7),1,0)</f>
        <v>0</v>
      </c>
      <c r="N345" s="0" t="str">
        <f aca="false">IF(AND(MONTH(D345)&gt;=3,MONTH(D345)&lt;=6),"Summer",IF(AND(MONTH(D345)&gt;=7,MONTH(D345)&lt;=9),"Monsoon","Winter"))</f>
        <v>Summer</v>
      </c>
      <c r="O345" s="0" t="str">
        <f aca="false">IF(AND(L345&gt;=22,L345&lt;=25,E345&gt;=TIME(18,0,0)),"24H Night", IF(AND(L345&gt;=22,L345&lt;=25,E345&lt;TIME(18,0,0)),"24H Day", IF(AND(L345&gt;=11,L345&lt;=13,E345&gt;=TIME(18,0,0)),"12H Night", IF(AND(L345&gt;=11,L345&lt;=13,E345&lt;TIME(18,0,0)),"12H Day", IF(AND(L345&lt;10,E345&gt;=TIME(18,0,0)),"Couple Night", "Couple Day")))))</f>
        <v>24H Night</v>
      </c>
      <c r="P345" s="0" t="n">
        <f aca="false">WEEKDAY(D345,2)</f>
        <v>3</v>
      </c>
      <c r="Q345" s="0" t="n">
        <f aca="false">MONTH(D345)</f>
        <v>3</v>
      </c>
      <c r="R345" s="0" t="str">
        <f aca="false">"Q"&amp;ROUNDUP(MONTH(D345)/3,0)</f>
        <v>Q1</v>
      </c>
    </row>
    <row r="346" customFormat="false" ht="153.7" hidden="false" customHeight="false" outlineLevel="0" collapsed="false">
      <c r="A346" s="7" t="s">
        <v>995</v>
      </c>
      <c r="B346" s="7" t="s">
        <v>996</v>
      </c>
      <c r="C346" s="13" t="s">
        <v>997</v>
      </c>
      <c r="D346" s="11" t="n">
        <v>45729</v>
      </c>
      <c r="E346" s="12" t="n">
        <v>0.791666666700625</v>
      </c>
      <c r="F346" s="11" t="n">
        <v>45730</v>
      </c>
      <c r="G346" s="12" t="n">
        <v>0.75</v>
      </c>
      <c r="H346" s="10" t="n">
        <v>46103.1640900463</v>
      </c>
      <c r="I346" s="7" t="n">
        <v>20000</v>
      </c>
      <c r="J346" s="0" t="n">
        <f aca="false">IF(AND(D346&gt;=DATE(YEAR(D346),3,15),D346&lt;=DATE(YEAR(D346),6,10)),1,0)</f>
        <v>0</v>
      </c>
      <c r="K346" s="0" t="e">
        <f aca="false">VLOOKUP(D346,Festival_List!$A$2:$B$100,2,0)</f>
        <v>#N/A</v>
      </c>
      <c r="L346" s="0" t="n">
        <f aca="false">ROUND(((F346+G346)-(D346+E346))*24,0)</f>
        <v>23</v>
      </c>
      <c r="M346" s="0" t="n">
        <f aca="false">IF(OR(WEEKDAY(D346)=1,WEEKDAY(D346)=7),1,0)</f>
        <v>0</v>
      </c>
      <c r="N346" s="0" t="str">
        <f aca="false">IF(AND(MONTH(D346)&gt;=3,MONTH(D346)&lt;=6),"Summer",IF(AND(MONTH(D346)&gt;=7,MONTH(D346)&lt;=9),"Monsoon","Winter"))</f>
        <v>Summer</v>
      </c>
      <c r="O346" s="0" t="str">
        <f aca="false">IF(AND(L346&gt;=22,L346&lt;=25,E346&gt;=TIME(18,0,0)),"24H Night", IF(AND(L346&gt;=22,L346&lt;=25,E346&lt;TIME(18,0,0)),"24H Day", IF(AND(L346&gt;=11,L346&lt;=13,E346&gt;=TIME(18,0,0)),"12H Night", IF(AND(L346&gt;=11,L346&lt;=13,E346&lt;TIME(18,0,0)),"12H Day", IF(AND(L346&lt;10,E346&gt;=TIME(18,0,0)),"Couple Night", "Couple Day")))))</f>
        <v>24H Night</v>
      </c>
      <c r="P346" s="0" t="n">
        <f aca="false">WEEKDAY(D346,2)</f>
        <v>4</v>
      </c>
      <c r="Q346" s="0" t="n">
        <f aca="false">MONTH(D346)</f>
        <v>3</v>
      </c>
      <c r="R346" s="0" t="str">
        <f aca="false">"Q"&amp;ROUNDUP(MONTH(D346)/3,0)</f>
        <v>Q1</v>
      </c>
    </row>
    <row r="347" customFormat="false" ht="141" hidden="false" customHeight="false" outlineLevel="0" collapsed="false">
      <c r="A347" s="7" t="s">
        <v>998</v>
      </c>
      <c r="B347" s="7" t="s">
        <v>490</v>
      </c>
      <c r="C347" s="13" t="s">
        <v>999</v>
      </c>
      <c r="D347" s="11" t="n">
        <v>45730</v>
      </c>
      <c r="E347" s="12" t="n">
        <v>0.791666666700625</v>
      </c>
      <c r="F347" s="11" t="n">
        <v>45731</v>
      </c>
      <c r="G347" s="12" t="n">
        <v>0.75</v>
      </c>
      <c r="H347" s="10" t="n">
        <v>45713.8752814815</v>
      </c>
      <c r="I347" s="7" t="n">
        <v>7000</v>
      </c>
      <c r="J347" s="0" t="n">
        <f aca="false">IF(AND(D347&gt;=DATE(YEAR(D347),3,15),D347&lt;=DATE(YEAR(D347),6,10)),1,0)</f>
        <v>0</v>
      </c>
      <c r="K347" s="0" t="str">
        <f aca="false">VLOOKUP(D347,Festival_List!$A$2:$B$100,2,0)</f>
        <v>Holi</v>
      </c>
      <c r="L347" s="0" t="n">
        <f aca="false">ROUND(((F347+G347)-(D347+E347))*24,0)</f>
        <v>23</v>
      </c>
      <c r="M347" s="0" t="n">
        <f aca="false">IF(OR(WEEKDAY(D347)=1,WEEKDAY(D347)=7),1,0)</f>
        <v>0</v>
      </c>
      <c r="N347" s="0" t="str">
        <f aca="false">IF(AND(MONTH(D347)&gt;=3,MONTH(D347)&lt;=6),"Summer",IF(AND(MONTH(D347)&gt;=7,MONTH(D347)&lt;=9),"Monsoon","Winter"))</f>
        <v>Summer</v>
      </c>
      <c r="O347" s="0" t="str">
        <f aca="false">IF(AND(L347&gt;=22,L347&lt;=25,E347&gt;=TIME(18,0,0)),"24H Night", IF(AND(L347&gt;=22,L347&lt;=25,E347&lt;TIME(18,0,0)),"24H Day", IF(AND(L347&gt;=11,L347&lt;=13,E347&gt;=TIME(18,0,0)),"12H Night", IF(AND(L347&gt;=11,L347&lt;=13,E347&lt;TIME(18,0,0)),"12H Day", IF(AND(L347&lt;10,E347&gt;=TIME(18,0,0)),"Couple Night", "Couple Day")))))</f>
        <v>24H Night</v>
      </c>
      <c r="P347" s="0" t="n">
        <f aca="false">WEEKDAY(D347,2)</f>
        <v>5</v>
      </c>
      <c r="Q347" s="0" t="n">
        <f aca="false">MONTH(D347)</f>
        <v>3</v>
      </c>
      <c r="R347" s="0" t="str">
        <f aca="false">"Q"&amp;ROUNDUP(MONTH(D347)/3,0)</f>
        <v>Q1</v>
      </c>
    </row>
    <row r="348" customFormat="false" ht="153.7" hidden="false" customHeight="false" outlineLevel="0" collapsed="false">
      <c r="A348" s="7" t="s">
        <v>1000</v>
      </c>
      <c r="B348" s="7" t="s">
        <v>1001</v>
      </c>
      <c r="C348" s="13" t="s">
        <v>1002</v>
      </c>
      <c r="D348" s="11" t="n">
        <v>45731</v>
      </c>
      <c r="E348" s="12" t="n">
        <v>0.791666666700625</v>
      </c>
      <c r="F348" s="11" t="n">
        <v>45732</v>
      </c>
      <c r="G348" s="12" t="n">
        <v>0.75</v>
      </c>
      <c r="H348" s="10" t="n">
        <v>46103.1640900463</v>
      </c>
      <c r="I348" s="7" t="n">
        <v>7500</v>
      </c>
      <c r="J348" s="0" t="n">
        <f aca="false">IF(AND(D348&gt;=DATE(YEAR(D348),3,15),D348&lt;=DATE(YEAR(D348),6,10)),1,0)</f>
        <v>1</v>
      </c>
      <c r="K348" s="0" t="str">
        <f aca="false">VLOOKUP(D348,Festival_List!$A$2:$B$100,2,0)</f>
        <v>Dhuleti</v>
      </c>
      <c r="L348" s="0" t="n">
        <f aca="false">ROUND(((F348+G348)-(D348+E348))*24,0)</f>
        <v>23</v>
      </c>
      <c r="M348" s="0" t="n">
        <f aca="false">IF(OR(WEEKDAY(D348)=1,WEEKDAY(D348)=7),1,0)</f>
        <v>1</v>
      </c>
      <c r="N348" s="0" t="str">
        <f aca="false">IF(AND(MONTH(D348)&gt;=3,MONTH(D348)&lt;=6),"Summer",IF(AND(MONTH(D348)&gt;=7,MONTH(D348)&lt;=9),"Monsoon","Winter"))</f>
        <v>Summer</v>
      </c>
      <c r="O348" s="0" t="str">
        <f aca="false">IF(AND(L348&gt;=22,L348&lt;=25,E348&gt;=TIME(18,0,0)),"24H Night", IF(AND(L348&gt;=22,L348&lt;=25,E348&lt;TIME(18,0,0)),"24H Day", IF(AND(L348&gt;=11,L348&lt;=13,E348&gt;=TIME(18,0,0)),"12H Night", IF(AND(L348&gt;=11,L348&lt;=13,E348&lt;TIME(18,0,0)),"12H Day", IF(AND(L348&lt;10,E348&gt;=TIME(18,0,0)),"Couple Night", "Couple Day")))))</f>
        <v>24H Night</v>
      </c>
      <c r="P348" s="0" t="n">
        <f aca="false">WEEKDAY(D348,2)</f>
        <v>6</v>
      </c>
      <c r="Q348" s="0" t="n">
        <f aca="false">MONTH(D348)</f>
        <v>3</v>
      </c>
      <c r="R348" s="0" t="str">
        <f aca="false">"Q"&amp;ROUNDUP(MONTH(D348)/3,0)</f>
        <v>Q1</v>
      </c>
    </row>
    <row r="349" customFormat="false" ht="153.7" hidden="false" customHeight="false" outlineLevel="0" collapsed="false">
      <c r="A349" s="7" t="s">
        <v>1003</v>
      </c>
      <c r="B349" s="7" t="s">
        <v>1004</v>
      </c>
      <c r="C349" s="13" t="s">
        <v>1005</v>
      </c>
      <c r="D349" s="11" t="n">
        <v>45732</v>
      </c>
      <c r="E349" s="12" t="n">
        <v>0.791666666700625</v>
      </c>
      <c r="F349" s="11" t="n">
        <v>45733</v>
      </c>
      <c r="G349" s="12" t="n">
        <v>0.333333333299375</v>
      </c>
      <c r="H349" s="10" t="n">
        <v>46103.1640900463</v>
      </c>
      <c r="I349" s="7" t="n">
        <v>3000</v>
      </c>
      <c r="J349" s="0" t="n">
        <f aca="false">IF(AND(D349&gt;=DATE(YEAR(D349),3,15),D349&lt;=DATE(YEAR(D349),6,10)),1,0)</f>
        <v>1</v>
      </c>
      <c r="K349" s="0" t="e">
        <f aca="false">VLOOKUP(D349,Festival_List!$A$2:$B$100,2,0)</f>
        <v>#N/A</v>
      </c>
      <c r="L349" s="0" t="n">
        <f aca="false">ROUND(((F349+G349)-(D349+E349))*24,0)</f>
        <v>13</v>
      </c>
      <c r="M349" s="0" t="n">
        <f aca="false">IF(OR(WEEKDAY(D349)=1,WEEKDAY(D349)=7),1,0)</f>
        <v>1</v>
      </c>
      <c r="N349" s="0" t="str">
        <f aca="false">IF(AND(MONTH(D349)&gt;=3,MONTH(D349)&lt;=6),"Summer",IF(AND(MONTH(D349)&gt;=7,MONTH(D349)&lt;=9),"Monsoon","Winter"))</f>
        <v>Summer</v>
      </c>
      <c r="O349" s="0" t="str">
        <f aca="false">IF(AND(L349&gt;=22,L349&lt;=25,E349&gt;=TIME(18,0,0)),"24H Night", IF(AND(L349&gt;=22,L349&lt;=25,E349&lt;TIME(18,0,0)),"24H Day", IF(AND(L349&gt;=11,L349&lt;=13,E349&gt;=TIME(18,0,0)),"12H Night", IF(AND(L349&gt;=11,L349&lt;=13,E349&lt;TIME(18,0,0)),"12H Day", IF(AND(L349&lt;10,E349&gt;=TIME(18,0,0)),"Couple Night", "Couple Day")))))</f>
        <v>12H Night</v>
      </c>
      <c r="P349" s="0" t="n">
        <f aca="false">WEEKDAY(D349,2)</f>
        <v>7</v>
      </c>
      <c r="Q349" s="0" t="n">
        <f aca="false">MONTH(D349)</f>
        <v>3</v>
      </c>
      <c r="R349" s="0" t="str">
        <f aca="false">"Q"&amp;ROUNDUP(MONTH(D349)/3,0)</f>
        <v>Q1</v>
      </c>
    </row>
    <row r="350" customFormat="false" ht="128.35" hidden="false" customHeight="false" outlineLevel="0" collapsed="false">
      <c r="A350" s="7" t="s">
        <v>1006</v>
      </c>
      <c r="B350" s="7" t="s">
        <v>1007</v>
      </c>
      <c r="C350" s="13" t="s">
        <v>1008</v>
      </c>
      <c r="D350" s="11" t="n">
        <v>45734</v>
      </c>
      <c r="E350" s="12" t="n">
        <v>0.833333333299375</v>
      </c>
      <c r="F350" s="11" t="n">
        <v>45735</v>
      </c>
      <c r="G350" s="12" t="n">
        <v>0.791666666700625</v>
      </c>
      <c r="H350" s="10" t="n">
        <v>46103.1640900463</v>
      </c>
      <c r="I350" s="7" t="n">
        <v>4000</v>
      </c>
      <c r="J350" s="0" t="n">
        <f aca="false">IF(AND(D350&gt;=DATE(YEAR(D350),3,15),D350&lt;=DATE(YEAR(D350),6,10)),1,0)</f>
        <v>1</v>
      </c>
      <c r="K350" s="0" t="e">
        <f aca="false">VLOOKUP(D350,Festival_List!$A$2:$B$100,2,0)</f>
        <v>#N/A</v>
      </c>
      <c r="L350" s="0" t="n">
        <f aca="false">ROUND(((F350+G350)-(D350+E350))*24,0)</f>
        <v>23</v>
      </c>
      <c r="M350" s="0" t="n">
        <f aca="false">IF(OR(WEEKDAY(D350)=1,WEEKDAY(D350)=7),1,0)</f>
        <v>0</v>
      </c>
      <c r="N350" s="0" t="str">
        <f aca="false">IF(AND(MONTH(D350)&gt;=3,MONTH(D350)&lt;=6),"Summer",IF(AND(MONTH(D350)&gt;=7,MONTH(D350)&lt;=9),"Monsoon","Winter"))</f>
        <v>Summer</v>
      </c>
      <c r="O350" s="0" t="str">
        <f aca="false">IF(AND(L350&gt;=22,L350&lt;=25,E350&gt;=TIME(18,0,0)),"24H Night", IF(AND(L350&gt;=22,L350&lt;=25,E350&lt;TIME(18,0,0)),"24H Day", IF(AND(L350&gt;=11,L350&lt;=13,E350&gt;=TIME(18,0,0)),"12H Night", IF(AND(L350&gt;=11,L350&lt;=13,E350&lt;TIME(18,0,0)),"12H Day", IF(AND(L350&lt;10,E350&gt;=TIME(18,0,0)),"Couple Night", "Couple Day")))))</f>
        <v>24H Night</v>
      </c>
      <c r="P350" s="0" t="n">
        <f aca="false">WEEKDAY(D350,2)</f>
        <v>2</v>
      </c>
      <c r="Q350" s="0" t="n">
        <f aca="false">MONTH(D350)</f>
        <v>3</v>
      </c>
      <c r="R350" s="0" t="str">
        <f aca="false">"Q"&amp;ROUNDUP(MONTH(D350)/3,0)</f>
        <v>Q1</v>
      </c>
    </row>
    <row r="351" customFormat="false" ht="153.7" hidden="false" customHeight="false" outlineLevel="0" collapsed="false">
      <c r="A351" s="7" t="s">
        <v>1009</v>
      </c>
      <c r="B351" s="7" t="s">
        <v>1010</v>
      </c>
      <c r="C351" s="13" t="s">
        <v>1011</v>
      </c>
      <c r="D351" s="11" t="n">
        <v>45735</v>
      </c>
      <c r="E351" s="12" t="n">
        <v>0.791666666700625</v>
      </c>
      <c r="F351" s="11" t="n">
        <v>45736</v>
      </c>
      <c r="G351" s="12" t="n">
        <v>0.75</v>
      </c>
      <c r="H351" s="10" t="n">
        <v>46103.1640900463</v>
      </c>
      <c r="I351" s="7" t="n">
        <v>4000</v>
      </c>
      <c r="J351" s="0" t="n">
        <f aca="false">IF(AND(D351&gt;=DATE(YEAR(D351),3,15),D351&lt;=DATE(YEAR(D351),6,10)),1,0)</f>
        <v>1</v>
      </c>
      <c r="K351" s="0" t="e">
        <f aca="false">VLOOKUP(D351,Festival_List!$A$2:$B$100,2,0)</f>
        <v>#N/A</v>
      </c>
      <c r="L351" s="0" t="n">
        <f aca="false">ROUND(((F351+G351)-(D351+E351))*24,0)</f>
        <v>23</v>
      </c>
      <c r="M351" s="0" t="n">
        <f aca="false">IF(OR(WEEKDAY(D351)=1,WEEKDAY(D351)=7),1,0)</f>
        <v>0</v>
      </c>
      <c r="N351" s="0" t="str">
        <f aca="false">IF(AND(MONTH(D351)&gt;=3,MONTH(D351)&lt;=6),"Summer",IF(AND(MONTH(D351)&gt;=7,MONTH(D351)&lt;=9),"Monsoon","Winter"))</f>
        <v>Summer</v>
      </c>
      <c r="O351" s="0" t="str">
        <f aca="false">IF(AND(L351&gt;=22,L351&lt;=25,E351&gt;=TIME(18,0,0)),"24H Night", IF(AND(L351&gt;=22,L351&lt;=25,E351&lt;TIME(18,0,0)),"24H Day", IF(AND(L351&gt;=11,L351&lt;=13,E351&gt;=TIME(18,0,0)),"12H Night", IF(AND(L351&gt;=11,L351&lt;=13,E351&lt;TIME(18,0,0)),"12H Day", IF(AND(L351&lt;10,E351&gt;=TIME(18,0,0)),"Couple Night", "Couple Day")))))</f>
        <v>24H Night</v>
      </c>
      <c r="P351" s="0" t="n">
        <f aca="false">WEEKDAY(D351,2)</f>
        <v>3</v>
      </c>
      <c r="Q351" s="0" t="n">
        <f aca="false">MONTH(D351)</f>
        <v>3</v>
      </c>
      <c r="R351" s="0" t="str">
        <f aca="false">"Q"&amp;ROUNDUP(MONTH(D351)/3,0)</f>
        <v>Q1</v>
      </c>
    </row>
    <row r="352" customFormat="false" ht="153.7" hidden="false" customHeight="false" outlineLevel="0" collapsed="false">
      <c r="A352" s="7" t="s">
        <v>1012</v>
      </c>
      <c r="B352" s="7" t="s">
        <v>1013</v>
      </c>
      <c r="C352" s="13" t="s">
        <v>1014</v>
      </c>
      <c r="D352" s="11" t="n">
        <v>45736</v>
      </c>
      <c r="E352" s="12" t="n">
        <v>0.791666666700625</v>
      </c>
      <c r="F352" s="11" t="n">
        <v>45737</v>
      </c>
      <c r="G352" s="12" t="n">
        <v>0.333333333299375</v>
      </c>
      <c r="H352" s="10" t="n">
        <v>45736.7938232639</v>
      </c>
      <c r="I352" s="7" t="n">
        <v>2500</v>
      </c>
      <c r="J352" s="0" t="n">
        <f aca="false">IF(AND(D352&gt;=DATE(YEAR(D352),3,15),D352&lt;=DATE(YEAR(D352),6,10)),1,0)</f>
        <v>1</v>
      </c>
      <c r="K352" s="0" t="e">
        <f aca="false">VLOOKUP(D352,Festival_List!$A$2:$B$100,2,0)</f>
        <v>#N/A</v>
      </c>
      <c r="L352" s="0" t="n">
        <f aca="false">ROUND(((F352+G352)-(D352+E352))*24,0)</f>
        <v>13</v>
      </c>
      <c r="M352" s="0" t="n">
        <f aca="false">IF(OR(WEEKDAY(D352)=1,WEEKDAY(D352)=7),1,0)</f>
        <v>0</v>
      </c>
      <c r="N352" s="0" t="str">
        <f aca="false">IF(AND(MONTH(D352)&gt;=3,MONTH(D352)&lt;=6),"Summer",IF(AND(MONTH(D352)&gt;=7,MONTH(D352)&lt;=9),"Monsoon","Winter"))</f>
        <v>Summer</v>
      </c>
      <c r="O352" s="0" t="str">
        <f aca="false">IF(AND(L352&gt;=22,L352&lt;=25,E352&gt;=TIME(18,0,0)),"24H Night", IF(AND(L352&gt;=22,L352&lt;=25,E352&lt;TIME(18,0,0)),"24H Day", IF(AND(L352&gt;=11,L352&lt;=13,E352&gt;=TIME(18,0,0)),"12H Night", IF(AND(L352&gt;=11,L352&lt;=13,E352&lt;TIME(18,0,0)),"12H Day", IF(AND(L352&lt;10,E352&gt;=TIME(18,0,0)),"Couple Night", "Couple Day")))))</f>
        <v>12H Night</v>
      </c>
      <c r="P352" s="0" t="n">
        <f aca="false">WEEKDAY(D352,2)</f>
        <v>4</v>
      </c>
      <c r="Q352" s="0" t="n">
        <f aca="false">MONTH(D352)</f>
        <v>3</v>
      </c>
      <c r="R352" s="0" t="str">
        <f aca="false">"Q"&amp;ROUNDUP(MONTH(D352)/3,0)</f>
        <v>Q1</v>
      </c>
    </row>
    <row r="353" customFormat="false" ht="153.7" hidden="false" customHeight="false" outlineLevel="0" collapsed="false">
      <c r="A353" s="7" t="s">
        <v>1015</v>
      </c>
      <c r="B353" s="7" t="s">
        <v>1016</v>
      </c>
      <c r="C353" s="13" t="s">
        <v>1017</v>
      </c>
      <c r="D353" s="11" t="n">
        <v>45737</v>
      </c>
      <c r="E353" s="12" t="n">
        <v>0.520833333299375</v>
      </c>
      <c r="F353" s="11" t="n">
        <v>45737</v>
      </c>
      <c r="G353" s="12" t="n">
        <v>0.75</v>
      </c>
      <c r="H353" s="10" t="n">
        <v>46103.1640900463</v>
      </c>
      <c r="I353" s="7" t="n">
        <v>2000</v>
      </c>
      <c r="J353" s="0" t="n">
        <f aca="false">IF(AND(D353&gt;=DATE(YEAR(D353),3,15),D353&lt;=DATE(YEAR(D353),6,10)),1,0)</f>
        <v>1</v>
      </c>
      <c r="K353" s="0" t="e">
        <f aca="false">VLOOKUP(D353,Festival_List!$A$2:$B$100,2,0)</f>
        <v>#N/A</v>
      </c>
      <c r="L353" s="0" t="n">
        <f aca="false">ROUND(((F353+G353)-(D353+E353))*24,0)</f>
        <v>6</v>
      </c>
      <c r="M353" s="0" t="n">
        <f aca="false">IF(OR(WEEKDAY(D353)=1,WEEKDAY(D353)=7),1,0)</f>
        <v>0</v>
      </c>
      <c r="N353" s="0" t="str">
        <f aca="false">IF(AND(MONTH(D353)&gt;=3,MONTH(D353)&lt;=6),"Summer",IF(AND(MONTH(D353)&gt;=7,MONTH(D353)&lt;=9),"Monsoon","Winter"))</f>
        <v>Summer</v>
      </c>
      <c r="O353" s="0" t="str">
        <f aca="false">IF(AND(L353&gt;=22,L353&lt;=25,E353&gt;=TIME(18,0,0)),"24H Night", IF(AND(L353&gt;=22,L353&lt;=25,E353&lt;TIME(18,0,0)),"24H Day", IF(AND(L353&gt;=11,L353&lt;=13,E353&gt;=TIME(18,0,0)),"12H Night", IF(AND(L353&gt;=11,L353&lt;=13,E353&lt;TIME(18,0,0)),"12H Day", IF(AND(L353&lt;10,E353&gt;=TIME(18,0,0)),"Couple Night", "Couple Day")))))</f>
        <v>Couple Day</v>
      </c>
      <c r="P353" s="0" t="n">
        <f aca="false">WEEKDAY(D353,2)</f>
        <v>5</v>
      </c>
      <c r="Q353" s="0" t="n">
        <f aca="false">MONTH(D353)</f>
        <v>3</v>
      </c>
      <c r="R353" s="0" t="str">
        <f aca="false">"Q"&amp;ROUNDUP(MONTH(D353)/3,0)</f>
        <v>Q1</v>
      </c>
    </row>
    <row r="354" customFormat="false" ht="153.7" hidden="false" customHeight="false" outlineLevel="0" collapsed="false">
      <c r="A354" s="7" t="s">
        <v>1018</v>
      </c>
      <c r="B354" s="7" t="s">
        <v>513</v>
      </c>
      <c r="C354" s="13" t="s">
        <v>1019</v>
      </c>
      <c r="D354" s="11" t="n">
        <v>45737</v>
      </c>
      <c r="E354" s="12" t="n">
        <v>0.791666666700625</v>
      </c>
      <c r="F354" s="11" t="n">
        <v>45738</v>
      </c>
      <c r="G354" s="12" t="n">
        <v>0.75</v>
      </c>
      <c r="H354" s="10" t="n">
        <v>46117.7443337963</v>
      </c>
      <c r="I354" s="7" t="n">
        <v>4500</v>
      </c>
      <c r="J354" s="0" t="n">
        <f aca="false">IF(AND(D354&gt;=DATE(YEAR(D354),3,15),D354&lt;=DATE(YEAR(D354),6,10)),1,0)</f>
        <v>1</v>
      </c>
      <c r="K354" s="0" t="e">
        <f aca="false">VLOOKUP(D354,Festival_List!$A$2:$B$100,2,0)</f>
        <v>#N/A</v>
      </c>
      <c r="L354" s="0" t="n">
        <f aca="false">ROUND(((F354+G354)-(D354+E354))*24,0)</f>
        <v>23</v>
      </c>
      <c r="M354" s="0" t="n">
        <f aca="false">IF(OR(WEEKDAY(D354)=1,WEEKDAY(D354)=7),1,0)</f>
        <v>0</v>
      </c>
      <c r="N354" s="0" t="str">
        <f aca="false">IF(AND(MONTH(D354)&gt;=3,MONTH(D354)&lt;=6),"Summer",IF(AND(MONTH(D354)&gt;=7,MONTH(D354)&lt;=9),"Monsoon","Winter"))</f>
        <v>Summer</v>
      </c>
      <c r="O354" s="0" t="str">
        <f aca="false">IF(AND(L354&gt;=22,L354&lt;=25,E354&gt;=TIME(18,0,0)),"24H Night", IF(AND(L354&gt;=22,L354&lt;=25,E354&lt;TIME(18,0,0)),"24H Day", IF(AND(L354&gt;=11,L354&lt;=13,E354&gt;=TIME(18,0,0)),"12H Night", IF(AND(L354&gt;=11,L354&lt;=13,E354&lt;TIME(18,0,0)),"12H Day", IF(AND(L354&lt;10,E354&gt;=TIME(18,0,0)),"Couple Night", "Couple Day")))))</f>
        <v>24H Night</v>
      </c>
      <c r="P354" s="0" t="n">
        <f aca="false">WEEKDAY(D354,2)</f>
        <v>5</v>
      </c>
      <c r="Q354" s="0" t="n">
        <f aca="false">MONTH(D354)</f>
        <v>3</v>
      </c>
      <c r="R354" s="0" t="str">
        <f aca="false">"Q"&amp;ROUNDUP(MONTH(D354)/3,0)</f>
        <v>Q1</v>
      </c>
    </row>
    <row r="355" customFormat="false" ht="153.7" hidden="false" customHeight="false" outlineLevel="0" collapsed="false">
      <c r="A355" s="7" t="s">
        <v>1020</v>
      </c>
      <c r="B355" s="7" t="s">
        <v>281</v>
      </c>
      <c r="C355" s="13" t="s">
        <v>1021</v>
      </c>
      <c r="D355" s="11" t="n">
        <v>45738</v>
      </c>
      <c r="E355" s="12" t="n">
        <v>0.791666666700625</v>
      </c>
      <c r="F355" s="11" t="n">
        <v>45739</v>
      </c>
      <c r="G355" s="12" t="n">
        <v>0.75</v>
      </c>
      <c r="H355" s="10" t="n">
        <v>45734.9608890046</v>
      </c>
      <c r="I355" s="7" t="n">
        <v>9500</v>
      </c>
      <c r="J355" s="0" t="n">
        <f aca="false">IF(AND(D355&gt;=DATE(YEAR(D355),3,15),D355&lt;=DATE(YEAR(D355),6,10)),1,0)</f>
        <v>1</v>
      </c>
      <c r="K355" s="0" t="e">
        <f aca="false">VLOOKUP(D355,Festival_List!$A$2:$B$100,2,0)</f>
        <v>#N/A</v>
      </c>
      <c r="L355" s="0" t="n">
        <f aca="false">ROUND(((F355+G355)-(D355+E355))*24,0)</f>
        <v>23</v>
      </c>
      <c r="M355" s="0" t="n">
        <f aca="false">IF(OR(WEEKDAY(D355)=1,WEEKDAY(D355)=7),1,0)</f>
        <v>1</v>
      </c>
      <c r="N355" s="0" t="str">
        <f aca="false">IF(AND(MONTH(D355)&gt;=3,MONTH(D355)&lt;=6),"Summer",IF(AND(MONTH(D355)&gt;=7,MONTH(D355)&lt;=9),"Monsoon","Winter"))</f>
        <v>Summer</v>
      </c>
      <c r="O355" s="0" t="str">
        <f aca="false">IF(AND(L355&gt;=22,L355&lt;=25,E355&gt;=TIME(18,0,0)),"24H Night", IF(AND(L355&gt;=22,L355&lt;=25,E355&lt;TIME(18,0,0)),"24H Day", IF(AND(L355&gt;=11,L355&lt;=13,E355&gt;=TIME(18,0,0)),"12H Night", IF(AND(L355&gt;=11,L355&lt;=13,E355&lt;TIME(18,0,0)),"12H Day", IF(AND(L355&lt;10,E355&gt;=TIME(18,0,0)),"Couple Night", "Couple Day")))))</f>
        <v>24H Night</v>
      </c>
      <c r="P355" s="0" t="n">
        <f aca="false">WEEKDAY(D355,2)</f>
        <v>6</v>
      </c>
      <c r="Q355" s="0" t="n">
        <f aca="false">MONTH(D355)</f>
        <v>3</v>
      </c>
      <c r="R355" s="0" t="str">
        <f aca="false">"Q"&amp;ROUNDUP(MONTH(D355)/3,0)</f>
        <v>Q1</v>
      </c>
    </row>
    <row r="356" customFormat="false" ht="153.7" hidden="false" customHeight="false" outlineLevel="0" collapsed="false">
      <c r="A356" s="7" t="s">
        <v>1022</v>
      </c>
      <c r="B356" s="7" t="s">
        <v>1023</v>
      </c>
      <c r="C356" s="13" t="s">
        <v>1024</v>
      </c>
      <c r="D356" s="11" t="n">
        <v>45739</v>
      </c>
      <c r="E356" s="12" t="n">
        <v>0.791666666700625</v>
      </c>
      <c r="F356" s="11" t="n">
        <v>45740</v>
      </c>
      <c r="G356" s="12" t="n">
        <v>0.75</v>
      </c>
      <c r="H356" s="10" t="n">
        <v>46117.7443337963</v>
      </c>
      <c r="I356" s="7" t="n">
        <v>3500</v>
      </c>
      <c r="J356" s="0" t="n">
        <f aca="false">IF(AND(D356&gt;=DATE(YEAR(D356),3,15),D356&lt;=DATE(YEAR(D356),6,10)),1,0)</f>
        <v>1</v>
      </c>
      <c r="K356" s="0" t="e">
        <f aca="false">VLOOKUP(D356,Festival_List!$A$2:$B$100,2,0)</f>
        <v>#N/A</v>
      </c>
      <c r="L356" s="0" t="n">
        <f aca="false">ROUND(((F356+G356)-(D356+E356))*24,0)</f>
        <v>23</v>
      </c>
      <c r="M356" s="0" t="n">
        <f aca="false">IF(OR(WEEKDAY(D356)=1,WEEKDAY(D356)=7),1,0)</f>
        <v>1</v>
      </c>
      <c r="N356" s="0" t="str">
        <f aca="false">IF(AND(MONTH(D356)&gt;=3,MONTH(D356)&lt;=6),"Summer",IF(AND(MONTH(D356)&gt;=7,MONTH(D356)&lt;=9),"Monsoon","Winter"))</f>
        <v>Summer</v>
      </c>
      <c r="O356" s="0" t="str">
        <f aca="false">IF(AND(L356&gt;=22,L356&lt;=25,E356&gt;=TIME(18,0,0)),"24H Night", IF(AND(L356&gt;=22,L356&lt;=25,E356&lt;TIME(18,0,0)),"24H Day", IF(AND(L356&gt;=11,L356&lt;=13,E356&gt;=TIME(18,0,0)),"12H Night", IF(AND(L356&gt;=11,L356&lt;=13,E356&lt;TIME(18,0,0)),"12H Day", IF(AND(L356&lt;10,E356&gt;=TIME(18,0,0)),"Couple Night", "Couple Day")))))</f>
        <v>24H Night</v>
      </c>
      <c r="P356" s="0" t="n">
        <f aca="false">WEEKDAY(D356,2)</f>
        <v>7</v>
      </c>
      <c r="Q356" s="0" t="n">
        <f aca="false">MONTH(D356)</f>
        <v>3</v>
      </c>
      <c r="R356" s="0" t="str">
        <f aca="false">"Q"&amp;ROUNDUP(MONTH(D356)/3,0)</f>
        <v>Q1</v>
      </c>
    </row>
    <row r="357" customFormat="false" ht="26.85" hidden="false" customHeight="false" outlineLevel="0" collapsed="false">
      <c r="A357" s="7" t="s">
        <v>1025</v>
      </c>
      <c r="B357" s="7" t="s">
        <v>1026</v>
      </c>
      <c r="C357" s="13" t="s">
        <v>1027</v>
      </c>
      <c r="D357" s="11" t="n">
        <v>45742</v>
      </c>
      <c r="E357" s="12" t="n">
        <v>0.458333333299375</v>
      </c>
      <c r="F357" s="11" t="n">
        <v>45742</v>
      </c>
      <c r="G357" s="12" t="n">
        <v>0.625</v>
      </c>
      <c r="H357" s="10" t="n">
        <v>45742.5731798611</v>
      </c>
      <c r="I357" s="7" t="n">
        <v>1000</v>
      </c>
      <c r="J357" s="0" t="n">
        <f aca="false">IF(AND(D357&gt;=DATE(YEAR(D357),3,15),D357&lt;=DATE(YEAR(D357),6,10)),1,0)</f>
        <v>1</v>
      </c>
      <c r="K357" s="0" t="e">
        <f aca="false">VLOOKUP(D357,Festival_List!$A$2:$B$100,2,0)</f>
        <v>#N/A</v>
      </c>
      <c r="L357" s="0" t="n">
        <f aca="false">ROUND(((F357+G357)-(D357+E357))*24,0)</f>
        <v>4</v>
      </c>
      <c r="M357" s="0" t="n">
        <f aca="false">IF(OR(WEEKDAY(D357)=1,WEEKDAY(D357)=7),1,0)</f>
        <v>0</v>
      </c>
      <c r="N357" s="0" t="str">
        <f aca="false">IF(AND(MONTH(D357)&gt;=3,MONTH(D357)&lt;=6),"Summer",IF(AND(MONTH(D357)&gt;=7,MONTH(D357)&lt;=9),"Monsoon","Winter"))</f>
        <v>Summer</v>
      </c>
      <c r="O357" s="0" t="str">
        <f aca="false">IF(AND(L357&gt;=22,L357&lt;=25,E357&gt;=TIME(18,0,0)),"24H Night", IF(AND(L357&gt;=22,L357&lt;=25,E357&lt;TIME(18,0,0)),"24H Day", IF(AND(L357&gt;=11,L357&lt;=13,E357&gt;=TIME(18,0,0)),"12H Night", IF(AND(L357&gt;=11,L357&lt;=13,E357&lt;TIME(18,0,0)),"12H Day", IF(AND(L357&lt;10,E357&gt;=TIME(18,0,0)),"Couple Night", "Couple Day")))))</f>
        <v>Couple Day</v>
      </c>
      <c r="P357" s="0" t="n">
        <f aca="false">WEEKDAY(D357,2)</f>
        <v>3</v>
      </c>
      <c r="Q357" s="0" t="n">
        <f aca="false">MONTH(D357)</f>
        <v>3</v>
      </c>
      <c r="R357" s="0" t="str">
        <f aca="false">"Q"&amp;ROUNDUP(MONTH(D357)/3,0)</f>
        <v>Q1</v>
      </c>
    </row>
    <row r="358" customFormat="false" ht="153.7" hidden="false" customHeight="false" outlineLevel="0" collapsed="false">
      <c r="A358" s="7" t="s">
        <v>1028</v>
      </c>
      <c r="B358" s="7" t="s">
        <v>1029</v>
      </c>
      <c r="C358" s="13" t="s">
        <v>1030</v>
      </c>
      <c r="D358" s="11" t="n">
        <v>45743</v>
      </c>
      <c r="E358" s="12" t="n">
        <v>0.375</v>
      </c>
      <c r="F358" s="11" t="n">
        <v>45743</v>
      </c>
      <c r="G358" s="12" t="n">
        <v>0.75</v>
      </c>
      <c r="H358" s="10" t="n">
        <v>46117.7443337963</v>
      </c>
      <c r="I358" s="7" t="n">
        <v>3000</v>
      </c>
      <c r="J358" s="0" t="n">
        <f aca="false">IF(AND(D358&gt;=DATE(YEAR(D358),3,15),D358&lt;=DATE(YEAR(D358),6,10)),1,0)</f>
        <v>1</v>
      </c>
      <c r="K358" s="0" t="e">
        <f aca="false">VLOOKUP(D358,Festival_List!$A$2:$B$100,2,0)</f>
        <v>#N/A</v>
      </c>
      <c r="L358" s="0" t="n">
        <f aca="false">ROUND(((F358+G358)-(D358+E358))*24,0)</f>
        <v>9</v>
      </c>
      <c r="M358" s="0" t="n">
        <f aca="false">IF(OR(WEEKDAY(D358)=1,WEEKDAY(D358)=7),1,0)</f>
        <v>0</v>
      </c>
      <c r="N358" s="0" t="str">
        <f aca="false">IF(AND(MONTH(D358)&gt;=3,MONTH(D358)&lt;=6),"Summer",IF(AND(MONTH(D358)&gt;=7,MONTH(D358)&lt;=9),"Monsoon","Winter"))</f>
        <v>Summer</v>
      </c>
      <c r="O358" s="0" t="str">
        <f aca="false">IF(AND(L358&gt;=22,L358&lt;=25,E358&gt;=TIME(18,0,0)),"24H Night", IF(AND(L358&gt;=22,L358&lt;=25,E358&lt;TIME(18,0,0)),"24H Day", IF(AND(L358&gt;=11,L358&lt;=13,E358&gt;=TIME(18,0,0)),"12H Night", IF(AND(L358&gt;=11,L358&lt;=13,E358&lt;TIME(18,0,0)),"12H Day", IF(AND(L358&lt;10,E358&gt;=TIME(18,0,0)),"Couple Night", "Couple Day")))))</f>
        <v>Couple Day</v>
      </c>
      <c r="P358" s="0" t="n">
        <f aca="false">WEEKDAY(D358,2)</f>
        <v>4</v>
      </c>
      <c r="Q358" s="0" t="n">
        <f aca="false">MONTH(D358)</f>
        <v>3</v>
      </c>
      <c r="R358" s="0" t="str">
        <f aca="false">"Q"&amp;ROUNDUP(MONTH(D358)/3,0)</f>
        <v>Q1</v>
      </c>
    </row>
    <row r="359" customFormat="false" ht="128.35" hidden="false" customHeight="false" outlineLevel="0" collapsed="false">
      <c r="A359" s="7" t="s">
        <v>1031</v>
      </c>
      <c r="B359" s="7" t="s">
        <v>394</v>
      </c>
      <c r="C359" s="13" t="s">
        <v>1032</v>
      </c>
      <c r="D359" s="11" t="n">
        <v>45744</v>
      </c>
      <c r="E359" s="12" t="n">
        <v>0.333333333299375</v>
      </c>
      <c r="F359" s="11" t="n">
        <v>45744</v>
      </c>
      <c r="G359" s="12" t="n">
        <v>0.75</v>
      </c>
      <c r="H359" s="10" t="n">
        <v>46117.7443337963</v>
      </c>
      <c r="I359" s="7" t="n">
        <v>2500</v>
      </c>
      <c r="J359" s="0" t="n">
        <f aca="false">IF(AND(D359&gt;=DATE(YEAR(D359),3,15),D359&lt;=DATE(YEAR(D359),6,10)),1,0)</f>
        <v>1</v>
      </c>
      <c r="K359" s="0" t="e">
        <f aca="false">VLOOKUP(D359,Festival_List!$A$2:$B$100,2,0)</f>
        <v>#N/A</v>
      </c>
      <c r="L359" s="0" t="n">
        <f aca="false">ROUND(((F359+G359)-(D359+E359))*24,0)</f>
        <v>10</v>
      </c>
      <c r="M359" s="0" t="n">
        <f aca="false">IF(OR(WEEKDAY(D359)=1,WEEKDAY(D359)=7),1,0)</f>
        <v>0</v>
      </c>
      <c r="N359" s="0" t="str">
        <f aca="false">IF(AND(MONTH(D359)&gt;=3,MONTH(D359)&lt;=6),"Summer",IF(AND(MONTH(D359)&gt;=7,MONTH(D359)&lt;=9),"Monsoon","Winter"))</f>
        <v>Summer</v>
      </c>
      <c r="O359" s="0" t="str">
        <f aca="false">IF(AND(L359&gt;=22,L359&lt;=25,E359&gt;=TIME(18,0,0)),"24H Night", IF(AND(L359&gt;=22,L359&lt;=25,E359&lt;TIME(18,0,0)),"24H Day", IF(AND(L359&gt;=11,L359&lt;=13,E359&gt;=TIME(18,0,0)),"12H Night", IF(AND(L359&gt;=11,L359&lt;=13,E359&lt;TIME(18,0,0)),"12H Day", IF(AND(L359&lt;10,E359&gt;=TIME(18,0,0)),"Couple Night", "Couple Day")))))</f>
        <v>Couple Day</v>
      </c>
      <c r="P359" s="0" t="n">
        <f aca="false">WEEKDAY(D359,2)</f>
        <v>5</v>
      </c>
      <c r="Q359" s="0" t="n">
        <f aca="false">MONTH(D359)</f>
        <v>3</v>
      </c>
      <c r="R359" s="0" t="str">
        <f aca="false">"Q"&amp;ROUNDUP(MONTH(D359)/3,0)</f>
        <v>Q1</v>
      </c>
    </row>
    <row r="360" customFormat="false" ht="52.2" hidden="false" customHeight="false" outlineLevel="0" collapsed="false">
      <c r="A360" s="7" t="s">
        <v>1033</v>
      </c>
      <c r="B360" s="7" t="s">
        <v>1034</v>
      </c>
      <c r="C360" s="13" t="s">
        <v>1035</v>
      </c>
      <c r="D360" s="11" t="n">
        <v>45744</v>
      </c>
      <c r="E360" s="12" t="n">
        <v>0.791666666700625</v>
      </c>
      <c r="F360" s="11" t="n">
        <v>45745</v>
      </c>
      <c r="G360" s="12" t="n">
        <v>0.75</v>
      </c>
      <c r="H360" s="10" t="n">
        <v>46117.7443337963</v>
      </c>
      <c r="I360" s="7" t="n">
        <v>4000</v>
      </c>
      <c r="J360" s="0" t="n">
        <f aca="false">IF(AND(D360&gt;=DATE(YEAR(D360),3,15),D360&lt;=DATE(YEAR(D360),6,10)),1,0)</f>
        <v>1</v>
      </c>
      <c r="K360" s="0" t="e">
        <f aca="false">VLOOKUP(D360,Festival_List!$A$2:$B$100,2,0)</f>
        <v>#N/A</v>
      </c>
      <c r="L360" s="0" t="n">
        <f aca="false">ROUND(((F360+G360)-(D360+E360))*24,0)</f>
        <v>23</v>
      </c>
      <c r="M360" s="0" t="n">
        <f aca="false">IF(OR(WEEKDAY(D360)=1,WEEKDAY(D360)=7),1,0)</f>
        <v>0</v>
      </c>
      <c r="N360" s="0" t="str">
        <f aca="false">IF(AND(MONTH(D360)&gt;=3,MONTH(D360)&lt;=6),"Summer",IF(AND(MONTH(D360)&gt;=7,MONTH(D360)&lt;=9),"Monsoon","Winter"))</f>
        <v>Summer</v>
      </c>
      <c r="O360" s="0" t="str">
        <f aca="false">IF(AND(L360&gt;=22,L360&lt;=25,E360&gt;=TIME(18,0,0)),"24H Night", IF(AND(L360&gt;=22,L360&lt;=25,E360&lt;TIME(18,0,0)),"24H Day", IF(AND(L360&gt;=11,L360&lt;=13,E360&gt;=TIME(18,0,0)),"12H Night", IF(AND(L360&gt;=11,L360&lt;=13,E360&lt;TIME(18,0,0)),"12H Day", IF(AND(L360&lt;10,E360&gt;=TIME(18,0,0)),"Couple Night", "Couple Day")))))</f>
        <v>24H Night</v>
      </c>
      <c r="P360" s="0" t="n">
        <f aca="false">WEEKDAY(D360,2)</f>
        <v>5</v>
      </c>
      <c r="Q360" s="0" t="n">
        <f aca="false">MONTH(D360)</f>
        <v>3</v>
      </c>
      <c r="R360" s="0" t="str">
        <f aca="false">"Q"&amp;ROUNDUP(MONTH(D360)/3,0)</f>
        <v>Q1</v>
      </c>
    </row>
    <row r="361" customFormat="false" ht="153.7" hidden="false" customHeight="false" outlineLevel="0" collapsed="false">
      <c r="A361" s="7" t="s">
        <v>1036</v>
      </c>
      <c r="B361" s="7" t="s">
        <v>1037</v>
      </c>
      <c r="C361" s="13" t="s">
        <v>1038</v>
      </c>
      <c r="D361" s="11" t="n">
        <v>45745</v>
      </c>
      <c r="E361" s="12" t="n">
        <v>0.791666666700625</v>
      </c>
      <c r="F361" s="11" t="n">
        <v>45746</v>
      </c>
      <c r="G361" s="12" t="n">
        <v>0.75</v>
      </c>
      <c r="H361" s="10" t="n">
        <v>46117.7443337963</v>
      </c>
      <c r="I361" s="7" t="n">
        <v>9500</v>
      </c>
      <c r="J361" s="0" t="n">
        <f aca="false">IF(AND(D361&gt;=DATE(YEAR(D361),3,15),D361&lt;=DATE(YEAR(D361),6,10)),1,0)</f>
        <v>1</v>
      </c>
      <c r="K361" s="0" t="str">
        <f aca="false">VLOOKUP(D361,Festival_List!$A$2:$B$100,2,0)</f>
        <v>Eid-ul-Fitr</v>
      </c>
      <c r="L361" s="0" t="n">
        <f aca="false">ROUND(((F361+G361)-(D361+E361))*24,0)</f>
        <v>23</v>
      </c>
      <c r="M361" s="0" t="n">
        <f aca="false">IF(OR(WEEKDAY(D361)=1,WEEKDAY(D361)=7),1,0)</f>
        <v>1</v>
      </c>
      <c r="N361" s="0" t="str">
        <f aca="false">IF(AND(MONTH(D361)&gt;=3,MONTH(D361)&lt;=6),"Summer",IF(AND(MONTH(D361)&gt;=7,MONTH(D361)&lt;=9),"Monsoon","Winter"))</f>
        <v>Summer</v>
      </c>
      <c r="O361" s="0" t="str">
        <f aca="false">IF(AND(L361&gt;=22,L361&lt;=25,E361&gt;=TIME(18,0,0)),"24H Night", IF(AND(L361&gt;=22,L361&lt;=25,E361&lt;TIME(18,0,0)),"24H Day", IF(AND(L361&gt;=11,L361&lt;=13,E361&gt;=TIME(18,0,0)),"12H Night", IF(AND(L361&gt;=11,L361&lt;=13,E361&lt;TIME(18,0,0)),"12H Day", IF(AND(L361&lt;10,E361&gt;=TIME(18,0,0)),"Couple Night", "Couple Day")))))</f>
        <v>24H Night</v>
      </c>
      <c r="P361" s="0" t="n">
        <f aca="false">WEEKDAY(D361,2)</f>
        <v>6</v>
      </c>
      <c r="Q361" s="0" t="n">
        <f aca="false">MONTH(D361)</f>
        <v>3</v>
      </c>
      <c r="R361" s="0" t="str">
        <f aca="false">"Q"&amp;ROUNDUP(MONTH(D361)/3,0)</f>
        <v>Q1</v>
      </c>
    </row>
    <row r="362" customFormat="false" ht="153.7" hidden="false" customHeight="false" outlineLevel="0" collapsed="false">
      <c r="A362" s="7" t="s">
        <v>1039</v>
      </c>
      <c r="B362" s="7" t="s">
        <v>1040</v>
      </c>
      <c r="C362" s="13" t="s">
        <v>1041</v>
      </c>
      <c r="D362" s="11" t="n">
        <v>45746</v>
      </c>
      <c r="E362" s="12" t="n">
        <v>0.791666666700625</v>
      </c>
      <c r="F362" s="11" t="n">
        <v>45747</v>
      </c>
      <c r="G362" s="12" t="n">
        <v>0.75</v>
      </c>
      <c r="H362" s="10" t="n">
        <v>46117.7443337963</v>
      </c>
      <c r="I362" s="7" t="n">
        <v>4500</v>
      </c>
      <c r="J362" s="0" t="n">
        <f aca="false">IF(AND(D362&gt;=DATE(YEAR(D362),3,15),D362&lt;=DATE(YEAR(D362),6,10)),1,0)</f>
        <v>1</v>
      </c>
      <c r="K362" s="0" t="e">
        <f aca="false">VLOOKUP(D362,Festival_List!$A$2:$B$100,2,0)</f>
        <v>#N/A</v>
      </c>
      <c r="L362" s="0" t="n">
        <f aca="false">ROUND(((F362+G362)-(D362+E362))*24,0)</f>
        <v>23</v>
      </c>
      <c r="M362" s="0" t="n">
        <f aca="false">IF(OR(WEEKDAY(D362)=1,WEEKDAY(D362)=7),1,0)</f>
        <v>1</v>
      </c>
      <c r="N362" s="0" t="str">
        <f aca="false">IF(AND(MONTH(D362)&gt;=3,MONTH(D362)&lt;=6),"Summer",IF(AND(MONTH(D362)&gt;=7,MONTH(D362)&lt;=9),"Monsoon","Winter"))</f>
        <v>Summer</v>
      </c>
      <c r="O362" s="0" t="str">
        <f aca="false">IF(AND(L362&gt;=22,L362&lt;=25,E362&gt;=TIME(18,0,0)),"24H Night", IF(AND(L362&gt;=22,L362&lt;=25,E362&lt;TIME(18,0,0)),"24H Day", IF(AND(L362&gt;=11,L362&lt;=13,E362&gt;=TIME(18,0,0)),"12H Night", IF(AND(L362&gt;=11,L362&lt;=13,E362&lt;TIME(18,0,0)),"12H Day", IF(AND(L362&lt;10,E362&gt;=TIME(18,0,0)),"Couple Night", "Couple Day")))))</f>
        <v>24H Night</v>
      </c>
      <c r="P362" s="0" t="n">
        <f aca="false">WEEKDAY(D362,2)</f>
        <v>7</v>
      </c>
      <c r="Q362" s="0" t="n">
        <f aca="false">MONTH(D362)</f>
        <v>3</v>
      </c>
      <c r="R362" s="0" t="str">
        <f aca="false">"Q"&amp;ROUNDUP(MONTH(D362)/3,0)</f>
        <v>Q1</v>
      </c>
    </row>
    <row r="363" customFormat="false" ht="141" hidden="false" customHeight="false" outlineLevel="0" collapsed="false">
      <c r="A363" s="7" t="s">
        <v>1042</v>
      </c>
      <c r="B363" s="7" t="s">
        <v>1043</v>
      </c>
      <c r="C363" s="13" t="s">
        <v>1044</v>
      </c>
      <c r="D363" s="11" t="n">
        <v>45747</v>
      </c>
      <c r="E363" s="12" t="n">
        <v>0.791666666700625</v>
      </c>
      <c r="F363" s="11" t="n">
        <v>45748</v>
      </c>
      <c r="G363" s="12" t="n">
        <v>0.291666666700625</v>
      </c>
      <c r="H363" s="10" t="n">
        <v>45743.8491951389</v>
      </c>
      <c r="I363" s="7" t="n">
        <v>3000</v>
      </c>
      <c r="J363" s="0" t="n">
        <f aca="false">IF(AND(D363&gt;=DATE(YEAR(D363),3,15),D363&lt;=DATE(YEAR(D363),6,10)),1,0)</f>
        <v>1</v>
      </c>
      <c r="K363" s="0" t="e">
        <f aca="false">VLOOKUP(D363,Festival_List!$A$2:$B$100,2,0)</f>
        <v>#N/A</v>
      </c>
      <c r="L363" s="0" t="n">
        <f aca="false">ROUND(((F363+G363)-(D363+E363))*24,0)</f>
        <v>12</v>
      </c>
      <c r="M363" s="0" t="n">
        <f aca="false">IF(OR(WEEKDAY(D363)=1,WEEKDAY(D363)=7),1,0)</f>
        <v>0</v>
      </c>
      <c r="N363" s="0" t="str">
        <f aca="false">IF(AND(MONTH(D363)&gt;=3,MONTH(D363)&lt;=6),"Summer",IF(AND(MONTH(D363)&gt;=7,MONTH(D363)&lt;=9),"Monsoon","Winter"))</f>
        <v>Summer</v>
      </c>
      <c r="O363" s="0" t="str">
        <f aca="false">IF(AND(L363&gt;=22,L363&lt;=25,E363&gt;=TIME(18,0,0)),"24H Night", IF(AND(L363&gt;=22,L363&lt;=25,E363&lt;TIME(18,0,0)),"24H Day", IF(AND(L363&gt;=11,L363&lt;=13,E363&gt;=TIME(18,0,0)),"12H Night", IF(AND(L363&gt;=11,L363&lt;=13,E363&lt;TIME(18,0,0)),"12H Day", IF(AND(L363&lt;10,E363&gt;=TIME(18,0,0)),"Couple Night", "Couple Day")))))</f>
        <v>12H Night</v>
      </c>
      <c r="P363" s="0" t="n">
        <f aca="false">WEEKDAY(D363,2)</f>
        <v>1</v>
      </c>
      <c r="Q363" s="0" t="n">
        <f aca="false">MONTH(D363)</f>
        <v>3</v>
      </c>
      <c r="R363" s="0" t="str">
        <f aca="false">"Q"&amp;ROUNDUP(MONTH(D363)/3,0)</f>
        <v>Q1</v>
      </c>
    </row>
    <row r="364" customFormat="false" ht="166.4" hidden="false" customHeight="false" outlineLevel="0" collapsed="false">
      <c r="A364" s="7" t="s">
        <v>1045</v>
      </c>
      <c r="B364" s="7" t="s">
        <v>1046</v>
      </c>
      <c r="C364" s="13" t="s">
        <v>1047</v>
      </c>
      <c r="D364" s="11" t="n">
        <v>45748</v>
      </c>
      <c r="E364" s="12" t="n">
        <v>0.791666666700625</v>
      </c>
      <c r="F364" s="11" t="n">
        <v>45749</v>
      </c>
      <c r="G364" s="12" t="n">
        <v>0.75</v>
      </c>
      <c r="H364" s="10" t="n">
        <v>46117.7443337963</v>
      </c>
      <c r="I364" s="7" t="n">
        <v>4500</v>
      </c>
      <c r="J364" s="0" t="n">
        <f aca="false">IF(AND(D364&gt;=DATE(YEAR(D364),3,15),D364&lt;=DATE(YEAR(D364),6,10)),1,0)</f>
        <v>1</v>
      </c>
      <c r="K364" s="0" t="e">
        <f aca="false">VLOOKUP(D364,Festival_List!$A$2:$B$100,2,0)</f>
        <v>#N/A</v>
      </c>
      <c r="L364" s="0" t="n">
        <f aca="false">ROUND(((F364+G364)-(D364+E364))*24,0)</f>
        <v>23</v>
      </c>
      <c r="M364" s="0" t="n">
        <f aca="false">IF(OR(WEEKDAY(D364)=1,WEEKDAY(D364)=7),1,0)</f>
        <v>0</v>
      </c>
      <c r="N364" s="0" t="str">
        <f aca="false">IF(AND(MONTH(D364)&gt;=3,MONTH(D364)&lt;=6),"Summer",IF(AND(MONTH(D364)&gt;=7,MONTH(D364)&lt;=9),"Monsoon","Winter"))</f>
        <v>Summer</v>
      </c>
      <c r="O364" s="0" t="str">
        <f aca="false">IF(AND(L364&gt;=22,L364&lt;=25,E364&gt;=TIME(18,0,0)),"24H Night", IF(AND(L364&gt;=22,L364&lt;=25,E364&lt;TIME(18,0,0)),"24H Day", IF(AND(L364&gt;=11,L364&lt;=13,E364&gt;=TIME(18,0,0)),"12H Night", IF(AND(L364&gt;=11,L364&lt;=13,E364&lt;TIME(18,0,0)),"12H Day", IF(AND(L364&lt;10,E364&gt;=TIME(18,0,0)),"Couple Night", "Couple Day")))))</f>
        <v>24H Night</v>
      </c>
      <c r="P364" s="0" t="n">
        <f aca="false">WEEKDAY(D364,2)</f>
        <v>2</v>
      </c>
      <c r="Q364" s="0" t="n">
        <f aca="false">MONTH(D364)</f>
        <v>4</v>
      </c>
      <c r="R364" s="0" t="str">
        <f aca="false">"Q"&amp;ROUNDUP(MONTH(D364)/3,0)</f>
        <v>Q2</v>
      </c>
    </row>
    <row r="365" customFormat="false" ht="166.4" hidden="false" customHeight="false" outlineLevel="0" collapsed="false">
      <c r="A365" s="7" t="s">
        <v>1048</v>
      </c>
      <c r="B365" s="7" t="s">
        <v>1049</v>
      </c>
      <c r="C365" s="13" t="s">
        <v>1050</v>
      </c>
      <c r="D365" s="11" t="n">
        <v>45749</v>
      </c>
      <c r="E365" s="12" t="n">
        <v>0.791666666700625</v>
      </c>
      <c r="F365" s="11" t="n">
        <v>45750</v>
      </c>
      <c r="G365" s="12" t="n">
        <v>0.75</v>
      </c>
      <c r="H365" s="10" t="n">
        <v>46117.7443337963</v>
      </c>
      <c r="I365" s="7" t="n">
        <v>5500</v>
      </c>
      <c r="J365" s="0" t="n">
        <f aca="false">IF(AND(D365&gt;=DATE(YEAR(D365),3,15),D365&lt;=DATE(YEAR(D365),6,10)),1,0)</f>
        <v>1</v>
      </c>
      <c r="K365" s="0" t="e">
        <f aca="false">VLOOKUP(D365,Festival_List!$A$2:$B$100,2,0)</f>
        <v>#N/A</v>
      </c>
      <c r="L365" s="0" t="n">
        <f aca="false">ROUND(((F365+G365)-(D365+E365))*24,0)</f>
        <v>23</v>
      </c>
      <c r="M365" s="0" t="n">
        <f aca="false">IF(OR(WEEKDAY(D365)=1,WEEKDAY(D365)=7),1,0)</f>
        <v>0</v>
      </c>
      <c r="N365" s="0" t="str">
        <f aca="false">IF(AND(MONTH(D365)&gt;=3,MONTH(D365)&lt;=6),"Summer",IF(AND(MONTH(D365)&gt;=7,MONTH(D365)&lt;=9),"Monsoon","Winter"))</f>
        <v>Summer</v>
      </c>
      <c r="O365" s="0" t="str">
        <f aca="false">IF(AND(L365&gt;=22,L365&lt;=25,E365&gt;=TIME(18,0,0)),"24H Night", IF(AND(L365&gt;=22,L365&lt;=25,E365&lt;TIME(18,0,0)),"24H Day", IF(AND(L365&gt;=11,L365&lt;=13,E365&gt;=TIME(18,0,0)),"12H Night", IF(AND(L365&gt;=11,L365&lt;=13,E365&lt;TIME(18,0,0)),"12H Day", IF(AND(L365&lt;10,E365&gt;=TIME(18,0,0)),"Couple Night", "Couple Day")))))</f>
        <v>24H Night</v>
      </c>
      <c r="P365" s="0" t="n">
        <f aca="false">WEEKDAY(D365,2)</f>
        <v>3</v>
      </c>
      <c r="Q365" s="0" t="n">
        <f aca="false">MONTH(D365)</f>
        <v>4</v>
      </c>
      <c r="R365" s="0" t="str">
        <f aca="false">"Q"&amp;ROUNDUP(MONTH(D365)/3,0)</f>
        <v>Q2</v>
      </c>
    </row>
    <row r="366" customFormat="false" ht="153.7" hidden="false" customHeight="false" outlineLevel="0" collapsed="false">
      <c r="A366" s="7" t="s">
        <v>1051</v>
      </c>
      <c r="B366" s="7" t="s">
        <v>1052</v>
      </c>
      <c r="C366" s="13" t="s">
        <v>1053</v>
      </c>
      <c r="D366" s="11" t="n">
        <v>45751</v>
      </c>
      <c r="E366" s="12" t="n">
        <v>0.791666666700625</v>
      </c>
      <c r="F366" s="11" t="n">
        <v>45752</v>
      </c>
      <c r="G366" s="12" t="n">
        <v>0.75</v>
      </c>
      <c r="H366" s="10" t="n">
        <v>45751.7971045139</v>
      </c>
      <c r="I366" s="7" t="n">
        <v>5400</v>
      </c>
      <c r="J366" s="0" t="n">
        <f aca="false">IF(AND(D366&gt;=DATE(YEAR(D366),3,15),D366&lt;=DATE(YEAR(D366),6,10)),1,0)</f>
        <v>1</v>
      </c>
      <c r="K366" s="0" t="e">
        <f aca="false">VLOOKUP(D366,Festival_List!$A$2:$B$100,2,0)</f>
        <v>#N/A</v>
      </c>
      <c r="L366" s="0" t="n">
        <f aca="false">ROUND(((F366+G366)-(D366+E366))*24,0)</f>
        <v>23</v>
      </c>
      <c r="M366" s="0" t="n">
        <f aca="false">IF(OR(WEEKDAY(D366)=1,WEEKDAY(D366)=7),1,0)</f>
        <v>0</v>
      </c>
      <c r="N366" s="0" t="str">
        <f aca="false">IF(AND(MONTH(D366)&gt;=3,MONTH(D366)&lt;=6),"Summer",IF(AND(MONTH(D366)&gt;=7,MONTH(D366)&lt;=9),"Monsoon","Winter"))</f>
        <v>Summer</v>
      </c>
      <c r="O366" s="0" t="str">
        <f aca="false">IF(AND(L366&gt;=22,L366&lt;=25,E366&gt;=TIME(18,0,0)),"24H Night", IF(AND(L366&gt;=22,L366&lt;=25,E366&lt;TIME(18,0,0)),"24H Day", IF(AND(L366&gt;=11,L366&lt;=13,E366&gt;=TIME(18,0,0)),"12H Night", IF(AND(L366&gt;=11,L366&lt;=13,E366&lt;TIME(18,0,0)),"12H Day", IF(AND(L366&lt;10,E366&gt;=TIME(18,0,0)),"Couple Night", "Couple Day")))))</f>
        <v>24H Night</v>
      </c>
      <c r="P366" s="0" t="n">
        <f aca="false">WEEKDAY(D366,2)</f>
        <v>5</v>
      </c>
      <c r="Q366" s="0" t="n">
        <f aca="false">MONTH(D366)</f>
        <v>4</v>
      </c>
      <c r="R366" s="0" t="str">
        <f aca="false">"Q"&amp;ROUNDUP(MONTH(D366)/3,0)</f>
        <v>Q2</v>
      </c>
    </row>
    <row r="367" customFormat="false" ht="153.7" hidden="false" customHeight="false" outlineLevel="0" collapsed="false">
      <c r="A367" s="7" t="s">
        <v>1054</v>
      </c>
      <c r="B367" s="7" t="s">
        <v>1055</v>
      </c>
      <c r="C367" s="13" t="s">
        <v>1056</v>
      </c>
      <c r="D367" s="11" t="n">
        <v>45752</v>
      </c>
      <c r="E367" s="12" t="n">
        <v>0.791666666700625</v>
      </c>
      <c r="F367" s="11" t="n">
        <v>45753</v>
      </c>
      <c r="G367" s="12" t="n">
        <v>0.75</v>
      </c>
      <c r="H367" s="10" t="n">
        <v>45752.680602662</v>
      </c>
      <c r="I367" s="7" t="n">
        <v>7000</v>
      </c>
      <c r="J367" s="0" t="n">
        <f aca="false">IF(AND(D367&gt;=DATE(YEAR(D367),3,15),D367&lt;=DATE(YEAR(D367),6,10)),1,0)</f>
        <v>1</v>
      </c>
      <c r="K367" s="0" t="e">
        <f aca="false">VLOOKUP(D367,Festival_List!$A$2:$B$100,2,0)</f>
        <v>#N/A</v>
      </c>
      <c r="L367" s="0" t="n">
        <f aca="false">ROUND(((F367+G367)-(D367+E367))*24,0)</f>
        <v>23</v>
      </c>
      <c r="M367" s="0" t="n">
        <f aca="false">IF(OR(WEEKDAY(D367)=1,WEEKDAY(D367)=7),1,0)</f>
        <v>1</v>
      </c>
      <c r="N367" s="0" t="str">
        <f aca="false">IF(AND(MONTH(D367)&gt;=3,MONTH(D367)&lt;=6),"Summer",IF(AND(MONTH(D367)&gt;=7,MONTH(D367)&lt;=9),"Monsoon","Winter"))</f>
        <v>Summer</v>
      </c>
      <c r="O367" s="0" t="str">
        <f aca="false">IF(AND(L367&gt;=22,L367&lt;=25,E367&gt;=TIME(18,0,0)),"24H Night", IF(AND(L367&gt;=22,L367&lt;=25,E367&lt;TIME(18,0,0)),"24H Day", IF(AND(L367&gt;=11,L367&lt;=13,E367&gt;=TIME(18,0,0)),"12H Night", IF(AND(L367&gt;=11,L367&lt;=13,E367&lt;TIME(18,0,0)),"12H Day", IF(AND(L367&lt;10,E367&gt;=TIME(18,0,0)),"Couple Night", "Couple Day")))))</f>
        <v>24H Night</v>
      </c>
      <c r="P367" s="0" t="n">
        <f aca="false">WEEKDAY(D367,2)</f>
        <v>6</v>
      </c>
      <c r="Q367" s="0" t="n">
        <f aca="false">MONTH(D367)</f>
        <v>4</v>
      </c>
      <c r="R367" s="0" t="str">
        <f aca="false">"Q"&amp;ROUNDUP(MONTH(D367)/3,0)</f>
        <v>Q2</v>
      </c>
    </row>
    <row r="368" customFormat="false" ht="13.8" hidden="false" customHeight="false" outlineLevel="0" collapsed="false">
      <c r="A368" s="7" t="s">
        <v>1057</v>
      </c>
      <c r="B368" s="7" t="s">
        <v>1058</v>
      </c>
      <c r="C368" s="7" t="s">
        <v>110</v>
      </c>
      <c r="D368" s="11" t="n">
        <v>45756</v>
      </c>
      <c r="E368" s="12" t="n">
        <v>0.583333333299375</v>
      </c>
      <c r="F368" s="11" t="n">
        <v>45757</v>
      </c>
      <c r="G368" s="12" t="n">
        <v>0.291666666700625</v>
      </c>
      <c r="H368" s="10" t="n">
        <v>45756.5866369213</v>
      </c>
      <c r="I368" s="7" t="n">
        <v>3000</v>
      </c>
      <c r="J368" s="0" t="n">
        <f aca="false">IF(AND(D368&gt;=DATE(YEAR(D368),3,15),D368&lt;=DATE(YEAR(D368),6,10)),1,0)</f>
        <v>1</v>
      </c>
      <c r="K368" s="0" t="e">
        <f aca="false">VLOOKUP(D368,Festival_List!$A$2:$B$100,2,0)</f>
        <v>#N/A</v>
      </c>
      <c r="L368" s="0" t="n">
        <f aca="false">ROUND(((F368+G368)-(D368+E368))*24,0)</f>
        <v>17</v>
      </c>
      <c r="M368" s="0" t="n">
        <f aca="false">IF(OR(WEEKDAY(D368)=1,WEEKDAY(D368)=7),1,0)</f>
        <v>0</v>
      </c>
      <c r="N368" s="0" t="str">
        <f aca="false">IF(AND(MONTH(D368)&gt;=3,MONTH(D368)&lt;=6),"Summer",IF(AND(MONTH(D368)&gt;=7,MONTH(D368)&lt;=9),"Monsoon","Winter"))</f>
        <v>Summer</v>
      </c>
      <c r="O368" s="0" t="str">
        <f aca="false">IF(AND(L368&gt;=22,L368&lt;=25,E368&gt;=TIME(18,0,0)),"24H Night", IF(AND(L368&gt;=22,L368&lt;=25,E368&lt;TIME(18,0,0)),"24H Day", IF(AND(L368&gt;=11,L368&lt;=13,E368&gt;=TIME(18,0,0)),"12H Night", IF(AND(L368&gt;=11,L368&lt;=13,E368&lt;TIME(18,0,0)),"12H Day", IF(AND(L368&lt;10,E368&gt;=TIME(18,0,0)),"Couple Night", "Couple Day")))))</f>
        <v>Couple Day</v>
      </c>
      <c r="P368" s="0" t="n">
        <f aca="false">WEEKDAY(D368,2)</f>
        <v>3</v>
      </c>
      <c r="Q368" s="0" t="n">
        <f aca="false">MONTH(D368)</f>
        <v>4</v>
      </c>
      <c r="R368" s="0" t="str">
        <f aca="false">"Q"&amp;ROUNDUP(MONTH(D368)/3,0)</f>
        <v>Q2</v>
      </c>
    </row>
    <row r="369" customFormat="false" ht="13.8" hidden="false" customHeight="false" outlineLevel="0" collapsed="false">
      <c r="A369" s="7" t="s">
        <v>1059</v>
      </c>
      <c r="B369" s="7" t="s">
        <v>394</v>
      </c>
      <c r="C369" s="7" t="s">
        <v>94</v>
      </c>
      <c r="D369" s="11" t="n">
        <v>45757</v>
      </c>
      <c r="E369" s="12" t="n">
        <v>0.333333333299375</v>
      </c>
      <c r="F369" s="11" t="n">
        <v>45757</v>
      </c>
      <c r="G369" s="12" t="n">
        <v>0.75</v>
      </c>
      <c r="H369" s="10" t="n">
        <v>45756.5879298611</v>
      </c>
      <c r="I369" s="7" t="n">
        <v>2500</v>
      </c>
      <c r="J369" s="0" t="n">
        <f aca="false">IF(AND(D369&gt;=DATE(YEAR(D369),3,15),D369&lt;=DATE(YEAR(D369),6,10)),1,0)</f>
        <v>1</v>
      </c>
      <c r="K369" s="0" t="e">
        <f aca="false">VLOOKUP(D369,Festival_List!$A$2:$B$100,2,0)</f>
        <v>#N/A</v>
      </c>
      <c r="L369" s="0" t="n">
        <f aca="false">ROUND(((F369+G369)-(D369+E369))*24,0)</f>
        <v>10</v>
      </c>
      <c r="M369" s="0" t="n">
        <f aca="false">IF(OR(WEEKDAY(D369)=1,WEEKDAY(D369)=7),1,0)</f>
        <v>0</v>
      </c>
      <c r="N369" s="0" t="str">
        <f aca="false">IF(AND(MONTH(D369)&gt;=3,MONTH(D369)&lt;=6),"Summer",IF(AND(MONTH(D369)&gt;=7,MONTH(D369)&lt;=9),"Monsoon","Winter"))</f>
        <v>Summer</v>
      </c>
      <c r="O369" s="0" t="str">
        <f aca="false">IF(AND(L369&gt;=22,L369&lt;=25,E369&gt;=TIME(18,0,0)),"24H Night", IF(AND(L369&gt;=22,L369&lt;=25,E369&lt;TIME(18,0,0)),"24H Day", IF(AND(L369&gt;=11,L369&lt;=13,E369&gt;=TIME(18,0,0)),"12H Night", IF(AND(L369&gt;=11,L369&lt;=13,E369&lt;TIME(18,0,0)),"12H Day", IF(AND(L369&lt;10,E369&gt;=TIME(18,0,0)),"Couple Night", "Couple Day")))))</f>
        <v>Couple Day</v>
      </c>
      <c r="P369" s="0" t="n">
        <f aca="false">WEEKDAY(D369,2)</f>
        <v>4</v>
      </c>
      <c r="Q369" s="0" t="n">
        <f aca="false">MONTH(D369)</f>
        <v>4</v>
      </c>
      <c r="R369" s="0" t="str">
        <f aca="false">"Q"&amp;ROUNDUP(MONTH(D369)/3,0)</f>
        <v>Q2</v>
      </c>
    </row>
    <row r="370" customFormat="false" ht="166.4" hidden="false" customHeight="false" outlineLevel="0" collapsed="false">
      <c r="A370" s="7" t="s">
        <v>1060</v>
      </c>
      <c r="B370" s="7" t="s">
        <v>525</v>
      </c>
      <c r="C370" s="13" t="s">
        <v>1061</v>
      </c>
      <c r="D370" s="11" t="n">
        <v>45757</v>
      </c>
      <c r="E370" s="12" t="n">
        <v>0.791666666700625</v>
      </c>
      <c r="F370" s="11" t="n">
        <v>45758</v>
      </c>
      <c r="G370" s="12" t="n">
        <v>0.75</v>
      </c>
      <c r="H370" s="10" t="n">
        <v>45756.537112037</v>
      </c>
      <c r="I370" s="7" t="n">
        <v>5000</v>
      </c>
      <c r="J370" s="0" t="n">
        <f aca="false">IF(AND(D370&gt;=DATE(YEAR(D370),3,15),D370&lt;=DATE(YEAR(D370),6,10)),1,0)</f>
        <v>1</v>
      </c>
      <c r="K370" s="0" t="e">
        <f aca="false">VLOOKUP(D370,Festival_List!$A$2:$B$100,2,0)</f>
        <v>#N/A</v>
      </c>
      <c r="L370" s="0" t="n">
        <f aca="false">ROUND(((F370+G370)-(D370+E370))*24,0)</f>
        <v>23</v>
      </c>
      <c r="M370" s="0" t="n">
        <f aca="false">IF(OR(WEEKDAY(D370)=1,WEEKDAY(D370)=7),1,0)</f>
        <v>0</v>
      </c>
      <c r="N370" s="0" t="str">
        <f aca="false">IF(AND(MONTH(D370)&gt;=3,MONTH(D370)&lt;=6),"Summer",IF(AND(MONTH(D370)&gt;=7,MONTH(D370)&lt;=9),"Monsoon","Winter"))</f>
        <v>Summer</v>
      </c>
      <c r="O370" s="0" t="str">
        <f aca="false">IF(AND(L370&gt;=22,L370&lt;=25,E370&gt;=TIME(18,0,0)),"24H Night", IF(AND(L370&gt;=22,L370&lt;=25,E370&lt;TIME(18,0,0)),"24H Day", IF(AND(L370&gt;=11,L370&lt;=13,E370&gt;=TIME(18,0,0)),"12H Night", IF(AND(L370&gt;=11,L370&lt;=13,E370&lt;TIME(18,0,0)),"12H Day", IF(AND(L370&lt;10,E370&gt;=TIME(18,0,0)),"Couple Night", "Couple Day")))))</f>
        <v>24H Night</v>
      </c>
      <c r="P370" s="0" t="n">
        <f aca="false">WEEKDAY(D370,2)</f>
        <v>4</v>
      </c>
      <c r="Q370" s="0" t="n">
        <f aca="false">MONTH(D370)</f>
        <v>4</v>
      </c>
      <c r="R370" s="0" t="str">
        <f aca="false">"Q"&amp;ROUNDUP(MONTH(D370)/3,0)</f>
        <v>Q2</v>
      </c>
    </row>
    <row r="371" customFormat="false" ht="153.7" hidden="false" customHeight="false" outlineLevel="0" collapsed="false">
      <c r="A371" s="7" t="s">
        <v>1062</v>
      </c>
      <c r="B371" s="7" t="s">
        <v>1049</v>
      </c>
      <c r="C371" s="13" t="s">
        <v>1063</v>
      </c>
      <c r="D371" s="11" t="n">
        <v>45758</v>
      </c>
      <c r="E371" s="12" t="n">
        <v>0.791666666700625</v>
      </c>
      <c r="F371" s="11" t="n">
        <v>45759</v>
      </c>
      <c r="G371" s="12" t="n">
        <v>0.75</v>
      </c>
      <c r="H371" s="10" t="n">
        <v>45745.4535578704</v>
      </c>
      <c r="I371" s="7" t="n">
        <v>6000</v>
      </c>
      <c r="J371" s="0" t="n">
        <f aca="false">IF(AND(D371&gt;=DATE(YEAR(D371),3,15),D371&lt;=DATE(YEAR(D371),6,10)),1,0)</f>
        <v>1</v>
      </c>
      <c r="K371" s="0" t="e">
        <f aca="false">VLOOKUP(D371,Festival_List!$A$2:$B$100,2,0)</f>
        <v>#N/A</v>
      </c>
      <c r="L371" s="0" t="n">
        <f aca="false">ROUND(((F371+G371)-(D371+E371))*24,0)</f>
        <v>23</v>
      </c>
      <c r="M371" s="0" t="n">
        <f aca="false">IF(OR(WEEKDAY(D371)=1,WEEKDAY(D371)=7),1,0)</f>
        <v>0</v>
      </c>
      <c r="N371" s="0" t="str">
        <f aca="false">IF(AND(MONTH(D371)&gt;=3,MONTH(D371)&lt;=6),"Summer",IF(AND(MONTH(D371)&gt;=7,MONTH(D371)&lt;=9),"Monsoon","Winter"))</f>
        <v>Summer</v>
      </c>
      <c r="O371" s="0" t="str">
        <f aca="false">IF(AND(L371&gt;=22,L371&lt;=25,E371&gt;=TIME(18,0,0)),"24H Night", IF(AND(L371&gt;=22,L371&lt;=25,E371&lt;TIME(18,0,0)),"24H Day", IF(AND(L371&gt;=11,L371&lt;=13,E371&gt;=TIME(18,0,0)),"12H Night", IF(AND(L371&gt;=11,L371&lt;=13,E371&lt;TIME(18,0,0)),"12H Day", IF(AND(L371&lt;10,E371&gt;=TIME(18,0,0)),"Couple Night", "Couple Day")))))</f>
        <v>24H Night</v>
      </c>
      <c r="P371" s="0" t="n">
        <f aca="false">WEEKDAY(D371,2)</f>
        <v>5</v>
      </c>
      <c r="Q371" s="0" t="n">
        <f aca="false">MONTH(D371)</f>
        <v>4</v>
      </c>
      <c r="R371" s="0" t="str">
        <f aca="false">"Q"&amp;ROUNDUP(MONTH(D371)/3,0)</f>
        <v>Q2</v>
      </c>
    </row>
    <row r="372" customFormat="false" ht="102.95" hidden="false" customHeight="false" outlineLevel="0" collapsed="false">
      <c r="A372" s="7" t="s">
        <v>1064</v>
      </c>
      <c r="B372" s="7" t="s">
        <v>1065</v>
      </c>
      <c r="C372" s="13" t="s">
        <v>1066</v>
      </c>
      <c r="D372" s="11" t="n">
        <v>45759</v>
      </c>
      <c r="E372" s="12" t="n">
        <v>0.791666666700625</v>
      </c>
      <c r="F372" s="11" t="n">
        <v>45760</v>
      </c>
      <c r="G372" s="12" t="n">
        <v>0.75</v>
      </c>
      <c r="H372" s="10" t="n">
        <v>45752.5288886574</v>
      </c>
      <c r="I372" s="7" t="n">
        <v>12000</v>
      </c>
      <c r="J372" s="0" t="n">
        <f aca="false">IF(AND(D372&gt;=DATE(YEAR(D372),3,15),D372&lt;=DATE(YEAR(D372),6,10)),1,0)</f>
        <v>1</v>
      </c>
      <c r="K372" s="0" t="e">
        <f aca="false">VLOOKUP(D372,Festival_List!$A$2:$B$100,2,0)</f>
        <v>#N/A</v>
      </c>
      <c r="L372" s="0" t="n">
        <f aca="false">ROUND(((F372+G372)-(D372+E372))*24,0)</f>
        <v>23</v>
      </c>
      <c r="M372" s="0" t="n">
        <f aca="false">IF(OR(WEEKDAY(D372)=1,WEEKDAY(D372)=7),1,0)</f>
        <v>1</v>
      </c>
      <c r="N372" s="0" t="str">
        <f aca="false">IF(AND(MONTH(D372)&gt;=3,MONTH(D372)&lt;=6),"Summer",IF(AND(MONTH(D372)&gt;=7,MONTH(D372)&lt;=9),"Monsoon","Winter"))</f>
        <v>Summer</v>
      </c>
      <c r="O372" s="0" t="str">
        <f aca="false">IF(AND(L372&gt;=22,L372&lt;=25,E372&gt;=TIME(18,0,0)),"24H Night", IF(AND(L372&gt;=22,L372&lt;=25,E372&lt;TIME(18,0,0)),"24H Day", IF(AND(L372&gt;=11,L372&lt;=13,E372&gt;=TIME(18,0,0)),"12H Night", IF(AND(L372&gt;=11,L372&lt;=13,E372&lt;TIME(18,0,0)),"12H Day", IF(AND(L372&lt;10,E372&gt;=TIME(18,0,0)),"Couple Night", "Couple Day")))))</f>
        <v>24H Night</v>
      </c>
      <c r="P372" s="0" t="n">
        <f aca="false">WEEKDAY(D372,2)</f>
        <v>6</v>
      </c>
      <c r="Q372" s="0" t="n">
        <f aca="false">MONTH(D372)</f>
        <v>4</v>
      </c>
      <c r="R372" s="0" t="str">
        <f aca="false">"Q"&amp;ROUNDUP(MONTH(D372)/3,0)</f>
        <v>Q2</v>
      </c>
    </row>
    <row r="373" customFormat="false" ht="141" hidden="false" customHeight="false" outlineLevel="0" collapsed="false">
      <c r="A373" s="7" t="s">
        <v>1067</v>
      </c>
      <c r="B373" s="7" t="s">
        <v>1068</v>
      </c>
      <c r="C373" s="13" t="s">
        <v>1069</v>
      </c>
      <c r="D373" s="11" t="n">
        <v>45760</v>
      </c>
      <c r="E373" s="12" t="n">
        <v>0.791666666700625</v>
      </c>
      <c r="F373" s="11" t="n">
        <v>45761</v>
      </c>
      <c r="G373" s="12" t="n">
        <v>0.75</v>
      </c>
      <c r="H373" s="10" t="n">
        <v>46130.9695954861</v>
      </c>
      <c r="I373" s="7" t="n">
        <v>5000</v>
      </c>
      <c r="J373" s="0" t="n">
        <f aca="false">IF(AND(D373&gt;=DATE(YEAR(D373),3,15),D373&lt;=DATE(YEAR(D373),6,10)),1,0)</f>
        <v>1</v>
      </c>
      <c r="K373" s="0" t="e">
        <f aca="false">VLOOKUP(D373,Festival_List!$A$2:$B$100,2,0)</f>
        <v>#N/A</v>
      </c>
      <c r="L373" s="0" t="n">
        <f aca="false">ROUND(((F373+G373)-(D373+E373))*24,0)</f>
        <v>23</v>
      </c>
      <c r="M373" s="0" t="n">
        <f aca="false">IF(OR(WEEKDAY(D373)=1,WEEKDAY(D373)=7),1,0)</f>
        <v>1</v>
      </c>
      <c r="N373" s="0" t="str">
        <f aca="false">IF(AND(MONTH(D373)&gt;=3,MONTH(D373)&lt;=6),"Summer",IF(AND(MONTH(D373)&gt;=7,MONTH(D373)&lt;=9),"Monsoon","Winter"))</f>
        <v>Summer</v>
      </c>
      <c r="O373" s="0" t="str">
        <f aca="false">IF(AND(L373&gt;=22,L373&lt;=25,E373&gt;=TIME(18,0,0)),"24H Night", IF(AND(L373&gt;=22,L373&lt;=25,E373&lt;TIME(18,0,0)),"24H Day", IF(AND(L373&gt;=11,L373&lt;=13,E373&gt;=TIME(18,0,0)),"12H Night", IF(AND(L373&gt;=11,L373&lt;=13,E373&lt;TIME(18,0,0)),"12H Day", IF(AND(L373&lt;10,E373&gt;=TIME(18,0,0)),"Couple Night", "Couple Day")))))</f>
        <v>24H Night</v>
      </c>
      <c r="P373" s="0" t="n">
        <f aca="false">WEEKDAY(D373,2)</f>
        <v>7</v>
      </c>
      <c r="Q373" s="0" t="n">
        <f aca="false">MONTH(D373)</f>
        <v>4</v>
      </c>
      <c r="R373" s="0" t="str">
        <f aca="false">"Q"&amp;ROUNDUP(MONTH(D373)/3,0)</f>
        <v>Q2</v>
      </c>
    </row>
    <row r="374" customFormat="false" ht="153.7" hidden="false" customHeight="false" outlineLevel="0" collapsed="false">
      <c r="A374" s="7" t="s">
        <v>1070</v>
      </c>
      <c r="B374" s="7" t="s">
        <v>1071</v>
      </c>
      <c r="C374" s="13" t="s">
        <v>1072</v>
      </c>
      <c r="D374" s="11" t="n">
        <v>45761</v>
      </c>
      <c r="E374" s="12" t="n">
        <v>0.791666666700625</v>
      </c>
      <c r="F374" s="11" t="n">
        <v>45762</v>
      </c>
      <c r="G374" s="12" t="n">
        <v>0.75</v>
      </c>
      <c r="H374" s="10" t="n">
        <v>46130.9695954861</v>
      </c>
      <c r="I374" s="7" t="n">
        <v>5500</v>
      </c>
      <c r="J374" s="0" t="n">
        <f aca="false">IF(AND(D374&gt;=DATE(YEAR(D374),3,15),D374&lt;=DATE(YEAR(D374),6,10)),1,0)</f>
        <v>1</v>
      </c>
      <c r="K374" s="0" t="e">
        <f aca="false">VLOOKUP(D374,Festival_List!$A$2:$B$100,2,0)</f>
        <v>#N/A</v>
      </c>
      <c r="L374" s="0" t="n">
        <f aca="false">ROUND(((F374+G374)-(D374+E374))*24,0)</f>
        <v>23</v>
      </c>
      <c r="M374" s="0" t="n">
        <f aca="false">IF(OR(WEEKDAY(D374)=1,WEEKDAY(D374)=7),1,0)</f>
        <v>0</v>
      </c>
      <c r="N374" s="0" t="str">
        <f aca="false">IF(AND(MONTH(D374)&gt;=3,MONTH(D374)&lt;=6),"Summer",IF(AND(MONTH(D374)&gt;=7,MONTH(D374)&lt;=9),"Monsoon","Winter"))</f>
        <v>Summer</v>
      </c>
      <c r="O374" s="0" t="str">
        <f aca="false">IF(AND(L374&gt;=22,L374&lt;=25,E374&gt;=TIME(18,0,0)),"24H Night", IF(AND(L374&gt;=22,L374&lt;=25,E374&lt;TIME(18,0,0)),"24H Day", IF(AND(L374&gt;=11,L374&lt;=13,E374&gt;=TIME(18,0,0)),"12H Night", IF(AND(L374&gt;=11,L374&lt;=13,E374&lt;TIME(18,0,0)),"12H Day", IF(AND(L374&lt;10,E374&gt;=TIME(18,0,0)),"Couple Night", "Couple Day")))))</f>
        <v>24H Night</v>
      </c>
      <c r="P374" s="0" t="n">
        <f aca="false">WEEKDAY(D374,2)</f>
        <v>1</v>
      </c>
      <c r="Q374" s="0" t="n">
        <f aca="false">MONTH(D374)</f>
        <v>4</v>
      </c>
      <c r="R374" s="0" t="str">
        <f aca="false">"Q"&amp;ROUNDUP(MONTH(D374)/3,0)</f>
        <v>Q2</v>
      </c>
    </row>
    <row r="375" customFormat="false" ht="153.7" hidden="false" customHeight="false" outlineLevel="0" collapsed="false">
      <c r="A375" s="7" t="s">
        <v>1073</v>
      </c>
      <c r="B375" s="7" t="s">
        <v>824</v>
      </c>
      <c r="C375" s="13" t="s">
        <v>1074</v>
      </c>
      <c r="D375" s="11" t="n">
        <v>45763</v>
      </c>
      <c r="E375" s="12" t="n">
        <v>0.583333333299375</v>
      </c>
      <c r="F375" s="11" t="n">
        <v>45763</v>
      </c>
      <c r="G375" s="12" t="n">
        <v>0.75</v>
      </c>
      <c r="H375" s="10" t="n">
        <v>45763.578872338</v>
      </c>
      <c r="I375" s="7" t="n">
        <v>2500</v>
      </c>
      <c r="J375" s="0" t="n">
        <f aca="false">IF(AND(D375&gt;=DATE(YEAR(D375),3,15),D375&lt;=DATE(YEAR(D375),6,10)),1,0)</f>
        <v>1</v>
      </c>
      <c r="K375" s="0" t="e">
        <f aca="false">VLOOKUP(D375,Festival_List!$A$2:$B$100,2,0)</f>
        <v>#N/A</v>
      </c>
      <c r="L375" s="0" t="n">
        <f aca="false">ROUND(((F375+G375)-(D375+E375))*24,0)</f>
        <v>4</v>
      </c>
      <c r="M375" s="0" t="n">
        <f aca="false">IF(OR(WEEKDAY(D375)=1,WEEKDAY(D375)=7),1,0)</f>
        <v>0</v>
      </c>
      <c r="N375" s="0" t="str">
        <f aca="false">IF(AND(MONTH(D375)&gt;=3,MONTH(D375)&lt;=6),"Summer",IF(AND(MONTH(D375)&gt;=7,MONTH(D375)&lt;=9),"Monsoon","Winter"))</f>
        <v>Summer</v>
      </c>
      <c r="O375" s="0" t="str">
        <f aca="false">IF(AND(L375&gt;=22,L375&lt;=25,E375&gt;=TIME(18,0,0)),"24H Night", IF(AND(L375&gt;=22,L375&lt;=25,E375&lt;TIME(18,0,0)),"24H Day", IF(AND(L375&gt;=11,L375&lt;=13,E375&gt;=TIME(18,0,0)),"12H Night", IF(AND(L375&gt;=11,L375&lt;=13,E375&lt;TIME(18,0,0)),"12H Day", IF(AND(L375&lt;10,E375&gt;=TIME(18,0,0)),"Couple Night", "Couple Day")))))</f>
        <v>Couple Day</v>
      </c>
      <c r="P375" s="0" t="n">
        <f aca="false">WEEKDAY(D375,2)</f>
        <v>3</v>
      </c>
      <c r="Q375" s="0" t="n">
        <f aca="false">MONTH(D375)</f>
        <v>4</v>
      </c>
      <c r="R375" s="0" t="str">
        <f aca="false">"Q"&amp;ROUNDUP(MONTH(D375)/3,0)</f>
        <v>Q2</v>
      </c>
    </row>
    <row r="376" customFormat="false" ht="153.7" hidden="false" customHeight="false" outlineLevel="0" collapsed="false">
      <c r="A376" s="7" t="s">
        <v>1075</v>
      </c>
      <c r="B376" s="7" t="s">
        <v>1076</v>
      </c>
      <c r="C376" s="13" t="s">
        <v>1077</v>
      </c>
      <c r="D376" s="11" t="n">
        <v>45763</v>
      </c>
      <c r="E376" s="12" t="n">
        <v>0.791666666700625</v>
      </c>
      <c r="F376" s="11" t="n">
        <v>45764</v>
      </c>
      <c r="G376" s="12" t="n">
        <v>0.75</v>
      </c>
      <c r="H376" s="10" t="n">
        <v>45757.616216088</v>
      </c>
      <c r="I376" s="7" t="n">
        <v>5500</v>
      </c>
      <c r="J376" s="0" t="n">
        <f aca="false">IF(AND(D376&gt;=DATE(YEAR(D376),3,15),D376&lt;=DATE(YEAR(D376),6,10)),1,0)</f>
        <v>1</v>
      </c>
      <c r="K376" s="0" t="e">
        <f aca="false">VLOOKUP(D376,Festival_List!$A$2:$B$100,2,0)</f>
        <v>#N/A</v>
      </c>
      <c r="L376" s="0" t="n">
        <f aca="false">ROUND(((F376+G376)-(D376+E376))*24,0)</f>
        <v>23</v>
      </c>
      <c r="M376" s="0" t="n">
        <f aca="false">IF(OR(WEEKDAY(D376)=1,WEEKDAY(D376)=7),1,0)</f>
        <v>0</v>
      </c>
      <c r="N376" s="0" t="str">
        <f aca="false">IF(AND(MONTH(D376)&gt;=3,MONTH(D376)&lt;=6),"Summer",IF(AND(MONTH(D376)&gt;=7,MONTH(D376)&lt;=9),"Monsoon","Winter"))</f>
        <v>Summer</v>
      </c>
      <c r="O376" s="0" t="str">
        <f aca="false">IF(AND(L376&gt;=22,L376&lt;=25,E376&gt;=TIME(18,0,0)),"24H Night", IF(AND(L376&gt;=22,L376&lt;=25,E376&lt;TIME(18,0,0)),"24H Day", IF(AND(L376&gt;=11,L376&lt;=13,E376&gt;=TIME(18,0,0)),"12H Night", IF(AND(L376&gt;=11,L376&lt;=13,E376&lt;TIME(18,0,0)),"12H Day", IF(AND(L376&lt;10,E376&gt;=TIME(18,0,0)),"Couple Night", "Couple Day")))))</f>
        <v>24H Night</v>
      </c>
      <c r="P376" s="0" t="n">
        <f aca="false">WEEKDAY(D376,2)</f>
        <v>3</v>
      </c>
      <c r="Q376" s="0" t="n">
        <f aca="false">MONTH(D376)</f>
        <v>4</v>
      </c>
      <c r="R376" s="0" t="str">
        <f aca="false">"Q"&amp;ROUNDUP(MONTH(D376)/3,0)</f>
        <v>Q2</v>
      </c>
    </row>
    <row r="377" customFormat="false" ht="153.7" hidden="false" customHeight="false" outlineLevel="0" collapsed="false">
      <c r="A377" s="7" t="s">
        <v>1078</v>
      </c>
      <c r="B377" s="7" t="s">
        <v>1079</v>
      </c>
      <c r="C377" s="13" t="s">
        <v>1080</v>
      </c>
      <c r="D377" s="11" t="n">
        <v>45764</v>
      </c>
      <c r="E377" s="12" t="n">
        <v>0.791666666700625</v>
      </c>
      <c r="F377" s="11" t="n">
        <v>45765</v>
      </c>
      <c r="G377" s="12" t="n">
        <v>0.75</v>
      </c>
      <c r="H377" s="10" t="n">
        <v>46130.9695954861</v>
      </c>
      <c r="I377" s="7" t="n">
        <v>6000</v>
      </c>
      <c r="J377" s="0" t="n">
        <f aca="false">IF(AND(D377&gt;=DATE(YEAR(D377),3,15),D377&lt;=DATE(YEAR(D377),6,10)),1,0)</f>
        <v>1</v>
      </c>
      <c r="K377" s="0" t="e">
        <f aca="false">VLOOKUP(D377,Festival_List!$A$2:$B$100,2,0)</f>
        <v>#N/A</v>
      </c>
      <c r="L377" s="0" t="n">
        <f aca="false">ROUND(((F377+G377)-(D377+E377))*24,0)</f>
        <v>23</v>
      </c>
      <c r="M377" s="0" t="n">
        <f aca="false">IF(OR(WEEKDAY(D377)=1,WEEKDAY(D377)=7),1,0)</f>
        <v>0</v>
      </c>
      <c r="N377" s="0" t="str">
        <f aca="false">IF(AND(MONTH(D377)&gt;=3,MONTH(D377)&lt;=6),"Summer",IF(AND(MONTH(D377)&gt;=7,MONTH(D377)&lt;=9),"Monsoon","Winter"))</f>
        <v>Summer</v>
      </c>
      <c r="O377" s="0" t="str">
        <f aca="false">IF(AND(L377&gt;=22,L377&lt;=25,E377&gt;=TIME(18,0,0)),"24H Night", IF(AND(L377&gt;=22,L377&lt;=25,E377&lt;TIME(18,0,0)),"24H Day", IF(AND(L377&gt;=11,L377&lt;=13,E377&gt;=TIME(18,0,0)),"12H Night", IF(AND(L377&gt;=11,L377&lt;=13,E377&lt;TIME(18,0,0)),"12H Day", IF(AND(L377&lt;10,E377&gt;=TIME(18,0,0)),"Couple Night", "Couple Day")))))</f>
        <v>24H Night</v>
      </c>
      <c r="P377" s="0" t="n">
        <f aca="false">WEEKDAY(D377,2)</f>
        <v>4</v>
      </c>
      <c r="Q377" s="0" t="n">
        <f aca="false">MONTH(D377)</f>
        <v>4</v>
      </c>
      <c r="R377" s="0" t="str">
        <f aca="false">"Q"&amp;ROUNDUP(MONTH(D377)/3,0)</f>
        <v>Q2</v>
      </c>
    </row>
    <row r="378" customFormat="false" ht="153.7" hidden="false" customHeight="false" outlineLevel="0" collapsed="false">
      <c r="A378" s="7" t="s">
        <v>1081</v>
      </c>
      <c r="B378" s="7" t="s">
        <v>1082</v>
      </c>
      <c r="C378" s="13" t="s">
        <v>1083</v>
      </c>
      <c r="D378" s="11" t="n">
        <v>45765</v>
      </c>
      <c r="E378" s="12" t="n">
        <v>0.791666666700625</v>
      </c>
      <c r="F378" s="11" t="n">
        <v>45766</v>
      </c>
      <c r="G378" s="12" t="n">
        <v>0.75</v>
      </c>
      <c r="H378" s="10" t="n">
        <v>46144.9481052083</v>
      </c>
      <c r="I378" s="7" t="n">
        <v>5500</v>
      </c>
      <c r="J378" s="0" t="n">
        <f aca="false">IF(AND(D378&gt;=DATE(YEAR(D378),3,15),D378&lt;=DATE(YEAR(D378),6,10)),1,0)</f>
        <v>1</v>
      </c>
      <c r="K378" s="0" t="e">
        <f aca="false">VLOOKUP(D378,Festival_List!$A$2:$B$100,2,0)</f>
        <v>#N/A</v>
      </c>
      <c r="L378" s="0" t="n">
        <f aca="false">ROUND(((F378+G378)-(D378+E378))*24,0)</f>
        <v>23</v>
      </c>
      <c r="M378" s="0" t="n">
        <f aca="false">IF(OR(WEEKDAY(D378)=1,WEEKDAY(D378)=7),1,0)</f>
        <v>0</v>
      </c>
      <c r="N378" s="0" t="str">
        <f aca="false">IF(AND(MONTH(D378)&gt;=3,MONTH(D378)&lt;=6),"Summer",IF(AND(MONTH(D378)&gt;=7,MONTH(D378)&lt;=9),"Monsoon","Winter"))</f>
        <v>Summer</v>
      </c>
      <c r="O378" s="0" t="str">
        <f aca="false">IF(AND(L378&gt;=22,L378&lt;=25,E378&gt;=TIME(18,0,0)),"24H Night", IF(AND(L378&gt;=22,L378&lt;=25,E378&lt;TIME(18,0,0)),"24H Day", IF(AND(L378&gt;=11,L378&lt;=13,E378&gt;=TIME(18,0,0)),"12H Night", IF(AND(L378&gt;=11,L378&lt;=13,E378&lt;TIME(18,0,0)),"12H Day", IF(AND(L378&lt;10,E378&gt;=TIME(18,0,0)),"Couple Night", "Couple Day")))))</f>
        <v>24H Night</v>
      </c>
      <c r="P378" s="0" t="n">
        <f aca="false">WEEKDAY(D378,2)</f>
        <v>5</v>
      </c>
      <c r="Q378" s="0" t="n">
        <f aca="false">MONTH(D378)</f>
        <v>4</v>
      </c>
      <c r="R378" s="0" t="str">
        <f aca="false">"Q"&amp;ROUNDUP(MONTH(D378)/3,0)</f>
        <v>Q2</v>
      </c>
    </row>
    <row r="379" customFormat="false" ht="166.4" hidden="false" customHeight="false" outlineLevel="0" collapsed="false">
      <c r="A379" s="7" t="s">
        <v>1084</v>
      </c>
      <c r="B379" s="7" t="s">
        <v>782</v>
      </c>
      <c r="C379" s="13" t="s">
        <v>1085</v>
      </c>
      <c r="D379" s="11" t="n">
        <v>45766</v>
      </c>
      <c r="E379" s="12" t="n">
        <v>0.791666666700625</v>
      </c>
      <c r="F379" s="11" t="n">
        <v>45767</v>
      </c>
      <c r="G379" s="12" t="n">
        <v>0.75</v>
      </c>
      <c r="H379" s="10" t="n">
        <v>45765.439615162</v>
      </c>
      <c r="I379" s="7" t="n">
        <v>12000</v>
      </c>
      <c r="J379" s="0" t="n">
        <f aca="false">IF(AND(D379&gt;=DATE(YEAR(D379),3,15),D379&lt;=DATE(YEAR(D379),6,10)),1,0)</f>
        <v>1</v>
      </c>
      <c r="K379" s="0" t="e">
        <f aca="false">VLOOKUP(D379,Festival_List!$A$2:$B$100,2,0)</f>
        <v>#N/A</v>
      </c>
      <c r="L379" s="0" t="n">
        <f aca="false">ROUND(((F379+G379)-(D379+E379))*24,0)</f>
        <v>23</v>
      </c>
      <c r="M379" s="0" t="n">
        <f aca="false">IF(OR(WEEKDAY(D379)=1,WEEKDAY(D379)=7),1,0)</f>
        <v>1</v>
      </c>
      <c r="N379" s="0" t="str">
        <f aca="false">IF(AND(MONTH(D379)&gt;=3,MONTH(D379)&lt;=6),"Summer",IF(AND(MONTH(D379)&gt;=7,MONTH(D379)&lt;=9),"Monsoon","Winter"))</f>
        <v>Summer</v>
      </c>
      <c r="O379" s="0" t="str">
        <f aca="false">IF(AND(L379&gt;=22,L379&lt;=25,E379&gt;=TIME(18,0,0)),"24H Night", IF(AND(L379&gt;=22,L379&lt;=25,E379&lt;TIME(18,0,0)),"24H Day", IF(AND(L379&gt;=11,L379&lt;=13,E379&gt;=TIME(18,0,0)),"12H Night", IF(AND(L379&gt;=11,L379&lt;=13,E379&lt;TIME(18,0,0)),"12H Day", IF(AND(L379&lt;10,E379&gt;=TIME(18,0,0)),"Couple Night", "Couple Day")))))</f>
        <v>24H Night</v>
      </c>
      <c r="P379" s="0" t="n">
        <f aca="false">WEEKDAY(D379,2)</f>
        <v>6</v>
      </c>
      <c r="Q379" s="0" t="n">
        <f aca="false">MONTH(D379)</f>
        <v>4</v>
      </c>
      <c r="R379" s="0" t="str">
        <f aca="false">"Q"&amp;ROUNDUP(MONTH(D379)/3,0)</f>
        <v>Q2</v>
      </c>
    </row>
    <row r="380" customFormat="false" ht="153.7" hidden="false" customHeight="false" outlineLevel="0" collapsed="false">
      <c r="A380" s="7" t="s">
        <v>1086</v>
      </c>
      <c r="B380" s="7" t="s">
        <v>1087</v>
      </c>
      <c r="C380" s="13" t="s">
        <v>1088</v>
      </c>
      <c r="D380" s="11" t="n">
        <v>45767</v>
      </c>
      <c r="E380" s="12" t="n">
        <v>0.791666666700625</v>
      </c>
      <c r="F380" s="11" t="n">
        <v>45768</v>
      </c>
      <c r="G380" s="12" t="n">
        <v>0.75</v>
      </c>
      <c r="H380" s="10" t="n">
        <v>45764.8910577546</v>
      </c>
      <c r="I380" s="7" t="n">
        <v>5500</v>
      </c>
      <c r="J380" s="0" t="n">
        <f aca="false">IF(AND(D380&gt;=DATE(YEAR(D380),3,15),D380&lt;=DATE(YEAR(D380),6,10)),1,0)</f>
        <v>1</v>
      </c>
      <c r="K380" s="0" t="e">
        <f aca="false">VLOOKUP(D380,Festival_List!$A$2:$B$100,2,0)</f>
        <v>#N/A</v>
      </c>
      <c r="L380" s="0" t="n">
        <f aca="false">ROUND(((F380+G380)-(D380+E380))*24,0)</f>
        <v>23</v>
      </c>
      <c r="M380" s="0" t="n">
        <f aca="false">IF(OR(WEEKDAY(D380)=1,WEEKDAY(D380)=7),1,0)</f>
        <v>1</v>
      </c>
      <c r="N380" s="0" t="str">
        <f aca="false">IF(AND(MONTH(D380)&gt;=3,MONTH(D380)&lt;=6),"Summer",IF(AND(MONTH(D380)&gt;=7,MONTH(D380)&lt;=9),"Monsoon","Winter"))</f>
        <v>Summer</v>
      </c>
      <c r="O380" s="0" t="str">
        <f aca="false">IF(AND(L380&gt;=22,L380&lt;=25,E380&gt;=TIME(18,0,0)),"24H Night", IF(AND(L380&gt;=22,L380&lt;=25,E380&lt;TIME(18,0,0)),"24H Day", IF(AND(L380&gt;=11,L380&lt;=13,E380&gt;=TIME(18,0,0)),"12H Night", IF(AND(L380&gt;=11,L380&lt;=13,E380&lt;TIME(18,0,0)),"12H Day", IF(AND(L380&lt;10,E380&gt;=TIME(18,0,0)),"Couple Night", "Couple Day")))))</f>
        <v>24H Night</v>
      </c>
      <c r="P380" s="0" t="n">
        <f aca="false">WEEKDAY(D380,2)</f>
        <v>7</v>
      </c>
      <c r="Q380" s="0" t="n">
        <f aca="false">MONTH(D380)</f>
        <v>4</v>
      </c>
      <c r="R380" s="0" t="str">
        <f aca="false">"Q"&amp;ROUNDUP(MONTH(D380)/3,0)</f>
        <v>Q2</v>
      </c>
    </row>
    <row r="381" customFormat="false" ht="153.7" hidden="false" customHeight="false" outlineLevel="0" collapsed="false">
      <c r="A381" s="7" t="s">
        <v>1089</v>
      </c>
      <c r="B381" s="7" t="s">
        <v>1090</v>
      </c>
      <c r="C381" s="13" t="s">
        <v>1091</v>
      </c>
      <c r="D381" s="11" t="n">
        <v>45768</v>
      </c>
      <c r="E381" s="12" t="n">
        <v>0.791666666700625</v>
      </c>
      <c r="F381" s="11" t="n">
        <v>45769</v>
      </c>
      <c r="G381" s="12" t="n">
        <v>0.75</v>
      </c>
      <c r="H381" s="10" t="n">
        <v>45762.8642706019</v>
      </c>
      <c r="I381" s="7" t="n">
        <v>5500</v>
      </c>
      <c r="J381" s="0" t="n">
        <f aca="false">IF(AND(D381&gt;=DATE(YEAR(D381),3,15),D381&lt;=DATE(YEAR(D381),6,10)),1,0)</f>
        <v>1</v>
      </c>
      <c r="K381" s="0" t="e">
        <f aca="false">VLOOKUP(D381,Festival_List!$A$2:$B$100,2,0)</f>
        <v>#N/A</v>
      </c>
      <c r="L381" s="0" t="n">
        <f aca="false">ROUND(((F381+G381)-(D381+E381))*24,0)</f>
        <v>23</v>
      </c>
      <c r="M381" s="0" t="n">
        <f aca="false">IF(OR(WEEKDAY(D381)=1,WEEKDAY(D381)=7),1,0)</f>
        <v>0</v>
      </c>
      <c r="N381" s="0" t="str">
        <f aca="false">IF(AND(MONTH(D381)&gt;=3,MONTH(D381)&lt;=6),"Summer",IF(AND(MONTH(D381)&gt;=7,MONTH(D381)&lt;=9),"Monsoon","Winter"))</f>
        <v>Summer</v>
      </c>
      <c r="O381" s="0" t="str">
        <f aca="false">IF(AND(L381&gt;=22,L381&lt;=25,E381&gt;=TIME(18,0,0)),"24H Night", IF(AND(L381&gt;=22,L381&lt;=25,E381&lt;TIME(18,0,0)),"24H Day", IF(AND(L381&gt;=11,L381&lt;=13,E381&gt;=TIME(18,0,0)),"12H Night", IF(AND(L381&gt;=11,L381&lt;=13,E381&lt;TIME(18,0,0)),"12H Day", IF(AND(L381&lt;10,E381&gt;=TIME(18,0,0)),"Couple Night", "Couple Day")))))</f>
        <v>24H Night</v>
      </c>
      <c r="P381" s="0" t="n">
        <f aca="false">WEEKDAY(D381,2)</f>
        <v>1</v>
      </c>
      <c r="Q381" s="0" t="n">
        <f aca="false">MONTH(D381)</f>
        <v>4</v>
      </c>
      <c r="R381" s="0" t="str">
        <f aca="false">"Q"&amp;ROUNDUP(MONTH(D381)/3,0)</f>
        <v>Q2</v>
      </c>
    </row>
    <row r="382" customFormat="false" ht="153.7" hidden="false" customHeight="false" outlineLevel="0" collapsed="false">
      <c r="A382" s="7" t="s">
        <v>1092</v>
      </c>
      <c r="B382" s="7" t="s">
        <v>1093</v>
      </c>
      <c r="C382" s="13" t="s">
        <v>1094</v>
      </c>
      <c r="D382" s="11" t="n">
        <v>45769</v>
      </c>
      <c r="E382" s="12" t="n">
        <v>0.791666666700625</v>
      </c>
      <c r="F382" s="11" t="n">
        <v>45770</v>
      </c>
      <c r="G382" s="12" t="n">
        <v>0.75</v>
      </c>
      <c r="H382" s="10" t="n">
        <v>46144.9481052083</v>
      </c>
      <c r="I382" s="7" t="n">
        <v>4500</v>
      </c>
      <c r="J382" s="0" t="n">
        <f aca="false">IF(AND(D382&gt;=DATE(YEAR(D382),3,15),D382&lt;=DATE(YEAR(D382),6,10)),1,0)</f>
        <v>1</v>
      </c>
      <c r="K382" s="0" t="e">
        <f aca="false">VLOOKUP(D382,Festival_List!$A$2:$B$100,2,0)</f>
        <v>#N/A</v>
      </c>
      <c r="L382" s="0" t="n">
        <f aca="false">ROUND(((F382+G382)-(D382+E382))*24,0)</f>
        <v>23</v>
      </c>
      <c r="M382" s="0" t="n">
        <f aca="false">IF(OR(WEEKDAY(D382)=1,WEEKDAY(D382)=7),1,0)</f>
        <v>0</v>
      </c>
      <c r="N382" s="0" t="str">
        <f aca="false">IF(AND(MONTH(D382)&gt;=3,MONTH(D382)&lt;=6),"Summer",IF(AND(MONTH(D382)&gt;=7,MONTH(D382)&lt;=9),"Monsoon","Winter"))</f>
        <v>Summer</v>
      </c>
      <c r="O382" s="0" t="str">
        <f aca="false">IF(AND(L382&gt;=22,L382&lt;=25,E382&gt;=TIME(18,0,0)),"24H Night", IF(AND(L382&gt;=22,L382&lt;=25,E382&lt;TIME(18,0,0)),"24H Day", IF(AND(L382&gt;=11,L382&lt;=13,E382&gt;=TIME(18,0,0)),"12H Night", IF(AND(L382&gt;=11,L382&lt;=13,E382&lt;TIME(18,0,0)),"12H Day", IF(AND(L382&lt;10,E382&gt;=TIME(18,0,0)),"Couple Night", "Couple Day")))))</f>
        <v>24H Night</v>
      </c>
      <c r="P382" s="0" t="n">
        <f aca="false">WEEKDAY(D382,2)</f>
        <v>2</v>
      </c>
      <c r="Q382" s="0" t="n">
        <f aca="false">MONTH(D382)</f>
        <v>4</v>
      </c>
      <c r="R382" s="0" t="str">
        <f aca="false">"Q"&amp;ROUNDUP(MONTH(D382)/3,0)</f>
        <v>Q2</v>
      </c>
    </row>
    <row r="383" customFormat="false" ht="153.7" hidden="false" customHeight="false" outlineLevel="0" collapsed="false">
      <c r="A383" s="7" t="s">
        <v>1095</v>
      </c>
      <c r="B383" s="7" t="s">
        <v>1096</v>
      </c>
      <c r="C383" s="13" t="s">
        <v>1097</v>
      </c>
      <c r="D383" s="11" t="n">
        <v>45770</v>
      </c>
      <c r="E383" s="12" t="n">
        <v>0.791666666700625</v>
      </c>
      <c r="F383" s="11" t="n">
        <v>45771</v>
      </c>
      <c r="G383" s="12" t="n">
        <v>0.291666666700625</v>
      </c>
      <c r="H383" s="10" t="n">
        <v>45770.7264391204</v>
      </c>
      <c r="I383" s="7" t="n">
        <v>3500</v>
      </c>
      <c r="J383" s="0" t="n">
        <f aca="false">IF(AND(D383&gt;=DATE(YEAR(D383),3,15),D383&lt;=DATE(YEAR(D383),6,10)),1,0)</f>
        <v>1</v>
      </c>
      <c r="K383" s="0" t="e">
        <f aca="false">VLOOKUP(D383,Festival_List!$A$2:$B$100,2,0)</f>
        <v>#N/A</v>
      </c>
      <c r="L383" s="0" t="n">
        <f aca="false">ROUND(((F383+G383)-(D383+E383))*24,0)</f>
        <v>12</v>
      </c>
      <c r="M383" s="0" t="n">
        <f aca="false">IF(OR(WEEKDAY(D383)=1,WEEKDAY(D383)=7),1,0)</f>
        <v>0</v>
      </c>
      <c r="N383" s="0" t="str">
        <f aca="false">IF(AND(MONTH(D383)&gt;=3,MONTH(D383)&lt;=6),"Summer",IF(AND(MONTH(D383)&gt;=7,MONTH(D383)&lt;=9),"Monsoon","Winter"))</f>
        <v>Summer</v>
      </c>
      <c r="O383" s="0" t="str">
        <f aca="false">IF(AND(L383&gt;=22,L383&lt;=25,E383&gt;=TIME(18,0,0)),"24H Night", IF(AND(L383&gt;=22,L383&lt;=25,E383&lt;TIME(18,0,0)),"24H Day", IF(AND(L383&gt;=11,L383&lt;=13,E383&gt;=TIME(18,0,0)),"12H Night", IF(AND(L383&gt;=11,L383&lt;=13,E383&lt;TIME(18,0,0)),"12H Day", IF(AND(L383&lt;10,E383&gt;=TIME(18,0,0)),"Couple Night", "Couple Day")))))</f>
        <v>12H Night</v>
      </c>
      <c r="P383" s="0" t="n">
        <f aca="false">WEEKDAY(D383,2)</f>
        <v>3</v>
      </c>
      <c r="Q383" s="0" t="n">
        <f aca="false">MONTH(D383)</f>
        <v>4</v>
      </c>
      <c r="R383" s="0" t="str">
        <f aca="false">"Q"&amp;ROUNDUP(MONTH(D383)/3,0)</f>
        <v>Q2</v>
      </c>
    </row>
    <row r="384" customFormat="false" ht="153.7" hidden="false" customHeight="false" outlineLevel="0" collapsed="false">
      <c r="A384" s="7" t="s">
        <v>1098</v>
      </c>
      <c r="B384" s="7" t="s">
        <v>1099</v>
      </c>
      <c r="C384" s="13" t="s">
        <v>1100</v>
      </c>
      <c r="D384" s="11" t="n">
        <v>45772</v>
      </c>
      <c r="E384" s="12" t="n">
        <v>0.5</v>
      </c>
      <c r="F384" s="11" t="n">
        <v>45772</v>
      </c>
      <c r="G384" s="12" t="n">
        <v>0.75</v>
      </c>
      <c r="H384" s="10" t="n">
        <v>46144.9481052083</v>
      </c>
      <c r="I384" s="7" t="n">
        <v>3000</v>
      </c>
      <c r="J384" s="0" t="n">
        <f aca="false">IF(AND(D384&gt;=DATE(YEAR(D384),3,15),D384&lt;=DATE(YEAR(D384),6,10)),1,0)</f>
        <v>1</v>
      </c>
      <c r="K384" s="0" t="e">
        <f aca="false">VLOOKUP(D384,Festival_List!$A$2:$B$100,2,0)</f>
        <v>#N/A</v>
      </c>
      <c r="L384" s="0" t="n">
        <f aca="false">ROUND(((F384+G384)-(D384+E384))*24,0)</f>
        <v>6</v>
      </c>
      <c r="M384" s="0" t="n">
        <f aca="false">IF(OR(WEEKDAY(D384)=1,WEEKDAY(D384)=7),1,0)</f>
        <v>0</v>
      </c>
      <c r="N384" s="0" t="str">
        <f aca="false">IF(AND(MONTH(D384)&gt;=3,MONTH(D384)&lt;=6),"Summer",IF(AND(MONTH(D384)&gt;=7,MONTH(D384)&lt;=9),"Monsoon","Winter"))</f>
        <v>Summer</v>
      </c>
      <c r="O384" s="0" t="str">
        <f aca="false">IF(AND(L384&gt;=22,L384&lt;=25,E384&gt;=TIME(18,0,0)),"24H Night", IF(AND(L384&gt;=22,L384&lt;=25,E384&lt;TIME(18,0,0)),"24H Day", IF(AND(L384&gt;=11,L384&lt;=13,E384&gt;=TIME(18,0,0)),"12H Night", IF(AND(L384&gt;=11,L384&lt;=13,E384&lt;TIME(18,0,0)),"12H Day", IF(AND(L384&lt;10,E384&gt;=TIME(18,0,0)),"Couple Night", "Couple Day")))))</f>
        <v>Couple Day</v>
      </c>
      <c r="P384" s="0" t="n">
        <f aca="false">WEEKDAY(D384,2)</f>
        <v>5</v>
      </c>
      <c r="Q384" s="0" t="n">
        <f aca="false">MONTH(D384)</f>
        <v>4</v>
      </c>
      <c r="R384" s="0" t="str">
        <f aca="false">"Q"&amp;ROUNDUP(MONTH(D384)/3,0)</f>
        <v>Q2</v>
      </c>
    </row>
    <row r="385" customFormat="false" ht="166.4" hidden="false" customHeight="false" outlineLevel="0" collapsed="false">
      <c r="A385" s="7" t="s">
        <v>1101</v>
      </c>
      <c r="B385" s="7" t="s">
        <v>582</v>
      </c>
      <c r="C385" s="13" t="s">
        <v>1102</v>
      </c>
      <c r="D385" s="11" t="n">
        <v>45772</v>
      </c>
      <c r="E385" s="12" t="n">
        <v>0.791666666700625</v>
      </c>
      <c r="F385" s="11" t="n">
        <v>45773</v>
      </c>
      <c r="G385" s="12" t="n">
        <v>0.75</v>
      </c>
      <c r="H385" s="10" t="n">
        <v>46144.9481052083</v>
      </c>
      <c r="I385" s="7" t="n">
        <v>5500</v>
      </c>
      <c r="J385" s="0" t="n">
        <f aca="false">IF(AND(D385&gt;=DATE(YEAR(D385),3,15),D385&lt;=DATE(YEAR(D385),6,10)),1,0)</f>
        <v>1</v>
      </c>
      <c r="K385" s="0" t="e">
        <f aca="false">VLOOKUP(D385,Festival_List!$A$2:$B$100,2,0)</f>
        <v>#N/A</v>
      </c>
      <c r="L385" s="0" t="n">
        <f aca="false">ROUND(((F385+G385)-(D385+E385))*24,0)</f>
        <v>23</v>
      </c>
      <c r="M385" s="0" t="n">
        <f aca="false">IF(OR(WEEKDAY(D385)=1,WEEKDAY(D385)=7),1,0)</f>
        <v>0</v>
      </c>
      <c r="N385" s="0" t="str">
        <f aca="false">IF(AND(MONTH(D385)&gt;=3,MONTH(D385)&lt;=6),"Summer",IF(AND(MONTH(D385)&gt;=7,MONTH(D385)&lt;=9),"Monsoon","Winter"))</f>
        <v>Summer</v>
      </c>
      <c r="O385" s="0" t="str">
        <f aca="false">IF(AND(L385&gt;=22,L385&lt;=25,E385&gt;=TIME(18,0,0)),"24H Night", IF(AND(L385&gt;=22,L385&lt;=25,E385&lt;TIME(18,0,0)),"24H Day", IF(AND(L385&gt;=11,L385&lt;=13,E385&gt;=TIME(18,0,0)),"12H Night", IF(AND(L385&gt;=11,L385&lt;=13,E385&lt;TIME(18,0,0)),"12H Day", IF(AND(L385&lt;10,E385&gt;=TIME(18,0,0)),"Couple Night", "Couple Day")))))</f>
        <v>24H Night</v>
      </c>
      <c r="P385" s="0" t="n">
        <f aca="false">WEEKDAY(D385,2)</f>
        <v>5</v>
      </c>
      <c r="Q385" s="0" t="n">
        <f aca="false">MONTH(D385)</f>
        <v>4</v>
      </c>
      <c r="R385" s="0" t="str">
        <f aca="false">"Q"&amp;ROUNDUP(MONTH(D385)/3,0)</f>
        <v>Q2</v>
      </c>
    </row>
    <row r="386" customFormat="false" ht="153.7" hidden="false" customHeight="false" outlineLevel="0" collapsed="false">
      <c r="A386" s="7" t="s">
        <v>1103</v>
      </c>
      <c r="B386" s="7" t="s">
        <v>1104</v>
      </c>
      <c r="C386" s="13" t="s">
        <v>1105</v>
      </c>
      <c r="D386" s="11" t="n">
        <v>45773</v>
      </c>
      <c r="E386" s="12" t="n">
        <v>0.791666666700625</v>
      </c>
      <c r="F386" s="11" t="n">
        <v>45774</v>
      </c>
      <c r="G386" s="12" t="n">
        <v>0.75</v>
      </c>
      <c r="H386" s="10" t="n">
        <v>45774.7040196759</v>
      </c>
      <c r="I386" s="7" t="n">
        <v>13000</v>
      </c>
      <c r="J386" s="0" t="n">
        <f aca="false">IF(AND(D386&gt;=DATE(YEAR(D386),3,15),D386&lt;=DATE(YEAR(D386),6,10)),1,0)</f>
        <v>1</v>
      </c>
      <c r="K386" s="0" t="e">
        <f aca="false">VLOOKUP(D386,Festival_List!$A$2:$B$100,2,0)</f>
        <v>#N/A</v>
      </c>
      <c r="L386" s="0" t="n">
        <f aca="false">ROUND(((F386+G386)-(D386+E386))*24,0)</f>
        <v>23</v>
      </c>
      <c r="M386" s="0" t="n">
        <f aca="false">IF(OR(WEEKDAY(D386)=1,WEEKDAY(D386)=7),1,0)</f>
        <v>1</v>
      </c>
      <c r="N386" s="0" t="str">
        <f aca="false">IF(AND(MONTH(D386)&gt;=3,MONTH(D386)&lt;=6),"Summer",IF(AND(MONTH(D386)&gt;=7,MONTH(D386)&lt;=9),"Monsoon","Winter"))</f>
        <v>Summer</v>
      </c>
      <c r="O386" s="0" t="str">
        <f aca="false">IF(AND(L386&gt;=22,L386&lt;=25,E386&gt;=TIME(18,0,0)),"24H Night", IF(AND(L386&gt;=22,L386&lt;=25,E386&lt;TIME(18,0,0)),"24H Day", IF(AND(L386&gt;=11,L386&lt;=13,E386&gt;=TIME(18,0,0)),"12H Night", IF(AND(L386&gt;=11,L386&lt;=13,E386&lt;TIME(18,0,0)),"12H Day", IF(AND(L386&lt;10,E386&gt;=TIME(18,0,0)),"Couple Night", "Couple Day")))))</f>
        <v>24H Night</v>
      </c>
      <c r="P386" s="0" t="n">
        <f aca="false">WEEKDAY(D386,2)</f>
        <v>6</v>
      </c>
      <c r="Q386" s="0" t="n">
        <f aca="false">MONTH(D386)</f>
        <v>4</v>
      </c>
      <c r="R386" s="0" t="str">
        <f aca="false">"Q"&amp;ROUNDUP(MONTH(D386)/3,0)</f>
        <v>Q2</v>
      </c>
    </row>
    <row r="387" customFormat="false" ht="153.7" hidden="false" customHeight="false" outlineLevel="0" collapsed="false">
      <c r="A387" s="7" t="s">
        <v>1106</v>
      </c>
      <c r="B387" s="7" t="s">
        <v>1107</v>
      </c>
      <c r="C387" s="13" t="s">
        <v>1108</v>
      </c>
      <c r="D387" s="11" t="n">
        <v>45775</v>
      </c>
      <c r="E387" s="12" t="n">
        <v>0.375</v>
      </c>
      <c r="F387" s="11" t="n">
        <v>45775</v>
      </c>
      <c r="G387" s="12" t="n">
        <v>0.75</v>
      </c>
      <c r="H387" s="10" t="n">
        <v>45774.953246875</v>
      </c>
      <c r="I387" s="7" t="n">
        <v>3000</v>
      </c>
      <c r="J387" s="0" t="n">
        <f aca="false">IF(AND(D387&gt;=DATE(YEAR(D387),3,15),D387&lt;=DATE(YEAR(D387),6,10)),1,0)</f>
        <v>1</v>
      </c>
      <c r="K387" s="0" t="e">
        <f aca="false">VLOOKUP(D387,Festival_List!$A$2:$B$100,2,0)</f>
        <v>#N/A</v>
      </c>
      <c r="L387" s="0" t="n">
        <f aca="false">ROUND(((F387+G387)-(D387+E387))*24,0)</f>
        <v>9</v>
      </c>
      <c r="M387" s="0" t="n">
        <f aca="false">IF(OR(WEEKDAY(D387)=1,WEEKDAY(D387)=7),1,0)</f>
        <v>0</v>
      </c>
      <c r="N387" s="0" t="str">
        <f aca="false">IF(AND(MONTH(D387)&gt;=3,MONTH(D387)&lt;=6),"Summer",IF(AND(MONTH(D387)&gt;=7,MONTH(D387)&lt;=9),"Monsoon","Winter"))</f>
        <v>Summer</v>
      </c>
      <c r="O387" s="0" t="str">
        <f aca="false">IF(AND(L387&gt;=22,L387&lt;=25,E387&gt;=TIME(18,0,0)),"24H Night", IF(AND(L387&gt;=22,L387&lt;=25,E387&lt;TIME(18,0,0)),"24H Day", IF(AND(L387&gt;=11,L387&lt;=13,E387&gt;=TIME(18,0,0)),"12H Night", IF(AND(L387&gt;=11,L387&lt;=13,E387&lt;TIME(18,0,0)),"12H Day", IF(AND(L387&lt;10,E387&gt;=TIME(18,0,0)),"Couple Night", "Couple Day")))))</f>
        <v>Couple Day</v>
      </c>
      <c r="P387" s="0" t="n">
        <f aca="false">WEEKDAY(D387,2)</f>
        <v>1</v>
      </c>
      <c r="Q387" s="0" t="n">
        <f aca="false">MONTH(D387)</f>
        <v>4</v>
      </c>
      <c r="R387" s="0" t="str">
        <f aca="false">"Q"&amp;ROUNDUP(MONTH(D387)/3,0)</f>
        <v>Q2</v>
      </c>
    </row>
    <row r="388" customFormat="false" ht="153.7" hidden="false" customHeight="false" outlineLevel="0" collapsed="false">
      <c r="A388" s="7" t="s">
        <v>1109</v>
      </c>
      <c r="B388" s="7" t="s">
        <v>1110</v>
      </c>
      <c r="C388" s="13" t="s">
        <v>1111</v>
      </c>
      <c r="D388" s="11" t="n">
        <v>45775</v>
      </c>
      <c r="E388" s="12" t="n">
        <v>0.791666666700625</v>
      </c>
      <c r="F388" s="11" t="n">
        <v>45776</v>
      </c>
      <c r="G388" s="12" t="n">
        <v>0.75</v>
      </c>
      <c r="H388" s="10" t="n">
        <v>46144.9481052083</v>
      </c>
      <c r="I388" s="7" t="n">
        <v>5500</v>
      </c>
      <c r="J388" s="0" t="n">
        <f aca="false">IF(AND(D388&gt;=DATE(YEAR(D388),3,15),D388&lt;=DATE(YEAR(D388),6,10)),1,0)</f>
        <v>1</v>
      </c>
      <c r="K388" s="0" t="e">
        <f aca="false">VLOOKUP(D388,Festival_List!$A$2:$B$100,2,0)</f>
        <v>#N/A</v>
      </c>
      <c r="L388" s="0" t="n">
        <f aca="false">ROUND(((F388+G388)-(D388+E388))*24,0)</f>
        <v>23</v>
      </c>
      <c r="M388" s="0" t="n">
        <f aca="false">IF(OR(WEEKDAY(D388)=1,WEEKDAY(D388)=7),1,0)</f>
        <v>0</v>
      </c>
      <c r="N388" s="0" t="str">
        <f aca="false">IF(AND(MONTH(D388)&gt;=3,MONTH(D388)&lt;=6),"Summer",IF(AND(MONTH(D388)&gt;=7,MONTH(D388)&lt;=9),"Monsoon","Winter"))</f>
        <v>Summer</v>
      </c>
      <c r="O388" s="0" t="str">
        <f aca="false">IF(AND(L388&gt;=22,L388&lt;=25,E388&gt;=TIME(18,0,0)),"24H Night", IF(AND(L388&gt;=22,L388&lt;=25,E388&lt;TIME(18,0,0)),"24H Day", IF(AND(L388&gt;=11,L388&lt;=13,E388&gt;=TIME(18,0,0)),"12H Night", IF(AND(L388&gt;=11,L388&lt;=13,E388&lt;TIME(18,0,0)),"12H Day", IF(AND(L388&lt;10,E388&gt;=TIME(18,0,0)),"Couple Night", "Couple Day")))))</f>
        <v>24H Night</v>
      </c>
      <c r="P388" s="0" t="n">
        <f aca="false">WEEKDAY(D388,2)</f>
        <v>1</v>
      </c>
      <c r="Q388" s="0" t="n">
        <f aca="false">MONTH(D388)</f>
        <v>4</v>
      </c>
      <c r="R388" s="0" t="str">
        <f aca="false">"Q"&amp;ROUNDUP(MONTH(D388)/3,0)</f>
        <v>Q2</v>
      </c>
    </row>
    <row r="389" customFormat="false" ht="153.7" hidden="false" customHeight="false" outlineLevel="0" collapsed="false">
      <c r="A389" s="7" t="s">
        <v>1112</v>
      </c>
      <c r="B389" s="7" t="s">
        <v>1113</v>
      </c>
      <c r="C389" s="13" t="s">
        <v>1114</v>
      </c>
      <c r="D389" s="11" t="n">
        <v>45777</v>
      </c>
      <c r="E389" s="12" t="n">
        <v>0.333333333299375</v>
      </c>
      <c r="F389" s="11" t="n">
        <v>45777</v>
      </c>
      <c r="G389" s="12" t="n">
        <v>0.75</v>
      </c>
      <c r="H389" s="10" t="n">
        <v>45777.7443965278</v>
      </c>
      <c r="I389" s="7" t="n">
        <v>4000</v>
      </c>
      <c r="J389" s="0" t="n">
        <f aca="false">IF(AND(D389&gt;=DATE(YEAR(D389),3,15),D389&lt;=DATE(YEAR(D389),6,10)),1,0)</f>
        <v>1</v>
      </c>
      <c r="K389" s="0" t="e">
        <f aca="false">VLOOKUP(D389,Festival_List!$A$2:$B$100,2,0)</f>
        <v>#N/A</v>
      </c>
      <c r="L389" s="0" t="n">
        <f aca="false">ROUND(((F389+G389)-(D389+E389))*24,0)</f>
        <v>10</v>
      </c>
      <c r="M389" s="0" t="n">
        <f aca="false">IF(OR(WEEKDAY(D389)=1,WEEKDAY(D389)=7),1,0)</f>
        <v>0</v>
      </c>
      <c r="N389" s="0" t="str">
        <f aca="false">IF(AND(MONTH(D389)&gt;=3,MONTH(D389)&lt;=6),"Summer",IF(AND(MONTH(D389)&gt;=7,MONTH(D389)&lt;=9),"Monsoon","Winter"))</f>
        <v>Summer</v>
      </c>
      <c r="O389" s="0" t="str">
        <f aca="false">IF(AND(L389&gt;=22,L389&lt;=25,E389&gt;=TIME(18,0,0)),"24H Night", IF(AND(L389&gt;=22,L389&lt;=25,E389&lt;TIME(18,0,0)),"24H Day", IF(AND(L389&gt;=11,L389&lt;=13,E389&gt;=TIME(18,0,0)),"12H Night", IF(AND(L389&gt;=11,L389&lt;=13,E389&lt;TIME(18,0,0)),"12H Day", IF(AND(L389&lt;10,E389&gt;=TIME(18,0,0)),"Couple Night", "Couple Day")))))</f>
        <v>Couple Day</v>
      </c>
      <c r="P389" s="0" t="n">
        <f aca="false">WEEKDAY(D389,2)</f>
        <v>3</v>
      </c>
      <c r="Q389" s="0" t="n">
        <f aca="false">MONTH(D389)</f>
        <v>4</v>
      </c>
      <c r="R389" s="0" t="str">
        <f aca="false">"Q"&amp;ROUNDUP(MONTH(D389)/3,0)</f>
        <v>Q2</v>
      </c>
    </row>
    <row r="390" customFormat="false" ht="166.4" hidden="false" customHeight="false" outlineLevel="0" collapsed="false">
      <c r="A390" s="7" t="s">
        <v>1115</v>
      </c>
      <c r="B390" s="7" t="s">
        <v>722</v>
      </c>
      <c r="C390" s="13" t="s">
        <v>1116</v>
      </c>
      <c r="D390" s="11" t="n">
        <v>45777</v>
      </c>
      <c r="E390" s="12" t="n">
        <v>0.791666666700625</v>
      </c>
      <c r="F390" s="11" t="n">
        <v>45778</v>
      </c>
      <c r="G390" s="12" t="n">
        <v>0.75</v>
      </c>
      <c r="H390" s="10" t="n">
        <v>45776.780947338</v>
      </c>
      <c r="I390" s="7" t="n">
        <v>5500</v>
      </c>
      <c r="J390" s="0" t="n">
        <f aca="false">IF(AND(D390&gt;=DATE(YEAR(D390),3,15),D390&lt;=DATE(YEAR(D390),6,10)),1,0)</f>
        <v>1</v>
      </c>
      <c r="K390" s="0" t="e">
        <f aca="false">VLOOKUP(D390,Festival_List!$A$2:$B$100,2,0)</f>
        <v>#N/A</v>
      </c>
      <c r="L390" s="0" t="n">
        <f aca="false">ROUND(((F390+G390)-(D390+E390))*24,0)</f>
        <v>23</v>
      </c>
      <c r="M390" s="0" t="n">
        <f aca="false">IF(OR(WEEKDAY(D390)=1,WEEKDAY(D390)=7),1,0)</f>
        <v>0</v>
      </c>
      <c r="N390" s="0" t="str">
        <f aca="false">IF(AND(MONTH(D390)&gt;=3,MONTH(D390)&lt;=6),"Summer",IF(AND(MONTH(D390)&gt;=7,MONTH(D390)&lt;=9),"Monsoon","Winter"))</f>
        <v>Summer</v>
      </c>
      <c r="O390" s="0" t="str">
        <f aca="false">IF(AND(L390&gt;=22,L390&lt;=25,E390&gt;=TIME(18,0,0)),"24H Night", IF(AND(L390&gt;=22,L390&lt;=25,E390&lt;TIME(18,0,0)),"24H Day", IF(AND(L390&gt;=11,L390&lt;=13,E390&gt;=TIME(18,0,0)),"12H Night", IF(AND(L390&gt;=11,L390&lt;=13,E390&lt;TIME(18,0,0)),"12H Day", IF(AND(L390&lt;10,E390&gt;=TIME(18,0,0)),"Couple Night", "Couple Day")))))</f>
        <v>24H Night</v>
      </c>
      <c r="P390" s="0" t="n">
        <f aca="false">WEEKDAY(D390,2)</f>
        <v>3</v>
      </c>
      <c r="Q390" s="0" t="n">
        <f aca="false">MONTH(D390)</f>
        <v>4</v>
      </c>
      <c r="R390" s="0" t="str">
        <f aca="false">"Q"&amp;ROUNDUP(MONTH(D390)/3,0)</f>
        <v>Q2</v>
      </c>
    </row>
    <row r="391" customFormat="false" ht="13.8" hidden="false" customHeight="false" outlineLevel="0" collapsed="false">
      <c r="A391" s="7" t="s">
        <v>1117</v>
      </c>
      <c r="B391" s="7" t="s">
        <v>1118</v>
      </c>
      <c r="C391" s="7" t="s">
        <v>1119</v>
      </c>
      <c r="D391" s="11" t="n">
        <v>45778</v>
      </c>
      <c r="E391" s="12" t="n">
        <v>0.791666666700625</v>
      </c>
      <c r="F391" s="11" t="n">
        <v>45779</v>
      </c>
      <c r="G391" s="12" t="n">
        <v>0.75</v>
      </c>
      <c r="H391" s="10" t="n">
        <v>45770.4187005787</v>
      </c>
      <c r="I391" s="7" t="n">
        <v>5000</v>
      </c>
      <c r="J391" s="0" t="n">
        <f aca="false">IF(AND(D391&gt;=DATE(YEAR(D391),3,15),D391&lt;=DATE(YEAR(D391),6,10)),1,0)</f>
        <v>1</v>
      </c>
      <c r="K391" s="0" t="e">
        <f aca="false">VLOOKUP(D391,Festival_List!$A$2:$B$100,2,0)</f>
        <v>#N/A</v>
      </c>
      <c r="L391" s="0" t="n">
        <f aca="false">ROUND(((F391+G391)-(D391+E391))*24,0)</f>
        <v>23</v>
      </c>
      <c r="M391" s="0" t="n">
        <f aca="false">IF(OR(WEEKDAY(D391)=1,WEEKDAY(D391)=7),1,0)</f>
        <v>0</v>
      </c>
      <c r="N391" s="0" t="str">
        <f aca="false">IF(AND(MONTH(D391)&gt;=3,MONTH(D391)&lt;=6),"Summer",IF(AND(MONTH(D391)&gt;=7,MONTH(D391)&lt;=9),"Monsoon","Winter"))</f>
        <v>Summer</v>
      </c>
      <c r="O391" s="0" t="str">
        <f aca="false">IF(AND(L391&gt;=22,L391&lt;=25,E391&gt;=TIME(18,0,0)),"24H Night", IF(AND(L391&gt;=22,L391&lt;=25,E391&lt;TIME(18,0,0)),"24H Day", IF(AND(L391&gt;=11,L391&lt;=13,E391&gt;=TIME(18,0,0)),"12H Night", IF(AND(L391&gt;=11,L391&lt;=13,E391&lt;TIME(18,0,0)),"12H Day", IF(AND(L391&lt;10,E391&gt;=TIME(18,0,0)),"Couple Night", "Couple Day")))))</f>
        <v>24H Night</v>
      </c>
      <c r="P391" s="0" t="n">
        <f aca="false">WEEKDAY(D391,2)</f>
        <v>4</v>
      </c>
      <c r="Q391" s="0" t="n">
        <f aca="false">MONTH(D391)</f>
        <v>5</v>
      </c>
      <c r="R391" s="0" t="str">
        <f aca="false">"Q"&amp;ROUNDUP(MONTH(D391)/3,0)</f>
        <v>Q2</v>
      </c>
    </row>
    <row r="392" customFormat="false" ht="13.8" hidden="false" customHeight="false" outlineLevel="0" collapsed="false">
      <c r="A392" s="7" t="s">
        <v>1120</v>
      </c>
      <c r="B392" s="7" t="s">
        <v>1121</v>
      </c>
      <c r="C392" s="7" t="s">
        <v>1122</v>
      </c>
      <c r="D392" s="11" t="n">
        <v>45779</v>
      </c>
      <c r="E392" s="12" t="n">
        <v>0.791666666700625</v>
      </c>
      <c r="F392" s="11" t="n">
        <v>45780</v>
      </c>
      <c r="G392" s="12" t="n">
        <v>0.75</v>
      </c>
      <c r="H392" s="10" t="n">
        <v>45777.4402195602</v>
      </c>
      <c r="I392" s="7" t="n">
        <v>0</v>
      </c>
      <c r="J392" s="0" t="n">
        <f aca="false">IF(AND(D392&gt;=DATE(YEAR(D392),3,15),D392&lt;=DATE(YEAR(D392),6,10)),1,0)</f>
        <v>1</v>
      </c>
      <c r="K392" s="0" t="e">
        <f aca="false">VLOOKUP(D392,Festival_List!$A$2:$B$100,2,0)</f>
        <v>#N/A</v>
      </c>
      <c r="L392" s="0" t="n">
        <f aca="false">ROUND(((F392+G392)-(D392+E392))*24,0)</f>
        <v>23</v>
      </c>
      <c r="M392" s="0" t="n">
        <f aca="false">IF(OR(WEEKDAY(D392)=1,WEEKDAY(D392)=7),1,0)</f>
        <v>0</v>
      </c>
      <c r="N392" s="0" t="str">
        <f aca="false">IF(AND(MONTH(D392)&gt;=3,MONTH(D392)&lt;=6),"Summer",IF(AND(MONTH(D392)&gt;=7,MONTH(D392)&lt;=9),"Monsoon","Winter"))</f>
        <v>Summer</v>
      </c>
      <c r="O392" s="0" t="str">
        <f aca="false">IF(AND(L392&gt;=22,L392&lt;=25,E392&gt;=TIME(18,0,0)),"24H Night", IF(AND(L392&gt;=22,L392&lt;=25,E392&lt;TIME(18,0,0)),"24H Day", IF(AND(L392&gt;=11,L392&lt;=13,E392&gt;=TIME(18,0,0)),"12H Night", IF(AND(L392&gt;=11,L392&lt;=13,E392&lt;TIME(18,0,0)),"12H Day", IF(AND(L392&lt;10,E392&gt;=TIME(18,0,0)),"Couple Night", "Couple Day")))))</f>
        <v>24H Night</v>
      </c>
      <c r="P392" s="0" t="n">
        <f aca="false">WEEKDAY(D392,2)</f>
        <v>5</v>
      </c>
      <c r="Q392" s="0" t="n">
        <f aca="false">MONTH(D392)</f>
        <v>5</v>
      </c>
      <c r="R392" s="0" t="str">
        <f aca="false">"Q"&amp;ROUNDUP(MONTH(D392)/3,0)</f>
        <v>Q2</v>
      </c>
    </row>
    <row r="393" customFormat="false" ht="153.7" hidden="false" customHeight="false" outlineLevel="0" collapsed="false">
      <c r="A393" s="7" t="s">
        <v>1123</v>
      </c>
      <c r="B393" s="7" t="s">
        <v>1124</v>
      </c>
      <c r="C393" s="13" t="s">
        <v>1125</v>
      </c>
      <c r="D393" s="11" t="n">
        <v>45780</v>
      </c>
      <c r="E393" s="12" t="n">
        <v>0.791666666700625</v>
      </c>
      <c r="F393" s="11" t="n">
        <v>45781</v>
      </c>
      <c r="G393" s="12" t="n">
        <v>0.75</v>
      </c>
      <c r="H393" s="10" t="n">
        <v>46158.9772069444</v>
      </c>
      <c r="I393" s="7" t="n">
        <v>12000</v>
      </c>
      <c r="J393" s="0" t="n">
        <f aca="false">IF(AND(D393&gt;=DATE(YEAR(D393),3,15),D393&lt;=DATE(YEAR(D393),6,10)),1,0)</f>
        <v>1</v>
      </c>
      <c r="K393" s="0" t="e">
        <f aca="false">VLOOKUP(D393,Festival_List!$A$2:$B$100,2,0)</f>
        <v>#N/A</v>
      </c>
      <c r="L393" s="0" t="n">
        <f aca="false">ROUND(((F393+G393)-(D393+E393))*24,0)</f>
        <v>23</v>
      </c>
      <c r="M393" s="0" t="n">
        <f aca="false">IF(OR(WEEKDAY(D393)=1,WEEKDAY(D393)=7),1,0)</f>
        <v>1</v>
      </c>
      <c r="N393" s="0" t="str">
        <f aca="false">IF(AND(MONTH(D393)&gt;=3,MONTH(D393)&lt;=6),"Summer",IF(AND(MONTH(D393)&gt;=7,MONTH(D393)&lt;=9),"Monsoon","Winter"))</f>
        <v>Summer</v>
      </c>
      <c r="O393" s="0" t="str">
        <f aca="false">IF(AND(L393&gt;=22,L393&lt;=25,E393&gt;=TIME(18,0,0)),"24H Night", IF(AND(L393&gt;=22,L393&lt;=25,E393&lt;TIME(18,0,0)),"24H Day", IF(AND(L393&gt;=11,L393&lt;=13,E393&gt;=TIME(18,0,0)),"12H Night", IF(AND(L393&gt;=11,L393&lt;=13,E393&lt;TIME(18,0,0)),"12H Day", IF(AND(L393&lt;10,E393&gt;=TIME(18,0,0)),"Couple Night", "Couple Day")))))</f>
        <v>24H Night</v>
      </c>
      <c r="P393" s="0" t="n">
        <f aca="false">WEEKDAY(D393,2)</f>
        <v>6</v>
      </c>
      <c r="Q393" s="0" t="n">
        <f aca="false">MONTH(D393)</f>
        <v>5</v>
      </c>
      <c r="R393" s="0" t="str">
        <f aca="false">"Q"&amp;ROUNDUP(MONTH(D393)/3,0)</f>
        <v>Q2</v>
      </c>
    </row>
    <row r="394" customFormat="false" ht="153.7" hidden="false" customHeight="false" outlineLevel="0" collapsed="false">
      <c r="A394" s="7" t="s">
        <v>1126</v>
      </c>
      <c r="B394" s="7" t="s">
        <v>1127</v>
      </c>
      <c r="C394" s="13" t="s">
        <v>1128</v>
      </c>
      <c r="D394" s="11" t="n">
        <v>45782</v>
      </c>
      <c r="E394" s="12" t="n">
        <v>0.333333333299375</v>
      </c>
      <c r="F394" s="11" t="n">
        <v>45782</v>
      </c>
      <c r="G394" s="12" t="n">
        <v>0.791666666700625</v>
      </c>
      <c r="H394" s="10" t="n">
        <v>46158.9772069444</v>
      </c>
      <c r="I394" s="7" t="n">
        <v>4500</v>
      </c>
      <c r="J394" s="0" t="n">
        <f aca="false">IF(AND(D394&gt;=DATE(YEAR(D394),3,15),D394&lt;=DATE(YEAR(D394),6,10)),1,0)</f>
        <v>1</v>
      </c>
      <c r="K394" s="0" t="e">
        <f aca="false">VLOOKUP(D394,Festival_List!$A$2:$B$100,2,0)</f>
        <v>#N/A</v>
      </c>
      <c r="L394" s="0" t="n">
        <f aca="false">ROUND(((F394+G394)-(D394+E394))*24,0)</f>
        <v>11</v>
      </c>
      <c r="M394" s="0" t="n">
        <f aca="false">IF(OR(WEEKDAY(D394)=1,WEEKDAY(D394)=7),1,0)</f>
        <v>0</v>
      </c>
      <c r="N394" s="0" t="str">
        <f aca="false">IF(AND(MONTH(D394)&gt;=3,MONTH(D394)&lt;=6),"Summer",IF(AND(MONTH(D394)&gt;=7,MONTH(D394)&lt;=9),"Monsoon","Winter"))</f>
        <v>Summer</v>
      </c>
      <c r="O394" s="0" t="str">
        <f aca="false">IF(AND(L394&gt;=22,L394&lt;=25,E394&gt;=TIME(18,0,0)),"24H Night", IF(AND(L394&gt;=22,L394&lt;=25,E394&lt;TIME(18,0,0)),"24H Day", IF(AND(L394&gt;=11,L394&lt;=13,E394&gt;=TIME(18,0,0)),"12H Night", IF(AND(L394&gt;=11,L394&lt;=13,E394&lt;TIME(18,0,0)),"12H Day", IF(AND(L394&lt;10,E394&gt;=TIME(18,0,0)),"Couple Night", "Couple Day")))))</f>
        <v>12H Day</v>
      </c>
      <c r="P394" s="0" t="n">
        <f aca="false">WEEKDAY(D394,2)</f>
        <v>1</v>
      </c>
      <c r="Q394" s="0" t="n">
        <f aca="false">MONTH(D394)</f>
        <v>5</v>
      </c>
      <c r="R394" s="0" t="str">
        <f aca="false">"Q"&amp;ROUNDUP(MONTH(D394)/3,0)</f>
        <v>Q2</v>
      </c>
    </row>
    <row r="395" customFormat="false" ht="153.7" hidden="false" customHeight="false" outlineLevel="0" collapsed="false">
      <c r="A395" s="7" t="s">
        <v>1129</v>
      </c>
      <c r="B395" s="7" t="s">
        <v>1130</v>
      </c>
      <c r="C395" s="13" t="s">
        <v>1131</v>
      </c>
      <c r="D395" s="11" t="n">
        <v>45783</v>
      </c>
      <c r="E395" s="12" t="n">
        <v>0.541666666700625</v>
      </c>
      <c r="F395" s="11" t="n">
        <v>45783</v>
      </c>
      <c r="G395" s="12" t="n">
        <v>0.75</v>
      </c>
      <c r="H395" s="10" t="n">
        <v>45783.5186400463</v>
      </c>
      <c r="I395" s="7" t="n">
        <v>2000</v>
      </c>
      <c r="J395" s="0" t="n">
        <f aca="false">IF(AND(D395&gt;=DATE(YEAR(D395),3,15),D395&lt;=DATE(YEAR(D395),6,10)),1,0)</f>
        <v>1</v>
      </c>
      <c r="K395" s="0" t="e">
        <f aca="false">VLOOKUP(D395,Festival_List!$A$2:$B$100,2,0)</f>
        <v>#N/A</v>
      </c>
      <c r="L395" s="0" t="n">
        <f aca="false">ROUND(((F395+G395)-(D395+E395))*24,0)</f>
        <v>5</v>
      </c>
      <c r="M395" s="0" t="n">
        <f aca="false">IF(OR(WEEKDAY(D395)=1,WEEKDAY(D395)=7),1,0)</f>
        <v>0</v>
      </c>
      <c r="N395" s="0" t="str">
        <f aca="false">IF(AND(MONTH(D395)&gt;=3,MONTH(D395)&lt;=6),"Summer",IF(AND(MONTH(D395)&gt;=7,MONTH(D395)&lt;=9),"Monsoon","Winter"))</f>
        <v>Summer</v>
      </c>
      <c r="O395" s="0" t="str">
        <f aca="false">IF(AND(L395&gt;=22,L395&lt;=25,E395&gt;=TIME(18,0,0)),"24H Night", IF(AND(L395&gt;=22,L395&lt;=25,E395&lt;TIME(18,0,0)),"24H Day", IF(AND(L395&gt;=11,L395&lt;=13,E395&gt;=TIME(18,0,0)),"12H Night", IF(AND(L395&gt;=11,L395&lt;=13,E395&lt;TIME(18,0,0)),"12H Day", IF(AND(L395&lt;10,E395&gt;=TIME(18,0,0)),"Couple Night", "Couple Day")))))</f>
        <v>Couple Day</v>
      </c>
      <c r="P395" s="0" t="n">
        <f aca="false">WEEKDAY(D395,2)</f>
        <v>2</v>
      </c>
      <c r="Q395" s="0" t="n">
        <f aca="false">MONTH(D395)</f>
        <v>5</v>
      </c>
      <c r="R395" s="0" t="str">
        <f aca="false">"Q"&amp;ROUNDUP(MONTH(D395)/3,0)</f>
        <v>Q2</v>
      </c>
    </row>
    <row r="396" customFormat="false" ht="153.7" hidden="false" customHeight="false" outlineLevel="0" collapsed="false">
      <c r="A396" s="7" t="s">
        <v>1132</v>
      </c>
      <c r="B396" s="7" t="s">
        <v>1133</v>
      </c>
      <c r="C396" s="13" t="s">
        <v>1134</v>
      </c>
      <c r="D396" s="11" t="n">
        <v>45783</v>
      </c>
      <c r="E396" s="12" t="n">
        <v>0.791666666700625</v>
      </c>
      <c r="F396" s="11" t="n">
        <v>45784</v>
      </c>
      <c r="G396" s="12" t="n">
        <v>0.75</v>
      </c>
      <c r="H396" s="10" t="n">
        <v>46158.9772069444</v>
      </c>
      <c r="I396" s="7" t="n">
        <v>5500</v>
      </c>
      <c r="J396" s="0" t="n">
        <f aca="false">IF(AND(D396&gt;=DATE(YEAR(D396),3,15),D396&lt;=DATE(YEAR(D396),6,10)),1,0)</f>
        <v>1</v>
      </c>
      <c r="K396" s="0" t="e">
        <f aca="false">VLOOKUP(D396,Festival_List!$A$2:$B$100,2,0)</f>
        <v>#N/A</v>
      </c>
      <c r="L396" s="0" t="n">
        <f aca="false">ROUND(((F396+G396)-(D396+E396))*24,0)</f>
        <v>23</v>
      </c>
      <c r="M396" s="0" t="n">
        <f aca="false">IF(OR(WEEKDAY(D396)=1,WEEKDAY(D396)=7),1,0)</f>
        <v>0</v>
      </c>
      <c r="N396" s="0" t="str">
        <f aca="false">IF(AND(MONTH(D396)&gt;=3,MONTH(D396)&lt;=6),"Summer",IF(AND(MONTH(D396)&gt;=7,MONTH(D396)&lt;=9),"Monsoon","Winter"))</f>
        <v>Summer</v>
      </c>
      <c r="O396" s="0" t="str">
        <f aca="false">IF(AND(L396&gt;=22,L396&lt;=25,E396&gt;=TIME(18,0,0)),"24H Night", IF(AND(L396&gt;=22,L396&lt;=25,E396&lt;TIME(18,0,0)),"24H Day", IF(AND(L396&gt;=11,L396&lt;=13,E396&gt;=TIME(18,0,0)),"12H Night", IF(AND(L396&gt;=11,L396&lt;=13,E396&lt;TIME(18,0,0)),"12H Day", IF(AND(L396&lt;10,E396&gt;=TIME(18,0,0)),"Couple Night", "Couple Day")))))</f>
        <v>24H Night</v>
      </c>
      <c r="P396" s="0" t="n">
        <f aca="false">WEEKDAY(D396,2)</f>
        <v>2</v>
      </c>
      <c r="Q396" s="0" t="n">
        <f aca="false">MONTH(D396)</f>
        <v>5</v>
      </c>
      <c r="R396" s="0" t="str">
        <f aca="false">"Q"&amp;ROUNDUP(MONTH(D396)/3,0)</f>
        <v>Q2</v>
      </c>
    </row>
    <row r="397" customFormat="false" ht="115.65" hidden="false" customHeight="false" outlineLevel="0" collapsed="false">
      <c r="A397" s="7" t="s">
        <v>1135</v>
      </c>
      <c r="B397" s="7" t="s">
        <v>1136</v>
      </c>
      <c r="C397" s="13" t="s">
        <v>1137</v>
      </c>
      <c r="D397" s="11" t="n">
        <v>45785</v>
      </c>
      <c r="E397" s="12" t="n">
        <v>0.916666666700625</v>
      </c>
      <c r="F397" s="11" t="n">
        <v>45786</v>
      </c>
      <c r="G397" s="12" t="n">
        <v>0.375</v>
      </c>
      <c r="H397" s="10" t="n">
        <v>45786.0832719907</v>
      </c>
      <c r="I397" s="7" t="n">
        <v>2500</v>
      </c>
      <c r="J397" s="0" t="n">
        <f aca="false">IF(AND(D397&gt;=DATE(YEAR(D397),3,15),D397&lt;=DATE(YEAR(D397),6,10)),1,0)</f>
        <v>1</v>
      </c>
      <c r="K397" s="0" t="e">
        <f aca="false">VLOOKUP(D397,Festival_List!$A$2:$B$100,2,0)</f>
        <v>#N/A</v>
      </c>
      <c r="L397" s="0" t="n">
        <f aca="false">ROUND(((F397+G397)-(D397+E397))*24,0)</f>
        <v>11</v>
      </c>
      <c r="M397" s="0" t="n">
        <f aca="false">IF(OR(WEEKDAY(D397)=1,WEEKDAY(D397)=7),1,0)</f>
        <v>0</v>
      </c>
      <c r="N397" s="0" t="str">
        <f aca="false">IF(AND(MONTH(D397)&gt;=3,MONTH(D397)&lt;=6),"Summer",IF(AND(MONTH(D397)&gt;=7,MONTH(D397)&lt;=9),"Monsoon","Winter"))</f>
        <v>Summer</v>
      </c>
      <c r="O397" s="0" t="str">
        <f aca="false">IF(AND(L397&gt;=22,L397&lt;=25,E397&gt;=TIME(18,0,0)),"24H Night", IF(AND(L397&gt;=22,L397&lt;=25,E397&lt;TIME(18,0,0)),"24H Day", IF(AND(L397&gt;=11,L397&lt;=13,E397&gt;=TIME(18,0,0)),"12H Night", IF(AND(L397&gt;=11,L397&lt;=13,E397&lt;TIME(18,0,0)),"12H Day", IF(AND(L397&lt;10,E397&gt;=TIME(18,0,0)),"Couple Night", "Couple Day")))))</f>
        <v>12H Night</v>
      </c>
      <c r="P397" s="0" t="n">
        <f aca="false">WEEKDAY(D397,2)</f>
        <v>4</v>
      </c>
      <c r="Q397" s="0" t="n">
        <f aca="false">MONTH(D397)</f>
        <v>5</v>
      </c>
      <c r="R397" s="0" t="str">
        <f aca="false">"Q"&amp;ROUNDUP(MONTH(D397)/3,0)</f>
        <v>Q2</v>
      </c>
    </row>
    <row r="398" customFormat="false" ht="115.65" hidden="false" customHeight="false" outlineLevel="0" collapsed="false">
      <c r="A398" s="7" t="s">
        <v>1138</v>
      </c>
      <c r="B398" s="7" t="s">
        <v>1139</v>
      </c>
      <c r="C398" s="13" t="s">
        <v>1140</v>
      </c>
      <c r="D398" s="11" t="n">
        <v>45786</v>
      </c>
      <c r="E398" s="12" t="n">
        <v>0.791666666700625</v>
      </c>
      <c r="F398" s="11" t="n">
        <v>45787</v>
      </c>
      <c r="G398" s="12" t="n">
        <v>0.416666666700625</v>
      </c>
      <c r="H398" s="10" t="n">
        <v>45785.9098064815</v>
      </c>
      <c r="I398" s="7" t="n">
        <v>3000</v>
      </c>
      <c r="J398" s="0" t="n">
        <f aca="false">IF(AND(D398&gt;=DATE(YEAR(D398),3,15),D398&lt;=DATE(YEAR(D398),6,10)),1,0)</f>
        <v>1</v>
      </c>
      <c r="K398" s="0" t="e">
        <f aca="false">VLOOKUP(D398,Festival_List!$A$2:$B$100,2,0)</f>
        <v>#N/A</v>
      </c>
      <c r="L398" s="0" t="n">
        <f aca="false">ROUND(((F398+G398)-(D398+E398))*24,0)</f>
        <v>15</v>
      </c>
      <c r="M398" s="0" t="n">
        <f aca="false">IF(OR(WEEKDAY(D398)=1,WEEKDAY(D398)=7),1,0)</f>
        <v>0</v>
      </c>
      <c r="N398" s="0" t="str">
        <f aca="false">IF(AND(MONTH(D398)&gt;=3,MONTH(D398)&lt;=6),"Summer",IF(AND(MONTH(D398)&gt;=7,MONTH(D398)&lt;=9),"Monsoon","Winter"))</f>
        <v>Summer</v>
      </c>
      <c r="O398" s="0" t="str">
        <f aca="false">IF(AND(L398&gt;=22,L398&lt;=25,E398&gt;=TIME(18,0,0)),"24H Night", IF(AND(L398&gt;=22,L398&lt;=25,E398&lt;TIME(18,0,0)),"24H Day", IF(AND(L398&gt;=11,L398&lt;=13,E398&gt;=TIME(18,0,0)),"12H Night", IF(AND(L398&gt;=11,L398&lt;=13,E398&lt;TIME(18,0,0)),"12H Day", IF(AND(L398&lt;10,E398&gt;=TIME(18,0,0)),"Couple Night", "Couple Day")))))</f>
        <v>Couple Day</v>
      </c>
      <c r="P398" s="0" t="n">
        <f aca="false">WEEKDAY(D398,2)</f>
        <v>5</v>
      </c>
      <c r="Q398" s="0" t="n">
        <f aca="false">MONTH(D398)</f>
        <v>5</v>
      </c>
      <c r="R398" s="0" t="str">
        <f aca="false">"Q"&amp;ROUNDUP(MONTH(D398)/3,0)</f>
        <v>Q2</v>
      </c>
    </row>
    <row r="399" customFormat="false" ht="102.95" hidden="false" customHeight="false" outlineLevel="0" collapsed="false">
      <c r="A399" s="7" t="s">
        <v>1141</v>
      </c>
      <c r="B399" s="7" t="s">
        <v>1142</v>
      </c>
      <c r="C399" s="13" t="s">
        <v>1143</v>
      </c>
      <c r="D399" s="11" t="n">
        <v>45787</v>
      </c>
      <c r="E399" s="12" t="n">
        <v>0.416666666700625</v>
      </c>
      <c r="F399" s="11" t="n">
        <v>45787</v>
      </c>
      <c r="G399" s="12" t="n">
        <v>0.75</v>
      </c>
      <c r="H399" s="10" t="n">
        <v>45786.7840392361</v>
      </c>
      <c r="I399" s="7" t="n">
        <v>2000</v>
      </c>
      <c r="J399" s="0" t="n">
        <f aca="false">IF(AND(D399&gt;=DATE(YEAR(D399),3,15),D399&lt;=DATE(YEAR(D399),6,10)),1,0)</f>
        <v>1</v>
      </c>
      <c r="K399" s="0" t="e">
        <f aca="false">VLOOKUP(D399,Festival_List!$A$2:$B$100,2,0)</f>
        <v>#N/A</v>
      </c>
      <c r="L399" s="0" t="n">
        <f aca="false">ROUND(((F399+G399)-(D399+E399))*24,0)</f>
        <v>8</v>
      </c>
      <c r="M399" s="0" t="n">
        <f aca="false">IF(OR(WEEKDAY(D399)=1,WEEKDAY(D399)=7),1,0)</f>
        <v>1</v>
      </c>
      <c r="N399" s="0" t="str">
        <f aca="false">IF(AND(MONTH(D399)&gt;=3,MONTH(D399)&lt;=6),"Summer",IF(AND(MONTH(D399)&gt;=7,MONTH(D399)&lt;=9),"Monsoon","Winter"))</f>
        <v>Summer</v>
      </c>
      <c r="O399" s="0" t="str">
        <f aca="false">IF(AND(L399&gt;=22,L399&lt;=25,E399&gt;=TIME(18,0,0)),"24H Night", IF(AND(L399&gt;=22,L399&lt;=25,E399&lt;TIME(18,0,0)),"24H Day", IF(AND(L399&gt;=11,L399&lt;=13,E399&gt;=TIME(18,0,0)),"12H Night", IF(AND(L399&gt;=11,L399&lt;=13,E399&lt;TIME(18,0,0)),"12H Day", IF(AND(L399&lt;10,E399&gt;=TIME(18,0,0)),"Couple Night", "Couple Day")))))</f>
        <v>Couple Day</v>
      </c>
      <c r="P399" s="0" t="n">
        <f aca="false">WEEKDAY(D399,2)</f>
        <v>6</v>
      </c>
      <c r="Q399" s="0" t="n">
        <f aca="false">MONTH(D399)</f>
        <v>5</v>
      </c>
      <c r="R399" s="0" t="str">
        <f aca="false">"Q"&amp;ROUNDUP(MONTH(D399)/3,0)</f>
        <v>Q2</v>
      </c>
    </row>
    <row r="400" customFormat="false" ht="102.95" hidden="false" customHeight="false" outlineLevel="0" collapsed="false">
      <c r="A400" s="7" t="s">
        <v>1144</v>
      </c>
      <c r="B400" s="7" t="s">
        <v>1145</v>
      </c>
      <c r="C400" s="13" t="s">
        <v>1146</v>
      </c>
      <c r="D400" s="11" t="n">
        <v>45787</v>
      </c>
      <c r="E400" s="12" t="n">
        <v>0.791666666700625</v>
      </c>
      <c r="F400" s="11" t="n">
        <v>45788</v>
      </c>
      <c r="G400" s="12" t="n">
        <v>0.75</v>
      </c>
      <c r="H400" s="10" t="n">
        <v>45788.6260834491</v>
      </c>
      <c r="I400" s="7" t="n">
        <v>10000</v>
      </c>
      <c r="J400" s="0" t="n">
        <f aca="false">IF(AND(D400&gt;=DATE(YEAR(D400),3,15),D400&lt;=DATE(YEAR(D400),6,10)),1,0)</f>
        <v>1</v>
      </c>
      <c r="K400" s="0" t="e">
        <f aca="false">VLOOKUP(D400,Festival_List!$A$2:$B$100,2,0)</f>
        <v>#N/A</v>
      </c>
      <c r="L400" s="0" t="n">
        <f aca="false">ROUND(((F400+G400)-(D400+E400))*24,0)</f>
        <v>23</v>
      </c>
      <c r="M400" s="0" t="n">
        <f aca="false">IF(OR(WEEKDAY(D400)=1,WEEKDAY(D400)=7),1,0)</f>
        <v>1</v>
      </c>
      <c r="N400" s="0" t="str">
        <f aca="false">IF(AND(MONTH(D400)&gt;=3,MONTH(D400)&lt;=6),"Summer",IF(AND(MONTH(D400)&gt;=7,MONTH(D400)&lt;=9),"Monsoon","Winter"))</f>
        <v>Summer</v>
      </c>
      <c r="O400" s="0" t="str">
        <f aca="false">IF(AND(L400&gt;=22,L400&lt;=25,E400&gt;=TIME(18,0,0)),"24H Night", IF(AND(L400&gt;=22,L400&lt;=25,E400&lt;TIME(18,0,0)),"24H Day", IF(AND(L400&gt;=11,L400&lt;=13,E400&gt;=TIME(18,0,0)),"12H Night", IF(AND(L400&gt;=11,L400&lt;=13,E400&lt;TIME(18,0,0)),"12H Day", IF(AND(L400&lt;10,E400&gt;=TIME(18,0,0)),"Couple Night", "Couple Day")))))</f>
        <v>24H Night</v>
      </c>
      <c r="P400" s="0" t="n">
        <f aca="false">WEEKDAY(D400,2)</f>
        <v>6</v>
      </c>
      <c r="Q400" s="0" t="n">
        <f aca="false">MONTH(D400)</f>
        <v>5</v>
      </c>
      <c r="R400" s="0" t="str">
        <f aca="false">"Q"&amp;ROUNDUP(MONTH(D400)/3,0)</f>
        <v>Q2</v>
      </c>
    </row>
    <row r="401" customFormat="false" ht="115.65" hidden="false" customHeight="false" outlineLevel="0" collapsed="false">
      <c r="A401" s="7" t="s">
        <v>1147</v>
      </c>
      <c r="B401" s="7" t="s">
        <v>1148</v>
      </c>
      <c r="C401" s="13" t="s">
        <v>1149</v>
      </c>
      <c r="D401" s="11" t="n">
        <v>45789</v>
      </c>
      <c r="E401" s="12" t="n">
        <v>0.458333333299375</v>
      </c>
      <c r="F401" s="11" t="n">
        <v>45789</v>
      </c>
      <c r="G401" s="12" t="n">
        <v>0.708333333299375</v>
      </c>
      <c r="H401" s="10" t="n">
        <v>45789.5098630787</v>
      </c>
      <c r="I401" s="7" t="n">
        <v>2000</v>
      </c>
      <c r="J401" s="0" t="n">
        <f aca="false">IF(AND(D401&gt;=DATE(YEAR(D401),3,15),D401&lt;=DATE(YEAR(D401),6,10)),1,0)</f>
        <v>1</v>
      </c>
      <c r="K401" s="0" t="e">
        <f aca="false">VLOOKUP(D401,Festival_List!$A$2:$B$100,2,0)</f>
        <v>#N/A</v>
      </c>
      <c r="L401" s="0" t="n">
        <f aca="false">ROUND(((F401+G401)-(D401+E401))*24,0)</f>
        <v>6</v>
      </c>
      <c r="M401" s="0" t="n">
        <f aca="false">IF(OR(WEEKDAY(D401)=1,WEEKDAY(D401)=7),1,0)</f>
        <v>0</v>
      </c>
      <c r="N401" s="0" t="str">
        <f aca="false">IF(AND(MONTH(D401)&gt;=3,MONTH(D401)&lt;=6),"Summer",IF(AND(MONTH(D401)&gt;=7,MONTH(D401)&lt;=9),"Monsoon","Winter"))</f>
        <v>Summer</v>
      </c>
      <c r="O401" s="0" t="str">
        <f aca="false">IF(AND(L401&gt;=22,L401&lt;=25,E401&gt;=TIME(18,0,0)),"24H Night", IF(AND(L401&gt;=22,L401&lt;=25,E401&lt;TIME(18,0,0)),"24H Day", IF(AND(L401&gt;=11,L401&lt;=13,E401&gt;=TIME(18,0,0)),"12H Night", IF(AND(L401&gt;=11,L401&lt;=13,E401&lt;TIME(18,0,0)),"12H Day", IF(AND(L401&lt;10,E401&gt;=TIME(18,0,0)),"Couple Night", "Couple Day")))))</f>
        <v>Couple Day</v>
      </c>
      <c r="P401" s="0" t="n">
        <f aca="false">WEEKDAY(D401,2)</f>
        <v>1</v>
      </c>
      <c r="Q401" s="0" t="n">
        <f aca="false">MONTH(D401)</f>
        <v>5</v>
      </c>
      <c r="R401" s="0" t="str">
        <f aca="false">"Q"&amp;ROUNDUP(MONTH(D401)/3,0)</f>
        <v>Q2</v>
      </c>
    </row>
    <row r="402" customFormat="false" ht="153.7" hidden="false" customHeight="false" outlineLevel="0" collapsed="false">
      <c r="A402" s="7" t="s">
        <v>1150</v>
      </c>
      <c r="B402" s="7" t="s">
        <v>712</v>
      </c>
      <c r="C402" s="13" t="s">
        <v>1151</v>
      </c>
      <c r="D402" s="11" t="n">
        <v>45789</v>
      </c>
      <c r="E402" s="12" t="n">
        <v>0.791666666700625</v>
      </c>
      <c r="F402" s="11" t="n">
        <v>45790</v>
      </c>
      <c r="G402" s="12" t="n">
        <v>0.75</v>
      </c>
      <c r="H402" s="10" t="n">
        <v>46158.9772069444</v>
      </c>
      <c r="I402" s="7" t="n">
        <v>6000</v>
      </c>
      <c r="J402" s="0" t="n">
        <f aca="false">IF(AND(D402&gt;=DATE(YEAR(D402),3,15),D402&lt;=DATE(YEAR(D402),6,10)),1,0)</f>
        <v>1</v>
      </c>
      <c r="K402" s="0" t="e">
        <f aca="false">VLOOKUP(D402,Festival_List!$A$2:$B$100,2,0)</f>
        <v>#N/A</v>
      </c>
      <c r="L402" s="0" t="n">
        <f aca="false">ROUND(((F402+G402)-(D402+E402))*24,0)</f>
        <v>23</v>
      </c>
      <c r="M402" s="0" t="n">
        <f aca="false">IF(OR(WEEKDAY(D402)=1,WEEKDAY(D402)=7),1,0)</f>
        <v>0</v>
      </c>
      <c r="N402" s="0" t="str">
        <f aca="false">IF(AND(MONTH(D402)&gt;=3,MONTH(D402)&lt;=6),"Summer",IF(AND(MONTH(D402)&gt;=7,MONTH(D402)&lt;=9),"Monsoon","Winter"))</f>
        <v>Summer</v>
      </c>
      <c r="O402" s="0" t="str">
        <f aca="false">IF(AND(L402&gt;=22,L402&lt;=25,E402&gt;=TIME(18,0,0)),"24H Night", IF(AND(L402&gt;=22,L402&lt;=25,E402&lt;TIME(18,0,0)),"24H Day", IF(AND(L402&gt;=11,L402&lt;=13,E402&gt;=TIME(18,0,0)),"12H Night", IF(AND(L402&gt;=11,L402&lt;=13,E402&lt;TIME(18,0,0)),"12H Day", IF(AND(L402&lt;10,E402&gt;=TIME(18,0,0)),"Couple Night", "Couple Day")))))</f>
        <v>24H Night</v>
      </c>
      <c r="P402" s="0" t="n">
        <f aca="false">WEEKDAY(D402,2)</f>
        <v>1</v>
      </c>
      <c r="Q402" s="0" t="n">
        <f aca="false">MONTH(D402)</f>
        <v>5</v>
      </c>
      <c r="R402" s="0" t="str">
        <f aca="false">"Q"&amp;ROUNDUP(MONTH(D402)/3,0)</f>
        <v>Q2</v>
      </c>
    </row>
    <row r="403" customFormat="false" ht="166.4" hidden="false" customHeight="false" outlineLevel="0" collapsed="false">
      <c r="A403" s="7" t="s">
        <v>1152</v>
      </c>
      <c r="B403" s="7" t="s">
        <v>1153</v>
      </c>
      <c r="C403" s="13" t="s">
        <v>1154</v>
      </c>
      <c r="D403" s="11" t="n">
        <v>45790</v>
      </c>
      <c r="E403" s="12" t="n">
        <v>0.791666666700625</v>
      </c>
      <c r="F403" s="11" t="n">
        <v>45791</v>
      </c>
      <c r="G403" s="12" t="n">
        <v>0.75</v>
      </c>
      <c r="H403" s="10" t="n">
        <v>46158.9772069444</v>
      </c>
      <c r="I403" s="7" t="n">
        <v>5500</v>
      </c>
      <c r="J403" s="0" t="n">
        <f aca="false">IF(AND(D403&gt;=DATE(YEAR(D403),3,15),D403&lt;=DATE(YEAR(D403),6,10)),1,0)</f>
        <v>1</v>
      </c>
      <c r="K403" s="0" t="e">
        <f aca="false">VLOOKUP(D403,Festival_List!$A$2:$B$100,2,0)</f>
        <v>#N/A</v>
      </c>
      <c r="L403" s="0" t="n">
        <f aca="false">ROUND(((F403+G403)-(D403+E403))*24,0)</f>
        <v>23</v>
      </c>
      <c r="M403" s="0" t="n">
        <f aca="false">IF(OR(WEEKDAY(D403)=1,WEEKDAY(D403)=7),1,0)</f>
        <v>0</v>
      </c>
      <c r="N403" s="0" t="str">
        <f aca="false">IF(AND(MONTH(D403)&gt;=3,MONTH(D403)&lt;=6),"Summer",IF(AND(MONTH(D403)&gt;=7,MONTH(D403)&lt;=9),"Monsoon","Winter"))</f>
        <v>Summer</v>
      </c>
      <c r="O403" s="0" t="str">
        <f aca="false">IF(AND(L403&gt;=22,L403&lt;=25,E403&gt;=TIME(18,0,0)),"24H Night", IF(AND(L403&gt;=22,L403&lt;=25,E403&lt;TIME(18,0,0)),"24H Day", IF(AND(L403&gt;=11,L403&lt;=13,E403&gt;=TIME(18,0,0)),"12H Night", IF(AND(L403&gt;=11,L403&lt;=13,E403&lt;TIME(18,0,0)),"12H Day", IF(AND(L403&lt;10,E403&gt;=TIME(18,0,0)),"Couple Night", "Couple Day")))))</f>
        <v>24H Night</v>
      </c>
      <c r="P403" s="0" t="n">
        <f aca="false">WEEKDAY(D403,2)</f>
        <v>2</v>
      </c>
      <c r="Q403" s="0" t="n">
        <f aca="false">MONTH(D403)</f>
        <v>5</v>
      </c>
      <c r="R403" s="0" t="str">
        <f aca="false">"Q"&amp;ROUNDUP(MONTH(D403)/3,0)</f>
        <v>Q2</v>
      </c>
    </row>
    <row r="404" customFormat="false" ht="128.35" hidden="false" customHeight="false" outlineLevel="0" collapsed="false">
      <c r="A404" s="7" t="s">
        <v>1155</v>
      </c>
      <c r="B404" s="7" t="s">
        <v>1156</v>
      </c>
      <c r="C404" s="13" t="s">
        <v>1157</v>
      </c>
      <c r="D404" s="11" t="n">
        <v>45791</v>
      </c>
      <c r="E404" s="12" t="n">
        <v>0.791666666700625</v>
      </c>
      <c r="F404" s="11" t="n">
        <v>45792</v>
      </c>
      <c r="G404" s="12" t="n">
        <v>0.291666666700625</v>
      </c>
      <c r="H404" s="10" t="n">
        <v>45791.5544130787</v>
      </c>
      <c r="I404" s="7" t="n">
        <v>2000</v>
      </c>
      <c r="J404" s="0" t="n">
        <f aca="false">IF(AND(D404&gt;=DATE(YEAR(D404),3,15),D404&lt;=DATE(YEAR(D404),6,10)),1,0)</f>
        <v>1</v>
      </c>
      <c r="K404" s="0" t="e">
        <f aca="false">VLOOKUP(D404,Festival_List!$A$2:$B$100,2,0)</f>
        <v>#N/A</v>
      </c>
      <c r="L404" s="0" t="n">
        <f aca="false">ROUND(((F404+G404)-(D404+E404))*24,0)</f>
        <v>12</v>
      </c>
      <c r="M404" s="0" t="n">
        <f aca="false">IF(OR(WEEKDAY(D404)=1,WEEKDAY(D404)=7),1,0)</f>
        <v>0</v>
      </c>
      <c r="N404" s="0" t="str">
        <f aca="false">IF(AND(MONTH(D404)&gt;=3,MONTH(D404)&lt;=6),"Summer",IF(AND(MONTH(D404)&gt;=7,MONTH(D404)&lt;=9),"Monsoon","Winter"))</f>
        <v>Summer</v>
      </c>
      <c r="O404" s="0" t="str">
        <f aca="false">IF(AND(L404&gt;=22,L404&lt;=25,E404&gt;=TIME(18,0,0)),"24H Night", IF(AND(L404&gt;=22,L404&lt;=25,E404&lt;TIME(18,0,0)),"24H Day", IF(AND(L404&gt;=11,L404&lt;=13,E404&gt;=TIME(18,0,0)),"12H Night", IF(AND(L404&gt;=11,L404&lt;=13,E404&lt;TIME(18,0,0)),"12H Day", IF(AND(L404&lt;10,E404&gt;=TIME(18,0,0)),"Couple Night", "Couple Day")))))</f>
        <v>12H Night</v>
      </c>
      <c r="P404" s="0" t="n">
        <f aca="false">WEEKDAY(D404,2)</f>
        <v>3</v>
      </c>
      <c r="Q404" s="0" t="n">
        <f aca="false">MONTH(D404)</f>
        <v>5</v>
      </c>
      <c r="R404" s="0" t="str">
        <f aca="false">"Q"&amp;ROUNDUP(MONTH(D404)/3,0)</f>
        <v>Q2</v>
      </c>
    </row>
    <row r="405" customFormat="false" ht="77.6" hidden="false" customHeight="false" outlineLevel="0" collapsed="false">
      <c r="A405" s="7" t="s">
        <v>1158</v>
      </c>
      <c r="B405" s="7" t="s">
        <v>475</v>
      </c>
      <c r="C405" s="13" t="s">
        <v>1159</v>
      </c>
      <c r="D405" s="11" t="n">
        <v>45792</v>
      </c>
      <c r="E405" s="12" t="n">
        <v>0.333333333299375</v>
      </c>
      <c r="F405" s="11" t="n">
        <v>45792</v>
      </c>
      <c r="G405" s="12" t="n">
        <v>0.75</v>
      </c>
      <c r="H405" s="10" t="n">
        <v>45789.7564113426</v>
      </c>
      <c r="I405" s="7" t="n">
        <v>4000</v>
      </c>
      <c r="J405" s="0" t="n">
        <f aca="false">IF(AND(D405&gt;=DATE(YEAR(D405),3,15),D405&lt;=DATE(YEAR(D405),6,10)),1,0)</f>
        <v>1</v>
      </c>
      <c r="K405" s="0" t="e">
        <f aca="false">VLOOKUP(D405,Festival_List!$A$2:$B$100,2,0)</f>
        <v>#N/A</v>
      </c>
      <c r="L405" s="0" t="n">
        <f aca="false">ROUND(((F405+G405)-(D405+E405))*24,0)</f>
        <v>10</v>
      </c>
      <c r="M405" s="0" t="n">
        <f aca="false">IF(OR(WEEKDAY(D405)=1,WEEKDAY(D405)=7),1,0)</f>
        <v>0</v>
      </c>
      <c r="N405" s="0" t="str">
        <f aca="false">IF(AND(MONTH(D405)&gt;=3,MONTH(D405)&lt;=6),"Summer",IF(AND(MONTH(D405)&gt;=7,MONTH(D405)&lt;=9),"Monsoon","Winter"))</f>
        <v>Summer</v>
      </c>
      <c r="O405" s="0" t="str">
        <f aca="false">IF(AND(L405&gt;=22,L405&lt;=25,E405&gt;=TIME(18,0,0)),"24H Night", IF(AND(L405&gt;=22,L405&lt;=25,E405&lt;TIME(18,0,0)),"24H Day", IF(AND(L405&gt;=11,L405&lt;=13,E405&gt;=TIME(18,0,0)),"12H Night", IF(AND(L405&gt;=11,L405&lt;=13,E405&lt;TIME(18,0,0)),"12H Day", IF(AND(L405&lt;10,E405&gt;=TIME(18,0,0)),"Couple Night", "Couple Day")))))</f>
        <v>Couple Day</v>
      </c>
      <c r="P405" s="0" t="n">
        <f aca="false">WEEKDAY(D405,2)</f>
        <v>4</v>
      </c>
      <c r="Q405" s="0" t="n">
        <f aca="false">MONTH(D405)</f>
        <v>5</v>
      </c>
      <c r="R405" s="0" t="str">
        <f aca="false">"Q"&amp;ROUNDUP(MONTH(D405)/3,0)</f>
        <v>Q2</v>
      </c>
    </row>
    <row r="406" customFormat="false" ht="141" hidden="false" customHeight="false" outlineLevel="0" collapsed="false">
      <c r="A406" s="7" t="s">
        <v>1160</v>
      </c>
      <c r="B406" s="7" t="s">
        <v>1161</v>
      </c>
      <c r="C406" s="13" t="s">
        <v>1162</v>
      </c>
      <c r="D406" s="11" t="n">
        <v>45792</v>
      </c>
      <c r="E406" s="12" t="n">
        <v>0.791666666700625</v>
      </c>
      <c r="F406" s="11" t="n">
        <v>45794</v>
      </c>
      <c r="G406" s="12" t="n">
        <v>0.75</v>
      </c>
      <c r="H406" s="10" t="n">
        <v>45791.6149263889</v>
      </c>
      <c r="I406" s="7" t="n">
        <v>10000</v>
      </c>
      <c r="J406" s="0" t="n">
        <f aca="false">IF(AND(D406&gt;=DATE(YEAR(D406),3,15),D406&lt;=DATE(YEAR(D406),6,10)),1,0)</f>
        <v>1</v>
      </c>
      <c r="K406" s="0" t="e">
        <f aca="false">VLOOKUP(D406,Festival_List!$A$2:$B$100,2,0)</f>
        <v>#N/A</v>
      </c>
      <c r="L406" s="0" t="n">
        <f aca="false">ROUND(((F406+G406)-(D406+E406))*24,0)</f>
        <v>47</v>
      </c>
      <c r="M406" s="0" t="n">
        <f aca="false">IF(OR(WEEKDAY(D406)=1,WEEKDAY(D406)=7),1,0)</f>
        <v>0</v>
      </c>
      <c r="N406" s="0" t="str">
        <f aca="false">IF(AND(MONTH(D406)&gt;=3,MONTH(D406)&lt;=6),"Summer",IF(AND(MONTH(D406)&gt;=7,MONTH(D406)&lt;=9),"Monsoon","Winter"))</f>
        <v>Summer</v>
      </c>
      <c r="O406" s="0" t="str">
        <f aca="false">IF(AND(L406&gt;=22,L406&lt;=25,E406&gt;=TIME(18,0,0)),"24H Night", IF(AND(L406&gt;=22,L406&lt;=25,E406&lt;TIME(18,0,0)),"24H Day", IF(AND(L406&gt;=11,L406&lt;=13,E406&gt;=TIME(18,0,0)),"12H Night", IF(AND(L406&gt;=11,L406&lt;=13,E406&lt;TIME(18,0,0)),"12H Day", IF(AND(L406&lt;10,E406&gt;=TIME(18,0,0)),"Couple Night", "Couple Day")))))</f>
        <v>Couple Day</v>
      </c>
      <c r="P406" s="0" t="n">
        <f aca="false">WEEKDAY(D406,2)</f>
        <v>4</v>
      </c>
      <c r="Q406" s="0" t="n">
        <f aca="false">MONTH(D406)</f>
        <v>5</v>
      </c>
      <c r="R406" s="0" t="str">
        <f aca="false">"Q"&amp;ROUNDUP(MONTH(D406)/3,0)</f>
        <v>Q2</v>
      </c>
    </row>
    <row r="407" customFormat="false" ht="115.65" hidden="false" customHeight="false" outlineLevel="0" collapsed="false">
      <c r="A407" s="7" t="s">
        <v>1163</v>
      </c>
      <c r="B407" s="7" t="s">
        <v>1164</v>
      </c>
      <c r="C407" s="13" t="s">
        <v>1165</v>
      </c>
      <c r="D407" s="11" t="n">
        <v>45794</v>
      </c>
      <c r="E407" s="12" t="n">
        <v>0.791666666700625</v>
      </c>
      <c r="F407" s="11" t="n">
        <v>45795</v>
      </c>
      <c r="G407" s="12" t="n">
        <v>0.75</v>
      </c>
      <c r="H407" s="10" t="n">
        <v>45788.7883803241</v>
      </c>
      <c r="I407" s="7" t="n">
        <v>11500</v>
      </c>
      <c r="J407" s="0" t="n">
        <f aca="false">IF(AND(D407&gt;=DATE(YEAR(D407),3,15),D407&lt;=DATE(YEAR(D407),6,10)),1,0)</f>
        <v>1</v>
      </c>
      <c r="K407" s="0" t="e">
        <f aca="false">VLOOKUP(D407,Festival_List!$A$2:$B$100,2,0)</f>
        <v>#N/A</v>
      </c>
      <c r="L407" s="0" t="n">
        <f aca="false">ROUND(((F407+G407)-(D407+E407))*24,0)</f>
        <v>23</v>
      </c>
      <c r="M407" s="0" t="n">
        <f aca="false">IF(OR(WEEKDAY(D407)=1,WEEKDAY(D407)=7),1,0)</f>
        <v>1</v>
      </c>
      <c r="N407" s="0" t="str">
        <f aca="false">IF(AND(MONTH(D407)&gt;=3,MONTH(D407)&lt;=6),"Summer",IF(AND(MONTH(D407)&gt;=7,MONTH(D407)&lt;=9),"Monsoon","Winter"))</f>
        <v>Summer</v>
      </c>
      <c r="O407" s="0" t="str">
        <f aca="false">IF(AND(L407&gt;=22,L407&lt;=25,E407&gt;=TIME(18,0,0)),"24H Night", IF(AND(L407&gt;=22,L407&lt;=25,E407&lt;TIME(18,0,0)),"24H Day", IF(AND(L407&gt;=11,L407&lt;=13,E407&gt;=TIME(18,0,0)),"12H Night", IF(AND(L407&gt;=11,L407&lt;=13,E407&lt;TIME(18,0,0)),"12H Day", IF(AND(L407&lt;10,E407&gt;=TIME(18,0,0)),"Couple Night", "Couple Day")))))</f>
        <v>24H Night</v>
      </c>
      <c r="P407" s="0" t="n">
        <f aca="false">WEEKDAY(D407,2)</f>
        <v>6</v>
      </c>
      <c r="Q407" s="0" t="n">
        <f aca="false">MONTH(D407)</f>
        <v>5</v>
      </c>
      <c r="R407" s="0" t="str">
        <f aca="false">"Q"&amp;ROUNDUP(MONTH(D407)/3,0)</f>
        <v>Q2</v>
      </c>
    </row>
    <row r="408" customFormat="false" ht="90.25" hidden="false" customHeight="false" outlineLevel="0" collapsed="false">
      <c r="A408" s="7" t="s">
        <v>1166</v>
      </c>
      <c r="B408" s="7" t="s">
        <v>1167</v>
      </c>
      <c r="C408" s="13" t="s">
        <v>1168</v>
      </c>
      <c r="D408" s="11" t="n">
        <v>45795</v>
      </c>
      <c r="E408" s="12" t="n">
        <v>0.791666666700625</v>
      </c>
      <c r="F408" s="11" t="n">
        <v>45796</v>
      </c>
      <c r="G408" s="12" t="n">
        <v>0.75</v>
      </c>
      <c r="H408" s="10" t="n">
        <v>45793.5621366898</v>
      </c>
      <c r="I408" s="7" t="n">
        <v>5000</v>
      </c>
      <c r="J408" s="0" t="n">
        <f aca="false">IF(AND(D408&gt;=DATE(YEAR(D408),3,15),D408&lt;=DATE(YEAR(D408),6,10)),1,0)</f>
        <v>1</v>
      </c>
      <c r="K408" s="0" t="e">
        <f aca="false">VLOOKUP(D408,Festival_List!$A$2:$B$100,2,0)</f>
        <v>#N/A</v>
      </c>
      <c r="L408" s="0" t="n">
        <f aca="false">ROUND(((F408+G408)-(D408+E408))*24,0)</f>
        <v>23</v>
      </c>
      <c r="M408" s="0" t="n">
        <f aca="false">IF(OR(WEEKDAY(D408)=1,WEEKDAY(D408)=7),1,0)</f>
        <v>1</v>
      </c>
      <c r="N408" s="0" t="str">
        <f aca="false">IF(AND(MONTH(D408)&gt;=3,MONTH(D408)&lt;=6),"Summer",IF(AND(MONTH(D408)&gt;=7,MONTH(D408)&lt;=9),"Monsoon","Winter"))</f>
        <v>Summer</v>
      </c>
      <c r="O408" s="0" t="str">
        <f aca="false">IF(AND(L408&gt;=22,L408&lt;=25,E408&gt;=TIME(18,0,0)),"24H Night", IF(AND(L408&gt;=22,L408&lt;=25,E408&lt;TIME(18,0,0)),"24H Day", IF(AND(L408&gt;=11,L408&lt;=13,E408&gt;=TIME(18,0,0)),"12H Night", IF(AND(L408&gt;=11,L408&lt;=13,E408&lt;TIME(18,0,0)),"12H Day", IF(AND(L408&lt;10,E408&gt;=TIME(18,0,0)),"Couple Night", "Couple Day")))))</f>
        <v>24H Night</v>
      </c>
      <c r="P408" s="0" t="n">
        <f aca="false">WEEKDAY(D408,2)</f>
        <v>7</v>
      </c>
      <c r="Q408" s="0" t="n">
        <f aca="false">MONTH(D408)</f>
        <v>5</v>
      </c>
      <c r="R408" s="0" t="str">
        <f aca="false">"Q"&amp;ROUNDUP(MONTH(D408)/3,0)</f>
        <v>Q2</v>
      </c>
    </row>
    <row r="409" customFormat="false" ht="90.25" hidden="false" customHeight="false" outlineLevel="0" collapsed="false">
      <c r="A409" s="7" t="s">
        <v>1169</v>
      </c>
      <c r="B409" s="7" t="s">
        <v>1170</v>
      </c>
      <c r="C409" s="13" t="s">
        <v>1171</v>
      </c>
      <c r="D409" s="11" t="n">
        <v>45796</v>
      </c>
      <c r="E409" s="12" t="n">
        <v>0.791666666700625</v>
      </c>
      <c r="F409" s="11" t="n">
        <v>45797</v>
      </c>
      <c r="G409" s="12" t="n">
        <v>0.75</v>
      </c>
      <c r="H409" s="10" t="n">
        <v>45794.1703313657</v>
      </c>
      <c r="I409" s="7" t="n">
        <v>5500</v>
      </c>
      <c r="J409" s="0" t="n">
        <f aca="false">IF(AND(D409&gt;=DATE(YEAR(D409),3,15),D409&lt;=DATE(YEAR(D409),6,10)),1,0)</f>
        <v>1</v>
      </c>
      <c r="K409" s="0" t="e">
        <f aca="false">VLOOKUP(D409,Festival_List!$A$2:$B$100,2,0)</f>
        <v>#N/A</v>
      </c>
      <c r="L409" s="0" t="n">
        <f aca="false">ROUND(((F409+G409)-(D409+E409))*24,0)</f>
        <v>23</v>
      </c>
      <c r="M409" s="0" t="n">
        <f aca="false">IF(OR(WEEKDAY(D409)=1,WEEKDAY(D409)=7),1,0)</f>
        <v>0</v>
      </c>
      <c r="N409" s="0" t="str">
        <f aca="false">IF(AND(MONTH(D409)&gt;=3,MONTH(D409)&lt;=6),"Summer",IF(AND(MONTH(D409)&gt;=7,MONTH(D409)&lt;=9),"Monsoon","Winter"))</f>
        <v>Summer</v>
      </c>
      <c r="O409" s="0" t="str">
        <f aca="false">IF(AND(L409&gt;=22,L409&lt;=25,E409&gt;=TIME(18,0,0)),"24H Night", IF(AND(L409&gt;=22,L409&lt;=25,E409&lt;TIME(18,0,0)),"24H Day", IF(AND(L409&gt;=11,L409&lt;=13,E409&gt;=TIME(18,0,0)),"12H Night", IF(AND(L409&gt;=11,L409&lt;=13,E409&lt;TIME(18,0,0)),"12H Day", IF(AND(L409&lt;10,E409&gt;=TIME(18,0,0)),"Couple Night", "Couple Day")))))</f>
        <v>24H Night</v>
      </c>
      <c r="P409" s="0" t="n">
        <f aca="false">WEEKDAY(D409,2)</f>
        <v>1</v>
      </c>
      <c r="Q409" s="0" t="n">
        <f aca="false">MONTH(D409)</f>
        <v>5</v>
      </c>
      <c r="R409" s="0" t="str">
        <f aca="false">"Q"&amp;ROUNDUP(MONTH(D409)/3,0)</f>
        <v>Q2</v>
      </c>
    </row>
    <row r="410" customFormat="false" ht="128.35" hidden="false" customHeight="false" outlineLevel="0" collapsed="false">
      <c r="A410" s="7" t="s">
        <v>1172</v>
      </c>
      <c r="B410" s="7" t="s">
        <v>1173</v>
      </c>
      <c r="C410" s="13" t="s">
        <v>1174</v>
      </c>
      <c r="D410" s="11" t="n">
        <v>45797</v>
      </c>
      <c r="E410" s="12" t="n">
        <v>0.791666666700625</v>
      </c>
      <c r="F410" s="11" t="n">
        <v>45798</v>
      </c>
      <c r="G410" s="12" t="n">
        <v>0.75</v>
      </c>
      <c r="H410" s="10" t="n">
        <v>45791.6259769676</v>
      </c>
      <c r="I410" s="7" t="n">
        <v>5000</v>
      </c>
      <c r="J410" s="0" t="n">
        <f aca="false">IF(AND(D410&gt;=DATE(YEAR(D410),3,15),D410&lt;=DATE(YEAR(D410),6,10)),1,0)</f>
        <v>1</v>
      </c>
      <c r="K410" s="0" t="e">
        <f aca="false">VLOOKUP(D410,Festival_List!$A$2:$B$100,2,0)</f>
        <v>#N/A</v>
      </c>
      <c r="L410" s="0" t="n">
        <f aca="false">ROUND(((F410+G410)-(D410+E410))*24,0)</f>
        <v>23</v>
      </c>
      <c r="M410" s="0" t="n">
        <f aca="false">IF(OR(WEEKDAY(D410)=1,WEEKDAY(D410)=7),1,0)</f>
        <v>0</v>
      </c>
      <c r="N410" s="0" t="str">
        <f aca="false">IF(AND(MONTH(D410)&gt;=3,MONTH(D410)&lt;=6),"Summer",IF(AND(MONTH(D410)&gt;=7,MONTH(D410)&lt;=9),"Monsoon","Winter"))</f>
        <v>Summer</v>
      </c>
      <c r="O410" s="0" t="str">
        <f aca="false">IF(AND(L410&gt;=22,L410&lt;=25,E410&gt;=TIME(18,0,0)),"24H Night", IF(AND(L410&gt;=22,L410&lt;=25,E410&lt;TIME(18,0,0)),"24H Day", IF(AND(L410&gt;=11,L410&lt;=13,E410&gt;=TIME(18,0,0)),"12H Night", IF(AND(L410&gt;=11,L410&lt;=13,E410&lt;TIME(18,0,0)),"12H Day", IF(AND(L410&lt;10,E410&gt;=TIME(18,0,0)),"Couple Night", "Couple Day")))))</f>
        <v>24H Night</v>
      </c>
      <c r="P410" s="0" t="n">
        <f aca="false">WEEKDAY(D410,2)</f>
        <v>2</v>
      </c>
      <c r="Q410" s="0" t="n">
        <f aca="false">MONTH(D410)</f>
        <v>5</v>
      </c>
      <c r="R410" s="0" t="str">
        <f aca="false">"Q"&amp;ROUNDUP(MONTH(D410)/3,0)</f>
        <v>Q2</v>
      </c>
    </row>
    <row r="411" customFormat="false" ht="64.9" hidden="false" customHeight="false" outlineLevel="0" collapsed="false">
      <c r="A411" s="7" t="s">
        <v>1175</v>
      </c>
      <c r="B411" s="7" t="s">
        <v>1176</v>
      </c>
      <c r="C411" s="13" t="s">
        <v>1177</v>
      </c>
      <c r="D411" s="11" t="n">
        <v>45798</v>
      </c>
      <c r="E411" s="12" t="n">
        <v>0.791666666700625</v>
      </c>
      <c r="F411" s="11" t="n">
        <v>45799</v>
      </c>
      <c r="G411" s="12" t="n">
        <v>0.75</v>
      </c>
      <c r="H411" s="10" t="n">
        <v>45796.7681186343</v>
      </c>
      <c r="I411" s="7" t="n">
        <v>5000</v>
      </c>
      <c r="J411" s="0" t="n">
        <f aca="false">IF(AND(D411&gt;=DATE(YEAR(D411),3,15),D411&lt;=DATE(YEAR(D411),6,10)),1,0)</f>
        <v>1</v>
      </c>
      <c r="K411" s="0" t="e">
        <f aca="false">VLOOKUP(D411,Festival_List!$A$2:$B$100,2,0)</f>
        <v>#N/A</v>
      </c>
      <c r="L411" s="0" t="n">
        <f aca="false">ROUND(((F411+G411)-(D411+E411))*24,0)</f>
        <v>23</v>
      </c>
      <c r="M411" s="0" t="n">
        <f aca="false">IF(OR(WEEKDAY(D411)=1,WEEKDAY(D411)=7),1,0)</f>
        <v>0</v>
      </c>
      <c r="N411" s="0" t="str">
        <f aca="false">IF(AND(MONTH(D411)&gt;=3,MONTH(D411)&lt;=6),"Summer",IF(AND(MONTH(D411)&gt;=7,MONTH(D411)&lt;=9),"Monsoon","Winter"))</f>
        <v>Summer</v>
      </c>
      <c r="O411" s="0" t="str">
        <f aca="false">IF(AND(L411&gt;=22,L411&lt;=25,E411&gt;=TIME(18,0,0)),"24H Night", IF(AND(L411&gt;=22,L411&lt;=25,E411&lt;TIME(18,0,0)),"24H Day", IF(AND(L411&gt;=11,L411&lt;=13,E411&gt;=TIME(18,0,0)),"12H Night", IF(AND(L411&gt;=11,L411&lt;=13,E411&lt;TIME(18,0,0)),"12H Day", IF(AND(L411&lt;10,E411&gt;=TIME(18,0,0)),"Couple Night", "Couple Day")))))</f>
        <v>24H Night</v>
      </c>
      <c r="P411" s="0" t="n">
        <f aca="false">WEEKDAY(D411,2)</f>
        <v>3</v>
      </c>
      <c r="Q411" s="0" t="n">
        <f aca="false">MONTH(D411)</f>
        <v>5</v>
      </c>
      <c r="R411" s="0" t="str">
        <f aca="false">"Q"&amp;ROUNDUP(MONTH(D411)/3,0)</f>
        <v>Q2</v>
      </c>
    </row>
    <row r="412" customFormat="false" ht="90.25" hidden="false" customHeight="false" outlineLevel="0" collapsed="false">
      <c r="A412" s="7" t="s">
        <v>1178</v>
      </c>
      <c r="B412" s="7" t="s">
        <v>1179</v>
      </c>
      <c r="C412" s="13" t="s">
        <v>1180</v>
      </c>
      <c r="D412" s="11" t="n">
        <v>45799</v>
      </c>
      <c r="E412" s="12" t="n">
        <v>0.791666666700625</v>
      </c>
      <c r="F412" s="11" t="n">
        <v>45800</v>
      </c>
      <c r="G412" s="12" t="n">
        <v>0.75</v>
      </c>
      <c r="H412" s="10" t="n">
        <v>45800.9672532407</v>
      </c>
      <c r="I412" s="7" t="n">
        <v>5500</v>
      </c>
      <c r="J412" s="0" t="n">
        <f aca="false">IF(AND(D412&gt;=DATE(YEAR(D412),3,15),D412&lt;=DATE(YEAR(D412),6,10)),1,0)</f>
        <v>1</v>
      </c>
      <c r="K412" s="0" t="e">
        <f aca="false">VLOOKUP(D412,Festival_List!$A$2:$B$100,2,0)</f>
        <v>#N/A</v>
      </c>
      <c r="L412" s="0" t="n">
        <f aca="false">ROUND(((F412+G412)-(D412+E412))*24,0)</f>
        <v>23</v>
      </c>
      <c r="M412" s="0" t="n">
        <f aca="false">IF(OR(WEEKDAY(D412)=1,WEEKDAY(D412)=7),1,0)</f>
        <v>0</v>
      </c>
      <c r="N412" s="0" t="str">
        <f aca="false">IF(AND(MONTH(D412)&gt;=3,MONTH(D412)&lt;=6),"Summer",IF(AND(MONTH(D412)&gt;=7,MONTH(D412)&lt;=9),"Monsoon","Winter"))</f>
        <v>Summer</v>
      </c>
      <c r="O412" s="0" t="str">
        <f aca="false">IF(AND(L412&gt;=22,L412&lt;=25,E412&gt;=TIME(18,0,0)),"24H Night", IF(AND(L412&gt;=22,L412&lt;=25,E412&lt;TIME(18,0,0)),"24H Day", IF(AND(L412&gt;=11,L412&lt;=13,E412&gt;=TIME(18,0,0)),"12H Night", IF(AND(L412&gt;=11,L412&lt;=13,E412&lt;TIME(18,0,0)),"12H Day", IF(AND(L412&lt;10,E412&gt;=TIME(18,0,0)),"Couple Night", "Couple Day")))))</f>
        <v>24H Night</v>
      </c>
      <c r="P412" s="0" t="n">
        <f aca="false">WEEKDAY(D412,2)</f>
        <v>4</v>
      </c>
      <c r="Q412" s="0" t="n">
        <f aca="false">MONTH(D412)</f>
        <v>5</v>
      </c>
      <c r="R412" s="0" t="str">
        <f aca="false">"Q"&amp;ROUNDUP(MONTH(D412)/3,0)</f>
        <v>Q2</v>
      </c>
    </row>
    <row r="413" customFormat="false" ht="90.25" hidden="false" customHeight="false" outlineLevel="0" collapsed="false">
      <c r="A413" s="7" t="s">
        <v>1181</v>
      </c>
      <c r="B413" s="7" t="s">
        <v>1182</v>
      </c>
      <c r="C413" s="13" t="s">
        <v>1183</v>
      </c>
      <c r="D413" s="11" t="n">
        <v>45800</v>
      </c>
      <c r="E413" s="12" t="n">
        <v>0.791666666700625</v>
      </c>
      <c r="F413" s="11" t="n">
        <v>45801</v>
      </c>
      <c r="G413" s="12" t="n">
        <v>0.333333333299375</v>
      </c>
      <c r="H413" s="10" t="n">
        <v>45801.7112597222</v>
      </c>
      <c r="I413" s="7" t="n">
        <v>2500</v>
      </c>
      <c r="J413" s="0" t="n">
        <f aca="false">IF(AND(D413&gt;=DATE(YEAR(D413),3,15),D413&lt;=DATE(YEAR(D413),6,10)),1,0)</f>
        <v>1</v>
      </c>
      <c r="K413" s="0" t="e">
        <f aca="false">VLOOKUP(D413,Festival_List!$A$2:$B$100,2,0)</f>
        <v>#N/A</v>
      </c>
      <c r="L413" s="0" t="n">
        <f aca="false">ROUND(((F413+G413)-(D413+E413))*24,0)</f>
        <v>13</v>
      </c>
      <c r="M413" s="0" t="n">
        <f aca="false">IF(OR(WEEKDAY(D413)=1,WEEKDAY(D413)=7),1,0)</f>
        <v>0</v>
      </c>
      <c r="N413" s="0" t="str">
        <f aca="false">IF(AND(MONTH(D413)&gt;=3,MONTH(D413)&lt;=6),"Summer",IF(AND(MONTH(D413)&gt;=7,MONTH(D413)&lt;=9),"Monsoon","Winter"))</f>
        <v>Summer</v>
      </c>
      <c r="O413" s="0" t="str">
        <f aca="false">IF(AND(L413&gt;=22,L413&lt;=25,E413&gt;=TIME(18,0,0)),"24H Night", IF(AND(L413&gt;=22,L413&lt;=25,E413&lt;TIME(18,0,0)),"24H Day", IF(AND(L413&gt;=11,L413&lt;=13,E413&gt;=TIME(18,0,0)),"12H Night", IF(AND(L413&gt;=11,L413&lt;=13,E413&lt;TIME(18,0,0)),"12H Day", IF(AND(L413&lt;10,E413&gt;=TIME(18,0,0)),"Couple Night", "Couple Day")))))</f>
        <v>12H Night</v>
      </c>
      <c r="P413" s="0" t="n">
        <f aca="false">WEEKDAY(D413,2)</f>
        <v>5</v>
      </c>
      <c r="Q413" s="0" t="n">
        <f aca="false">MONTH(D413)</f>
        <v>5</v>
      </c>
      <c r="R413" s="0" t="str">
        <f aca="false">"Q"&amp;ROUNDUP(MONTH(D413)/3,0)</f>
        <v>Q2</v>
      </c>
    </row>
    <row r="414" customFormat="false" ht="102.95" hidden="false" customHeight="false" outlineLevel="0" collapsed="false">
      <c r="A414" s="7" t="s">
        <v>1184</v>
      </c>
      <c r="B414" s="7" t="s">
        <v>1185</v>
      </c>
      <c r="C414" s="13" t="s">
        <v>1186</v>
      </c>
      <c r="D414" s="11" t="n">
        <v>45801</v>
      </c>
      <c r="E414" s="12" t="n">
        <v>0.354166666700625</v>
      </c>
      <c r="F414" s="11" t="n">
        <v>45801</v>
      </c>
      <c r="G414" s="12" t="n">
        <v>0.75</v>
      </c>
      <c r="H414" s="10" t="n">
        <v>45798.8852612269</v>
      </c>
      <c r="I414" s="7" t="n">
        <v>3500</v>
      </c>
      <c r="J414" s="0" t="n">
        <f aca="false">IF(AND(D414&gt;=DATE(YEAR(D414),3,15),D414&lt;=DATE(YEAR(D414),6,10)),1,0)</f>
        <v>1</v>
      </c>
      <c r="K414" s="0" t="e">
        <f aca="false">VLOOKUP(D414,Festival_List!$A$2:$B$100,2,0)</f>
        <v>#N/A</v>
      </c>
      <c r="L414" s="0" t="n">
        <f aca="false">ROUND(((F414+G414)-(D414+E414))*24,0)</f>
        <v>9</v>
      </c>
      <c r="M414" s="0" t="n">
        <f aca="false">IF(OR(WEEKDAY(D414)=1,WEEKDAY(D414)=7),1,0)</f>
        <v>1</v>
      </c>
      <c r="N414" s="0" t="str">
        <f aca="false">IF(AND(MONTH(D414)&gt;=3,MONTH(D414)&lt;=6),"Summer",IF(AND(MONTH(D414)&gt;=7,MONTH(D414)&lt;=9),"Monsoon","Winter"))</f>
        <v>Summer</v>
      </c>
      <c r="O414" s="0" t="str">
        <f aca="false">IF(AND(L414&gt;=22,L414&lt;=25,E414&gt;=TIME(18,0,0)),"24H Night", IF(AND(L414&gt;=22,L414&lt;=25,E414&lt;TIME(18,0,0)),"24H Day", IF(AND(L414&gt;=11,L414&lt;=13,E414&gt;=TIME(18,0,0)),"12H Night", IF(AND(L414&gt;=11,L414&lt;=13,E414&lt;TIME(18,0,0)),"12H Day", IF(AND(L414&lt;10,E414&gt;=TIME(18,0,0)),"Couple Night", "Couple Day")))))</f>
        <v>Couple Day</v>
      </c>
      <c r="P414" s="0" t="n">
        <f aca="false">WEEKDAY(D414,2)</f>
        <v>6</v>
      </c>
      <c r="Q414" s="0" t="n">
        <f aca="false">MONTH(D414)</f>
        <v>5</v>
      </c>
      <c r="R414" s="0" t="str">
        <f aca="false">"Q"&amp;ROUNDUP(MONTH(D414)/3,0)</f>
        <v>Q2</v>
      </c>
    </row>
    <row r="415" customFormat="false" ht="90.25" hidden="false" customHeight="false" outlineLevel="0" collapsed="false">
      <c r="A415" s="7" t="s">
        <v>1187</v>
      </c>
      <c r="B415" s="7" t="s">
        <v>1188</v>
      </c>
      <c r="C415" s="13" t="s">
        <v>1189</v>
      </c>
      <c r="D415" s="11" t="n">
        <v>45801</v>
      </c>
      <c r="E415" s="12" t="n">
        <v>0.791666666700625</v>
      </c>
      <c r="F415" s="11" t="n">
        <v>45802</v>
      </c>
      <c r="G415" s="12" t="n">
        <v>0.75</v>
      </c>
      <c r="H415" s="10" t="n">
        <v>45799.8899832176</v>
      </c>
      <c r="I415" s="7" t="n">
        <v>11000</v>
      </c>
      <c r="J415" s="0" t="n">
        <f aca="false">IF(AND(D415&gt;=DATE(YEAR(D415),3,15),D415&lt;=DATE(YEAR(D415),6,10)),1,0)</f>
        <v>1</v>
      </c>
      <c r="K415" s="0" t="e">
        <f aca="false">VLOOKUP(D415,Festival_List!$A$2:$B$100,2,0)</f>
        <v>#N/A</v>
      </c>
      <c r="L415" s="0" t="n">
        <f aca="false">ROUND(((F415+G415)-(D415+E415))*24,0)</f>
        <v>23</v>
      </c>
      <c r="M415" s="0" t="n">
        <f aca="false">IF(OR(WEEKDAY(D415)=1,WEEKDAY(D415)=7),1,0)</f>
        <v>1</v>
      </c>
      <c r="N415" s="0" t="str">
        <f aca="false">IF(AND(MONTH(D415)&gt;=3,MONTH(D415)&lt;=6),"Summer",IF(AND(MONTH(D415)&gt;=7,MONTH(D415)&lt;=9),"Monsoon","Winter"))</f>
        <v>Summer</v>
      </c>
      <c r="O415" s="0" t="str">
        <f aca="false">IF(AND(L415&gt;=22,L415&lt;=25,E415&gt;=TIME(18,0,0)),"24H Night", IF(AND(L415&gt;=22,L415&lt;=25,E415&lt;TIME(18,0,0)),"24H Day", IF(AND(L415&gt;=11,L415&lt;=13,E415&gt;=TIME(18,0,0)),"12H Night", IF(AND(L415&gt;=11,L415&lt;=13,E415&lt;TIME(18,0,0)),"12H Day", IF(AND(L415&lt;10,E415&gt;=TIME(18,0,0)),"Couple Night", "Couple Day")))))</f>
        <v>24H Night</v>
      </c>
      <c r="P415" s="0" t="n">
        <f aca="false">WEEKDAY(D415,2)</f>
        <v>6</v>
      </c>
      <c r="Q415" s="0" t="n">
        <f aca="false">MONTH(D415)</f>
        <v>5</v>
      </c>
      <c r="R415" s="0" t="str">
        <f aca="false">"Q"&amp;ROUNDUP(MONTH(D415)/3,0)</f>
        <v>Q2</v>
      </c>
    </row>
    <row r="416" customFormat="false" ht="90.25" hidden="false" customHeight="false" outlineLevel="0" collapsed="false">
      <c r="A416" s="7" t="s">
        <v>1190</v>
      </c>
      <c r="B416" s="7" t="s">
        <v>1191</v>
      </c>
      <c r="C416" s="13" t="s">
        <v>1192</v>
      </c>
      <c r="D416" s="11" t="n">
        <v>45802</v>
      </c>
      <c r="E416" s="12" t="n">
        <v>0.791666666700625</v>
      </c>
      <c r="F416" s="11" t="n">
        <v>45803</v>
      </c>
      <c r="G416" s="12" t="n">
        <v>0.333333333299375</v>
      </c>
      <c r="H416" s="10" t="n">
        <v>45801.8246820602</v>
      </c>
      <c r="I416" s="7" t="n">
        <v>2500</v>
      </c>
      <c r="J416" s="0" t="n">
        <f aca="false">IF(AND(D416&gt;=DATE(YEAR(D416),3,15),D416&lt;=DATE(YEAR(D416),6,10)),1,0)</f>
        <v>1</v>
      </c>
      <c r="K416" s="0" t="e">
        <f aca="false">VLOOKUP(D416,Festival_List!$A$2:$B$100,2,0)</f>
        <v>#N/A</v>
      </c>
      <c r="L416" s="0" t="n">
        <f aca="false">ROUND(((F416+G416)-(D416+E416))*24,0)</f>
        <v>13</v>
      </c>
      <c r="M416" s="0" t="n">
        <f aca="false">IF(OR(WEEKDAY(D416)=1,WEEKDAY(D416)=7),1,0)</f>
        <v>1</v>
      </c>
      <c r="N416" s="0" t="str">
        <f aca="false">IF(AND(MONTH(D416)&gt;=3,MONTH(D416)&lt;=6),"Summer",IF(AND(MONTH(D416)&gt;=7,MONTH(D416)&lt;=9),"Monsoon","Winter"))</f>
        <v>Summer</v>
      </c>
      <c r="O416" s="0" t="str">
        <f aca="false">IF(AND(L416&gt;=22,L416&lt;=25,E416&gt;=TIME(18,0,0)),"24H Night", IF(AND(L416&gt;=22,L416&lt;=25,E416&lt;TIME(18,0,0)),"24H Day", IF(AND(L416&gt;=11,L416&lt;=13,E416&gt;=TIME(18,0,0)),"12H Night", IF(AND(L416&gt;=11,L416&lt;=13,E416&lt;TIME(18,0,0)),"12H Day", IF(AND(L416&lt;10,E416&gt;=TIME(18,0,0)),"Couple Night", "Couple Day")))))</f>
        <v>12H Night</v>
      </c>
      <c r="P416" s="0" t="n">
        <f aca="false">WEEKDAY(D416,2)</f>
        <v>7</v>
      </c>
      <c r="Q416" s="0" t="n">
        <f aca="false">MONTH(D416)</f>
        <v>5</v>
      </c>
      <c r="R416" s="0" t="str">
        <f aca="false">"Q"&amp;ROUNDUP(MONTH(D416)/3,0)</f>
        <v>Q2</v>
      </c>
    </row>
    <row r="417" customFormat="false" ht="141" hidden="false" customHeight="false" outlineLevel="0" collapsed="false">
      <c r="A417" s="7" t="s">
        <v>1193</v>
      </c>
      <c r="B417" s="7" t="s">
        <v>432</v>
      </c>
      <c r="C417" s="13" t="s">
        <v>1194</v>
      </c>
      <c r="D417" s="11" t="n">
        <v>45803</v>
      </c>
      <c r="E417" s="12" t="n">
        <v>0.375</v>
      </c>
      <c r="F417" s="11" t="n">
        <v>45803</v>
      </c>
      <c r="G417" s="12" t="n">
        <v>0.75</v>
      </c>
      <c r="H417" s="10" t="n">
        <v>45804.5003380787</v>
      </c>
      <c r="I417" s="7" t="n">
        <v>2550</v>
      </c>
      <c r="J417" s="0" t="n">
        <f aca="false">IF(AND(D417&gt;=DATE(YEAR(D417),3,15),D417&lt;=DATE(YEAR(D417),6,10)),1,0)</f>
        <v>1</v>
      </c>
      <c r="K417" s="0" t="e">
        <f aca="false">VLOOKUP(D417,Festival_List!$A$2:$B$100,2,0)</f>
        <v>#N/A</v>
      </c>
      <c r="L417" s="0" t="n">
        <f aca="false">ROUND(((F417+G417)-(D417+E417))*24,0)</f>
        <v>9</v>
      </c>
      <c r="M417" s="0" t="n">
        <f aca="false">IF(OR(WEEKDAY(D417)=1,WEEKDAY(D417)=7),1,0)</f>
        <v>0</v>
      </c>
      <c r="N417" s="0" t="str">
        <f aca="false">IF(AND(MONTH(D417)&gt;=3,MONTH(D417)&lt;=6),"Summer",IF(AND(MONTH(D417)&gt;=7,MONTH(D417)&lt;=9),"Monsoon","Winter"))</f>
        <v>Summer</v>
      </c>
      <c r="O417" s="0" t="str">
        <f aca="false">IF(AND(L417&gt;=22,L417&lt;=25,E417&gt;=TIME(18,0,0)),"24H Night", IF(AND(L417&gt;=22,L417&lt;=25,E417&lt;TIME(18,0,0)),"24H Day", IF(AND(L417&gt;=11,L417&lt;=13,E417&gt;=TIME(18,0,0)),"12H Night", IF(AND(L417&gt;=11,L417&lt;=13,E417&lt;TIME(18,0,0)),"12H Day", IF(AND(L417&lt;10,E417&gt;=TIME(18,0,0)),"Couple Night", "Couple Day")))))</f>
        <v>Couple Day</v>
      </c>
      <c r="P417" s="0" t="n">
        <f aca="false">WEEKDAY(D417,2)</f>
        <v>1</v>
      </c>
      <c r="Q417" s="0" t="n">
        <f aca="false">MONTH(D417)</f>
        <v>5</v>
      </c>
      <c r="R417" s="0" t="str">
        <f aca="false">"Q"&amp;ROUNDUP(MONTH(D417)/3,0)</f>
        <v>Q2</v>
      </c>
    </row>
    <row r="418" customFormat="false" ht="90.25" hidden="false" customHeight="false" outlineLevel="0" collapsed="false">
      <c r="A418" s="7" t="s">
        <v>1195</v>
      </c>
      <c r="B418" s="7" t="s">
        <v>926</v>
      </c>
      <c r="C418" s="13" t="s">
        <v>1196</v>
      </c>
      <c r="D418" s="11" t="n">
        <v>45803</v>
      </c>
      <c r="E418" s="12" t="n">
        <v>0.791666666700625</v>
      </c>
      <c r="F418" s="11" t="n">
        <v>45804</v>
      </c>
      <c r="G418" s="12" t="n">
        <v>0.333333333299375</v>
      </c>
      <c r="H418" s="10" t="n">
        <v>45803.5174414352</v>
      </c>
      <c r="I418" s="7" t="n">
        <v>2500</v>
      </c>
      <c r="J418" s="0" t="n">
        <f aca="false">IF(AND(D418&gt;=DATE(YEAR(D418),3,15),D418&lt;=DATE(YEAR(D418),6,10)),1,0)</f>
        <v>1</v>
      </c>
      <c r="K418" s="0" t="e">
        <f aca="false">VLOOKUP(D418,Festival_List!$A$2:$B$100,2,0)</f>
        <v>#N/A</v>
      </c>
      <c r="L418" s="0" t="n">
        <f aca="false">ROUND(((F418+G418)-(D418+E418))*24,0)</f>
        <v>13</v>
      </c>
      <c r="M418" s="0" t="n">
        <f aca="false">IF(OR(WEEKDAY(D418)=1,WEEKDAY(D418)=7),1,0)</f>
        <v>0</v>
      </c>
      <c r="N418" s="0" t="str">
        <f aca="false">IF(AND(MONTH(D418)&gt;=3,MONTH(D418)&lt;=6),"Summer",IF(AND(MONTH(D418)&gt;=7,MONTH(D418)&lt;=9),"Monsoon","Winter"))</f>
        <v>Summer</v>
      </c>
      <c r="O418" s="0" t="str">
        <f aca="false">IF(AND(L418&gt;=22,L418&lt;=25,E418&gt;=TIME(18,0,0)),"24H Night", IF(AND(L418&gt;=22,L418&lt;=25,E418&lt;TIME(18,0,0)),"24H Day", IF(AND(L418&gt;=11,L418&lt;=13,E418&gt;=TIME(18,0,0)),"12H Night", IF(AND(L418&gt;=11,L418&lt;=13,E418&lt;TIME(18,0,0)),"12H Day", IF(AND(L418&lt;10,E418&gt;=TIME(18,0,0)),"Couple Night", "Couple Day")))))</f>
        <v>12H Night</v>
      </c>
      <c r="P418" s="0" t="n">
        <f aca="false">WEEKDAY(D418,2)</f>
        <v>1</v>
      </c>
      <c r="Q418" s="0" t="n">
        <f aca="false">MONTH(D418)</f>
        <v>5</v>
      </c>
      <c r="R418" s="0" t="str">
        <f aca="false">"Q"&amp;ROUNDUP(MONTH(D418)/3,0)</f>
        <v>Q2</v>
      </c>
    </row>
    <row r="419" customFormat="false" ht="128.35" hidden="false" customHeight="false" outlineLevel="0" collapsed="false">
      <c r="A419" s="7" t="s">
        <v>1197</v>
      </c>
      <c r="B419" s="7" t="s">
        <v>1198</v>
      </c>
      <c r="C419" s="13" t="s">
        <v>1199</v>
      </c>
      <c r="D419" s="11" t="n">
        <v>45804</v>
      </c>
      <c r="E419" s="12" t="n">
        <v>0.375</v>
      </c>
      <c r="F419" s="11" t="n">
        <v>45804</v>
      </c>
      <c r="G419" s="12" t="n">
        <v>0.75</v>
      </c>
      <c r="H419" s="10" t="n">
        <v>45802.5890141204</v>
      </c>
      <c r="I419" s="7" t="n">
        <v>3500</v>
      </c>
      <c r="J419" s="0" t="n">
        <f aca="false">IF(AND(D419&gt;=DATE(YEAR(D419),3,15),D419&lt;=DATE(YEAR(D419),6,10)),1,0)</f>
        <v>1</v>
      </c>
      <c r="K419" s="0" t="e">
        <f aca="false">VLOOKUP(D419,Festival_List!$A$2:$B$100,2,0)</f>
        <v>#N/A</v>
      </c>
      <c r="L419" s="0" t="n">
        <f aca="false">ROUND(((F419+G419)-(D419+E419))*24,0)</f>
        <v>9</v>
      </c>
      <c r="M419" s="0" t="n">
        <f aca="false">IF(OR(WEEKDAY(D419)=1,WEEKDAY(D419)=7),1,0)</f>
        <v>0</v>
      </c>
      <c r="N419" s="0" t="str">
        <f aca="false">IF(AND(MONTH(D419)&gt;=3,MONTH(D419)&lt;=6),"Summer",IF(AND(MONTH(D419)&gt;=7,MONTH(D419)&lt;=9),"Monsoon","Winter"))</f>
        <v>Summer</v>
      </c>
      <c r="O419" s="0" t="str">
        <f aca="false">IF(AND(L419&gt;=22,L419&lt;=25,E419&gt;=TIME(18,0,0)),"24H Night", IF(AND(L419&gt;=22,L419&lt;=25,E419&lt;TIME(18,0,0)),"24H Day", IF(AND(L419&gt;=11,L419&lt;=13,E419&gt;=TIME(18,0,0)),"12H Night", IF(AND(L419&gt;=11,L419&lt;=13,E419&lt;TIME(18,0,0)),"12H Day", IF(AND(L419&lt;10,E419&gt;=TIME(18,0,0)),"Couple Night", "Couple Day")))))</f>
        <v>Couple Day</v>
      </c>
      <c r="P419" s="0" t="n">
        <f aca="false">WEEKDAY(D419,2)</f>
        <v>2</v>
      </c>
      <c r="Q419" s="0" t="n">
        <f aca="false">MONTH(D419)</f>
        <v>5</v>
      </c>
      <c r="R419" s="0" t="str">
        <f aca="false">"Q"&amp;ROUNDUP(MONTH(D419)/3,0)</f>
        <v>Q2</v>
      </c>
    </row>
    <row r="420" customFormat="false" ht="26.85" hidden="false" customHeight="false" outlineLevel="0" collapsed="false">
      <c r="A420" s="7" t="s">
        <v>1200</v>
      </c>
      <c r="B420" s="7" t="s">
        <v>1201</v>
      </c>
      <c r="C420" s="13" t="s">
        <v>1202</v>
      </c>
      <c r="D420" s="11" t="n">
        <v>45805</v>
      </c>
      <c r="E420" s="12" t="n">
        <v>0</v>
      </c>
      <c r="F420" s="11" t="n">
        <v>45805</v>
      </c>
      <c r="G420" s="12" t="n">
        <v>0.291666666700625</v>
      </c>
      <c r="H420" s="10" t="n">
        <v>45805.0072547454</v>
      </c>
      <c r="I420" s="7" t="n">
        <v>2000</v>
      </c>
      <c r="J420" s="0" t="n">
        <f aca="false">IF(AND(D420&gt;=DATE(YEAR(D420),3,15),D420&lt;=DATE(YEAR(D420),6,10)),1,0)</f>
        <v>1</v>
      </c>
      <c r="K420" s="0" t="e">
        <f aca="false">VLOOKUP(D420,Festival_List!$A$2:$B$100,2,0)</f>
        <v>#N/A</v>
      </c>
      <c r="L420" s="0" t="n">
        <f aca="false">ROUND(((F420+G420)-(D420+E420))*24,0)</f>
        <v>7</v>
      </c>
      <c r="M420" s="0" t="n">
        <f aca="false">IF(OR(WEEKDAY(D420)=1,WEEKDAY(D420)=7),1,0)</f>
        <v>0</v>
      </c>
      <c r="N420" s="0" t="str">
        <f aca="false">IF(AND(MONTH(D420)&gt;=3,MONTH(D420)&lt;=6),"Summer",IF(AND(MONTH(D420)&gt;=7,MONTH(D420)&lt;=9),"Monsoon","Winter"))</f>
        <v>Summer</v>
      </c>
      <c r="O420" s="0" t="str">
        <f aca="false">IF(AND(L420&gt;=22,L420&lt;=25,E420&gt;=TIME(18,0,0)),"24H Night", IF(AND(L420&gt;=22,L420&lt;=25,E420&lt;TIME(18,0,0)),"24H Day", IF(AND(L420&gt;=11,L420&lt;=13,E420&gt;=TIME(18,0,0)),"12H Night", IF(AND(L420&gt;=11,L420&lt;=13,E420&lt;TIME(18,0,0)),"12H Day", IF(AND(L420&lt;10,E420&gt;=TIME(18,0,0)),"Couple Night", "Couple Day")))))</f>
        <v>Couple Day</v>
      </c>
      <c r="P420" s="0" t="n">
        <f aca="false">WEEKDAY(D420,2)</f>
        <v>3</v>
      </c>
      <c r="Q420" s="0" t="n">
        <f aca="false">MONTH(D420)</f>
        <v>5</v>
      </c>
      <c r="R420" s="0" t="str">
        <f aca="false">"Q"&amp;ROUNDUP(MONTH(D420)/3,0)</f>
        <v>Q2</v>
      </c>
    </row>
    <row r="421" customFormat="false" ht="90.25" hidden="false" customHeight="false" outlineLevel="0" collapsed="false">
      <c r="A421" s="7" t="s">
        <v>1203</v>
      </c>
      <c r="B421" s="7" t="s">
        <v>1204</v>
      </c>
      <c r="C421" s="13" t="s">
        <v>1205</v>
      </c>
      <c r="D421" s="11" t="n">
        <v>45805</v>
      </c>
      <c r="E421" s="12" t="n">
        <v>0.333333333299375</v>
      </c>
      <c r="F421" s="11" t="n">
        <v>45805</v>
      </c>
      <c r="G421" s="12" t="n">
        <v>0.75</v>
      </c>
      <c r="H421" s="10" t="n">
        <v>45804.7863909722</v>
      </c>
      <c r="I421" s="7" t="n">
        <v>3000</v>
      </c>
      <c r="J421" s="0" t="n">
        <f aca="false">IF(AND(D421&gt;=DATE(YEAR(D421),3,15),D421&lt;=DATE(YEAR(D421),6,10)),1,0)</f>
        <v>1</v>
      </c>
      <c r="K421" s="0" t="e">
        <f aca="false">VLOOKUP(D421,Festival_List!$A$2:$B$100,2,0)</f>
        <v>#N/A</v>
      </c>
      <c r="L421" s="0" t="n">
        <f aca="false">ROUND(((F421+G421)-(D421+E421))*24,0)</f>
        <v>10</v>
      </c>
      <c r="M421" s="0" t="n">
        <f aca="false">IF(OR(WEEKDAY(D421)=1,WEEKDAY(D421)=7),1,0)</f>
        <v>0</v>
      </c>
      <c r="N421" s="0" t="str">
        <f aca="false">IF(AND(MONTH(D421)&gt;=3,MONTH(D421)&lt;=6),"Summer",IF(AND(MONTH(D421)&gt;=7,MONTH(D421)&lt;=9),"Monsoon","Winter"))</f>
        <v>Summer</v>
      </c>
      <c r="O421" s="0" t="str">
        <f aca="false">IF(AND(L421&gt;=22,L421&lt;=25,E421&gt;=TIME(18,0,0)),"24H Night", IF(AND(L421&gt;=22,L421&lt;=25,E421&lt;TIME(18,0,0)),"24H Day", IF(AND(L421&gt;=11,L421&lt;=13,E421&gt;=TIME(18,0,0)),"12H Night", IF(AND(L421&gt;=11,L421&lt;=13,E421&lt;TIME(18,0,0)),"12H Day", IF(AND(L421&lt;10,E421&gt;=TIME(18,0,0)),"Couple Night", "Couple Day")))))</f>
        <v>Couple Day</v>
      </c>
      <c r="P421" s="0" t="n">
        <f aca="false">WEEKDAY(D421,2)</f>
        <v>3</v>
      </c>
      <c r="Q421" s="0" t="n">
        <f aca="false">MONTH(D421)</f>
        <v>5</v>
      </c>
      <c r="R421" s="0" t="str">
        <f aca="false">"Q"&amp;ROUNDUP(MONTH(D421)/3,0)</f>
        <v>Q2</v>
      </c>
    </row>
    <row r="422" customFormat="false" ht="90.25" hidden="false" customHeight="false" outlineLevel="0" collapsed="false">
      <c r="A422" s="7" t="s">
        <v>1206</v>
      </c>
      <c r="B422" s="7" t="s">
        <v>972</v>
      </c>
      <c r="C422" s="13" t="s">
        <v>1207</v>
      </c>
      <c r="D422" s="11" t="n">
        <v>45805</v>
      </c>
      <c r="E422" s="12" t="n">
        <v>0.875</v>
      </c>
      <c r="F422" s="11" t="n">
        <v>45806</v>
      </c>
      <c r="G422" s="12" t="n">
        <v>0.75</v>
      </c>
      <c r="H422" s="10" t="n">
        <v>45805.874375463</v>
      </c>
      <c r="I422" s="7" t="n">
        <v>4000</v>
      </c>
      <c r="J422" s="0" t="n">
        <f aca="false">IF(AND(D422&gt;=DATE(YEAR(D422),3,15),D422&lt;=DATE(YEAR(D422),6,10)),1,0)</f>
        <v>1</v>
      </c>
      <c r="K422" s="0" t="e">
        <f aca="false">VLOOKUP(D422,Festival_List!$A$2:$B$100,2,0)</f>
        <v>#N/A</v>
      </c>
      <c r="L422" s="0" t="n">
        <f aca="false">ROUND(((F422+G422)-(D422+E422))*24,0)</f>
        <v>21</v>
      </c>
      <c r="M422" s="0" t="n">
        <f aca="false">IF(OR(WEEKDAY(D422)=1,WEEKDAY(D422)=7),1,0)</f>
        <v>0</v>
      </c>
      <c r="N422" s="0" t="str">
        <f aca="false">IF(AND(MONTH(D422)&gt;=3,MONTH(D422)&lt;=6),"Summer",IF(AND(MONTH(D422)&gt;=7,MONTH(D422)&lt;=9),"Monsoon","Winter"))</f>
        <v>Summer</v>
      </c>
      <c r="O422" s="0" t="str">
        <f aca="false">IF(AND(L422&gt;=22,L422&lt;=25,E422&gt;=TIME(18,0,0)),"24H Night", IF(AND(L422&gt;=22,L422&lt;=25,E422&lt;TIME(18,0,0)),"24H Day", IF(AND(L422&gt;=11,L422&lt;=13,E422&gt;=TIME(18,0,0)),"12H Night", IF(AND(L422&gt;=11,L422&lt;=13,E422&lt;TIME(18,0,0)),"12H Day", IF(AND(L422&lt;10,E422&gt;=TIME(18,0,0)),"Couple Night", "Couple Day")))))</f>
        <v>Couple Day</v>
      </c>
      <c r="P422" s="0" t="n">
        <f aca="false">WEEKDAY(D422,2)</f>
        <v>3</v>
      </c>
      <c r="Q422" s="0" t="n">
        <f aca="false">MONTH(D422)</f>
        <v>5</v>
      </c>
      <c r="R422" s="0" t="str">
        <f aca="false">"Q"&amp;ROUNDUP(MONTH(D422)/3,0)</f>
        <v>Q2</v>
      </c>
    </row>
    <row r="423" customFormat="false" ht="90.25" hidden="false" customHeight="false" outlineLevel="0" collapsed="false">
      <c r="A423" s="7" t="s">
        <v>1208</v>
      </c>
      <c r="B423" s="7" t="s">
        <v>1209</v>
      </c>
      <c r="C423" s="13" t="s">
        <v>1210</v>
      </c>
      <c r="D423" s="11" t="n">
        <v>45806</v>
      </c>
      <c r="E423" s="12" t="n">
        <v>0.791666666700625</v>
      </c>
      <c r="F423" s="11" t="n">
        <v>45807</v>
      </c>
      <c r="G423" s="12" t="n">
        <v>0.75</v>
      </c>
      <c r="H423" s="10" t="n">
        <v>45806.4361302083</v>
      </c>
      <c r="I423" s="7" t="n">
        <v>5000</v>
      </c>
      <c r="J423" s="0" t="n">
        <f aca="false">IF(AND(D423&gt;=DATE(YEAR(D423),3,15),D423&lt;=DATE(YEAR(D423),6,10)),1,0)</f>
        <v>1</v>
      </c>
      <c r="K423" s="0" t="e">
        <f aca="false">VLOOKUP(D423,Festival_List!$A$2:$B$100,2,0)</f>
        <v>#N/A</v>
      </c>
      <c r="L423" s="0" t="n">
        <f aca="false">ROUND(((F423+G423)-(D423+E423))*24,0)</f>
        <v>23</v>
      </c>
      <c r="M423" s="0" t="n">
        <f aca="false">IF(OR(WEEKDAY(D423)=1,WEEKDAY(D423)=7),1,0)</f>
        <v>0</v>
      </c>
      <c r="N423" s="0" t="str">
        <f aca="false">IF(AND(MONTH(D423)&gt;=3,MONTH(D423)&lt;=6),"Summer",IF(AND(MONTH(D423)&gt;=7,MONTH(D423)&lt;=9),"Monsoon","Winter"))</f>
        <v>Summer</v>
      </c>
      <c r="O423" s="0" t="str">
        <f aca="false">IF(AND(L423&gt;=22,L423&lt;=25,E423&gt;=TIME(18,0,0)),"24H Night", IF(AND(L423&gt;=22,L423&lt;=25,E423&lt;TIME(18,0,0)),"24H Day", IF(AND(L423&gt;=11,L423&lt;=13,E423&gt;=TIME(18,0,0)),"12H Night", IF(AND(L423&gt;=11,L423&lt;=13,E423&lt;TIME(18,0,0)),"12H Day", IF(AND(L423&lt;10,E423&gt;=TIME(18,0,0)),"Couple Night", "Couple Day")))))</f>
        <v>24H Night</v>
      </c>
      <c r="P423" s="0" t="n">
        <f aca="false">WEEKDAY(D423,2)</f>
        <v>4</v>
      </c>
      <c r="Q423" s="0" t="n">
        <f aca="false">MONTH(D423)</f>
        <v>5</v>
      </c>
      <c r="R423" s="0" t="str">
        <f aca="false">"Q"&amp;ROUNDUP(MONTH(D423)/3,0)</f>
        <v>Q2</v>
      </c>
    </row>
    <row r="424" customFormat="false" ht="115.65" hidden="false" customHeight="false" outlineLevel="0" collapsed="false">
      <c r="A424" s="7" t="s">
        <v>1211</v>
      </c>
      <c r="B424" s="7" t="s">
        <v>1212</v>
      </c>
      <c r="C424" s="13" t="s">
        <v>1213</v>
      </c>
      <c r="D424" s="11" t="n">
        <v>45807</v>
      </c>
      <c r="E424" s="12" t="n">
        <v>0.791666666700625</v>
      </c>
      <c r="F424" s="11" t="n">
        <v>45808</v>
      </c>
      <c r="G424" s="12" t="n">
        <v>0.75</v>
      </c>
      <c r="H424" s="10" t="n">
        <v>45805.9091758102</v>
      </c>
      <c r="I424" s="7" t="n">
        <v>5000</v>
      </c>
      <c r="J424" s="0" t="n">
        <f aca="false">IF(AND(D424&gt;=DATE(YEAR(D424),3,15),D424&lt;=DATE(YEAR(D424),6,10)),1,0)</f>
        <v>1</v>
      </c>
      <c r="K424" s="0" t="e">
        <f aca="false">VLOOKUP(D424,Festival_List!$A$2:$B$100,2,0)</f>
        <v>#N/A</v>
      </c>
      <c r="L424" s="0" t="n">
        <f aca="false">ROUND(((F424+G424)-(D424+E424))*24,0)</f>
        <v>23</v>
      </c>
      <c r="M424" s="0" t="n">
        <f aca="false">IF(OR(WEEKDAY(D424)=1,WEEKDAY(D424)=7),1,0)</f>
        <v>0</v>
      </c>
      <c r="N424" s="0" t="str">
        <f aca="false">IF(AND(MONTH(D424)&gt;=3,MONTH(D424)&lt;=6),"Summer",IF(AND(MONTH(D424)&gt;=7,MONTH(D424)&lt;=9),"Monsoon","Winter"))</f>
        <v>Summer</v>
      </c>
      <c r="O424" s="0" t="str">
        <f aca="false">IF(AND(L424&gt;=22,L424&lt;=25,E424&gt;=TIME(18,0,0)),"24H Night", IF(AND(L424&gt;=22,L424&lt;=25,E424&lt;TIME(18,0,0)),"24H Day", IF(AND(L424&gt;=11,L424&lt;=13,E424&gt;=TIME(18,0,0)),"12H Night", IF(AND(L424&gt;=11,L424&lt;=13,E424&lt;TIME(18,0,0)),"12H Day", IF(AND(L424&lt;10,E424&gt;=TIME(18,0,0)),"Couple Night", "Couple Day")))))</f>
        <v>24H Night</v>
      </c>
      <c r="P424" s="0" t="n">
        <f aca="false">WEEKDAY(D424,2)</f>
        <v>5</v>
      </c>
      <c r="Q424" s="0" t="n">
        <f aca="false">MONTH(D424)</f>
        <v>5</v>
      </c>
      <c r="R424" s="0" t="str">
        <f aca="false">"Q"&amp;ROUNDUP(MONTH(D424)/3,0)</f>
        <v>Q2</v>
      </c>
    </row>
    <row r="425" customFormat="false" ht="128.35" hidden="false" customHeight="false" outlineLevel="0" collapsed="false">
      <c r="A425" s="7" t="s">
        <v>1214</v>
      </c>
      <c r="B425" s="7" t="s">
        <v>1215</v>
      </c>
      <c r="C425" s="13" t="s">
        <v>1216</v>
      </c>
      <c r="D425" s="11" t="n">
        <v>45808</v>
      </c>
      <c r="E425" s="12" t="n">
        <v>0.791666666700625</v>
      </c>
      <c r="F425" s="11" t="n">
        <v>45809</v>
      </c>
      <c r="G425" s="12" t="n">
        <v>0.75</v>
      </c>
      <c r="H425" s="10" t="n">
        <v>45804.9051399306</v>
      </c>
      <c r="I425" s="7" t="n">
        <v>12000</v>
      </c>
      <c r="J425" s="0" t="n">
        <f aca="false">IF(AND(D425&gt;=DATE(YEAR(D425),3,15),D425&lt;=DATE(YEAR(D425),6,10)),1,0)</f>
        <v>1</v>
      </c>
      <c r="K425" s="0" t="e">
        <f aca="false">VLOOKUP(D425,Festival_List!$A$2:$B$100,2,0)</f>
        <v>#N/A</v>
      </c>
      <c r="L425" s="0" t="n">
        <f aca="false">ROUND(((F425+G425)-(D425+E425))*24,0)</f>
        <v>23</v>
      </c>
      <c r="M425" s="0" t="n">
        <f aca="false">IF(OR(WEEKDAY(D425)=1,WEEKDAY(D425)=7),1,0)</f>
        <v>1</v>
      </c>
      <c r="N425" s="0" t="str">
        <f aca="false">IF(AND(MONTH(D425)&gt;=3,MONTH(D425)&lt;=6),"Summer",IF(AND(MONTH(D425)&gt;=7,MONTH(D425)&lt;=9),"Monsoon","Winter"))</f>
        <v>Summer</v>
      </c>
      <c r="O425" s="0" t="str">
        <f aca="false">IF(AND(L425&gt;=22,L425&lt;=25,E425&gt;=TIME(18,0,0)),"24H Night", IF(AND(L425&gt;=22,L425&lt;=25,E425&lt;TIME(18,0,0)),"24H Day", IF(AND(L425&gt;=11,L425&lt;=13,E425&gt;=TIME(18,0,0)),"12H Night", IF(AND(L425&gt;=11,L425&lt;=13,E425&lt;TIME(18,0,0)),"12H Day", IF(AND(L425&lt;10,E425&gt;=TIME(18,0,0)),"Couple Night", "Couple Day")))))</f>
        <v>24H Night</v>
      </c>
      <c r="P425" s="0" t="n">
        <f aca="false">WEEKDAY(D425,2)</f>
        <v>6</v>
      </c>
      <c r="Q425" s="0" t="n">
        <f aca="false">MONTH(D425)</f>
        <v>5</v>
      </c>
      <c r="R425" s="0" t="str">
        <f aca="false">"Q"&amp;ROUNDUP(MONTH(D425)/3,0)</f>
        <v>Q2</v>
      </c>
    </row>
    <row r="426" customFormat="false" ht="90.25" hidden="false" customHeight="false" outlineLevel="0" collapsed="false">
      <c r="A426" s="7" t="s">
        <v>1217</v>
      </c>
      <c r="B426" s="7" t="s">
        <v>1218</v>
      </c>
      <c r="C426" s="13" t="s">
        <v>1219</v>
      </c>
      <c r="D426" s="11" t="n">
        <v>45809</v>
      </c>
      <c r="E426" s="12" t="n">
        <v>0.791666666700625</v>
      </c>
      <c r="F426" s="11" t="n">
        <v>45810</v>
      </c>
      <c r="G426" s="12" t="n">
        <v>0.75</v>
      </c>
      <c r="H426" s="10" t="n">
        <v>45829.0563488426</v>
      </c>
      <c r="I426" s="7" t="n">
        <v>5000</v>
      </c>
      <c r="J426" s="0" t="n">
        <f aca="false">IF(AND(D426&gt;=DATE(YEAR(D426),3,15),D426&lt;=DATE(YEAR(D426),6,10)),1,0)</f>
        <v>1</v>
      </c>
      <c r="K426" s="0" t="e">
        <f aca="false">VLOOKUP(D426,Festival_List!$A$2:$B$100,2,0)</f>
        <v>#N/A</v>
      </c>
      <c r="L426" s="0" t="n">
        <f aca="false">ROUND(((F426+G426)-(D426+E426))*24,0)</f>
        <v>23</v>
      </c>
      <c r="M426" s="0" t="n">
        <f aca="false">IF(OR(WEEKDAY(D426)=1,WEEKDAY(D426)=7),1,0)</f>
        <v>1</v>
      </c>
      <c r="N426" s="0" t="str">
        <f aca="false">IF(AND(MONTH(D426)&gt;=3,MONTH(D426)&lt;=6),"Summer",IF(AND(MONTH(D426)&gt;=7,MONTH(D426)&lt;=9),"Monsoon","Winter"))</f>
        <v>Summer</v>
      </c>
      <c r="O426" s="0" t="str">
        <f aca="false">IF(AND(L426&gt;=22,L426&lt;=25,E426&gt;=TIME(18,0,0)),"24H Night", IF(AND(L426&gt;=22,L426&lt;=25,E426&lt;TIME(18,0,0)),"24H Day", IF(AND(L426&gt;=11,L426&lt;=13,E426&gt;=TIME(18,0,0)),"12H Night", IF(AND(L426&gt;=11,L426&lt;=13,E426&lt;TIME(18,0,0)),"12H Day", IF(AND(L426&lt;10,E426&gt;=TIME(18,0,0)),"Couple Night", "Couple Day")))))</f>
        <v>24H Night</v>
      </c>
      <c r="P426" s="0" t="n">
        <f aca="false">WEEKDAY(D426,2)</f>
        <v>7</v>
      </c>
      <c r="Q426" s="0" t="n">
        <f aca="false">MONTH(D426)</f>
        <v>6</v>
      </c>
      <c r="R426" s="0" t="str">
        <f aca="false">"Q"&amp;ROUNDUP(MONTH(D426)/3,0)</f>
        <v>Q2</v>
      </c>
    </row>
    <row r="427" customFormat="false" ht="13.8" hidden="false" customHeight="false" outlineLevel="0" collapsed="false">
      <c r="A427" s="7" t="s">
        <v>1220</v>
      </c>
      <c r="B427" s="7" t="s">
        <v>1221</v>
      </c>
      <c r="D427" s="11" t="n">
        <v>45809</v>
      </c>
      <c r="E427" s="12" t="n">
        <v>0.875</v>
      </c>
      <c r="F427" s="11" t="n">
        <v>45809</v>
      </c>
      <c r="G427" s="12" t="n">
        <v>0.916666666700625</v>
      </c>
      <c r="H427" s="10" t="n">
        <v>45829.0563488426</v>
      </c>
      <c r="I427" s="7" t="n">
        <v>0</v>
      </c>
      <c r="J427" s="0" t="n">
        <f aca="false">IF(AND(D427&gt;=DATE(YEAR(D427),3,15),D427&lt;=DATE(YEAR(D427),6,10)),1,0)</f>
        <v>1</v>
      </c>
      <c r="K427" s="0" t="e">
        <f aca="false">VLOOKUP(D427,Festival_List!$A$2:$B$100,2,0)</f>
        <v>#N/A</v>
      </c>
      <c r="L427" s="0" t="n">
        <f aca="false">ROUND(((F427+G427)-(D427+E427))*24,0)</f>
        <v>1</v>
      </c>
      <c r="M427" s="0" t="n">
        <f aca="false">IF(OR(WEEKDAY(D427)=1,WEEKDAY(D427)=7),1,0)</f>
        <v>1</v>
      </c>
      <c r="N427" s="0" t="str">
        <f aca="false">IF(AND(MONTH(D427)&gt;=3,MONTH(D427)&lt;=6),"Summer",IF(AND(MONTH(D427)&gt;=7,MONTH(D427)&lt;=9),"Monsoon","Winter"))</f>
        <v>Summer</v>
      </c>
      <c r="O427" s="0" t="str">
        <f aca="false">IF(AND(L427&gt;=22,L427&lt;=25,E427&gt;=TIME(18,0,0)),"24H Night", IF(AND(L427&gt;=22,L427&lt;=25,E427&lt;TIME(18,0,0)),"24H Day", IF(AND(L427&gt;=11,L427&lt;=13,E427&gt;=TIME(18,0,0)),"12H Night", IF(AND(L427&gt;=11,L427&lt;=13,E427&lt;TIME(18,0,0)),"12H Day", IF(AND(L427&lt;10,E427&gt;=TIME(18,0,0)),"Couple Night", "Couple Day")))))</f>
        <v>Couple Night</v>
      </c>
      <c r="P427" s="0" t="n">
        <f aca="false">WEEKDAY(D427,2)</f>
        <v>7</v>
      </c>
      <c r="Q427" s="0" t="n">
        <f aca="false">MONTH(D427)</f>
        <v>6</v>
      </c>
      <c r="R427" s="0" t="str">
        <f aca="false">"Q"&amp;ROUNDUP(MONTH(D427)/3,0)</f>
        <v>Q2</v>
      </c>
    </row>
    <row r="428" customFormat="false" ht="115.65" hidden="false" customHeight="false" outlineLevel="0" collapsed="false">
      <c r="A428" s="7" t="s">
        <v>1222</v>
      </c>
      <c r="B428" s="7" t="s">
        <v>1223</v>
      </c>
      <c r="C428" s="13" t="s">
        <v>1224</v>
      </c>
      <c r="D428" s="11" t="n">
        <v>45810</v>
      </c>
      <c r="E428" s="12" t="n">
        <v>0.791666666700625</v>
      </c>
      <c r="F428" s="11" t="n">
        <v>45811</v>
      </c>
      <c r="G428" s="12" t="n">
        <v>0.75</v>
      </c>
      <c r="H428" s="10" t="n">
        <v>45803.7110479167</v>
      </c>
      <c r="I428" s="7" t="n">
        <v>5500</v>
      </c>
      <c r="J428" s="0" t="n">
        <f aca="false">IF(AND(D428&gt;=DATE(YEAR(D428),3,15),D428&lt;=DATE(YEAR(D428),6,10)),1,0)</f>
        <v>1</v>
      </c>
      <c r="K428" s="0" t="e">
        <f aca="false">VLOOKUP(D428,Festival_List!$A$2:$B$100,2,0)</f>
        <v>#N/A</v>
      </c>
      <c r="L428" s="0" t="n">
        <f aca="false">ROUND(((F428+G428)-(D428+E428))*24,0)</f>
        <v>23</v>
      </c>
      <c r="M428" s="0" t="n">
        <f aca="false">IF(OR(WEEKDAY(D428)=1,WEEKDAY(D428)=7),1,0)</f>
        <v>0</v>
      </c>
      <c r="N428" s="0" t="str">
        <f aca="false">IF(AND(MONTH(D428)&gt;=3,MONTH(D428)&lt;=6),"Summer",IF(AND(MONTH(D428)&gt;=7,MONTH(D428)&lt;=9),"Monsoon","Winter"))</f>
        <v>Summer</v>
      </c>
      <c r="O428" s="0" t="str">
        <f aca="false">IF(AND(L428&gt;=22,L428&lt;=25,E428&gt;=TIME(18,0,0)),"24H Night", IF(AND(L428&gt;=22,L428&lt;=25,E428&lt;TIME(18,0,0)),"24H Day", IF(AND(L428&gt;=11,L428&lt;=13,E428&gt;=TIME(18,0,0)),"12H Night", IF(AND(L428&gt;=11,L428&lt;=13,E428&lt;TIME(18,0,0)),"12H Day", IF(AND(L428&lt;10,E428&gt;=TIME(18,0,0)),"Couple Night", "Couple Day")))))</f>
        <v>24H Night</v>
      </c>
      <c r="P428" s="0" t="n">
        <f aca="false">WEEKDAY(D428,2)</f>
        <v>1</v>
      </c>
      <c r="Q428" s="0" t="n">
        <f aca="false">MONTH(D428)</f>
        <v>6</v>
      </c>
      <c r="R428" s="0" t="str">
        <f aca="false">"Q"&amp;ROUNDUP(MONTH(D428)/3,0)</f>
        <v>Q2</v>
      </c>
    </row>
    <row r="429" customFormat="false" ht="64.9" hidden="false" customHeight="false" outlineLevel="0" collapsed="false">
      <c r="A429" s="7" t="s">
        <v>1225</v>
      </c>
      <c r="B429" s="7" t="s">
        <v>1226</v>
      </c>
      <c r="C429" s="13" t="s">
        <v>1227</v>
      </c>
      <c r="D429" s="11" t="n">
        <v>45811</v>
      </c>
      <c r="E429" s="12" t="n">
        <v>0.791666666700625</v>
      </c>
      <c r="F429" s="11" t="n">
        <v>45812</v>
      </c>
      <c r="G429" s="12" t="n">
        <v>0.333333333299375</v>
      </c>
      <c r="H429" s="10" t="n">
        <v>45829.0563488426</v>
      </c>
      <c r="I429" s="7" t="n">
        <v>3000</v>
      </c>
      <c r="J429" s="0" t="n">
        <f aca="false">IF(AND(D429&gt;=DATE(YEAR(D429),3,15),D429&lt;=DATE(YEAR(D429),6,10)),1,0)</f>
        <v>1</v>
      </c>
      <c r="K429" s="0" t="e">
        <f aca="false">VLOOKUP(D429,Festival_List!$A$2:$B$100,2,0)</f>
        <v>#N/A</v>
      </c>
      <c r="L429" s="0" t="n">
        <f aca="false">ROUND(((F429+G429)-(D429+E429))*24,0)</f>
        <v>13</v>
      </c>
      <c r="M429" s="0" t="n">
        <f aca="false">IF(OR(WEEKDAY(D429)=1,WEEKDAY(D429)=7),1,0)</f>
        <v>0</v>
      </c>
      <c r="N429" s="0" t="str">
        <f aca="false">IF(AND(MONTH(D429)&gt;=3,MONTH(D429)&lt;=6),"Summer",IF(AND(MONTH(D429)&gt;=7,MONTH(D429)&lt;=9),"Monsoon","Winter"))</f>
        <v>Summer</v>
      </c>
      <c r="O429" s="0" t="str">
        <f aca="false">IF(AND(L429&gt;=22,L429&lt;=25,E429&gt;=TIME(18,0,0)),"24H Night", IF(AND(L429&gt;=22,L429&lt;=25,E429&lt;TIME(18,0,0)),"24H Day", IF(AND(L429&gt;=11,L429&lt;=13,E429&gt;=TIME(18,0,0)),"12H Night", IF(AND(L429&gt;=11,L429&lt;=13,E429&lt;TIME(18,0,0)),"12H Day", IF(AND(L429&lt;10,E429&gt;=TIME(18,0,0)),"Couple Night", "Couple Day")))))</f>
        <v>12H Night</v>
      </c>
      <c r="P429" s="0" t="n">
        <f aca="false">WEEKDAY(D429,2)</f>
        <v>2</v>
      </c>
      <c r="Q429" s="0" t="n">
        <f aca="false">MONTH(D429)</f>
        <v>6</v>
      </c>
      <c r="R429" s="0" t="str">
        <f aca="false">"Q"&amp;ROUNDUP(MONTH(D429)/3,0)</f>
        <v>Q2</v>
      </c>
    </row>
    <row r="430" customFormat="false" ht="39.55" hidden="false" customHeight="false" outlineLevel="0" collapsed="false">
      <c r="A430" s="7" t="s">
        <v>1228</v>
      </c>
      <c r="B430" s="7" t="s">
        <v>1229</v>
      </c>
      <c r="C430" s="13" t="s">
        <v>1230</v>
      </c>
      <c r="D430" s="11" t="n">
        <v>45812</v>
      </c>
      <c r="E430" s="12" t="n">
        <v>0.416666666700625</v>
      </c>
      <c r="F430" s="11" t="n">
        <v>45812</v>
      </c>
      <c r="G430" s="12" t="n">
        <v>0.75</v>
      </c>
      <c r="H430" s="10" t="n">
        <v>45829.0563488426</v>
      </c>
      <c r="I430" s="7" t="n">
        <v>2500</v>
      </c>
      <c r="J430" s="0" t="n">
        <f aca="false">IF(AND(D430&gt;=DATE(YEAR(D430),3,15),D430&lt;=DATE(YEAR(D430),6,10)),1,0)</f>
        <v>1</v>
      </c>
      <c r="K430" s="0" t="e">
        <f aca="false">VLOOKUP(D430,Festival_List!$A$2:$B$100,2,0)</f>
        <v>#N/A</v>
      </c>
      <c r="L430" s="0" t="n">
        <f aca="false">ROUND(((F430+G430)-(D430+E430))*24,0)</f>
        <v>8</v>
      </c>
      <c r="M430" s="0" t="n">
        <f aca="false">IF(OR(WEEKDAY(D430)=1,WEEKDAY(D430)=7),1,0)</f>
        <v>0</v>
      </c>
      <c r="N430" s="0" t="str">
        <f aca="false">IF(AND(MONTH(D430)&gt;=3,MONTH(D430)&lt;=6),"Summer",IF(AND(MONTH(D430)&gt;=7,MONTH(D430)&lt;=9),"Monsoon","Winter"))</f>
        <v>Summer</v>
      </c>
      <c r="O430" s="0" t="str">
        <f aca="false">IF(AND(L430&gt;=22,L430&lt;=25,E430&gt;=TIME(18,0,0)),"24H Night", IF(AND(L430&gt;=22,L430&lt;=25,E430&lt;TIME(18,0,0)),"24H Day", IF(AND(L430&gt;=11,L430&lt;=13,E430&gt;=TIME(18,0,0)),"12H Night", IF(AND(L430&gt;=11,L430&lt;=13,E430&lt;TIME(18,0,0)),"12H Day", IF(AND(L430&lt;10,E430&gt;=TIME(18,0,0)),"Couple Night", "Couple Day")))))</f>
        <v>Couple Day</v>
      </c>
      <c r="P430" s="0" t="n">
        <f aca="false">WEEKDAY(D430,2)</f>
        <v>3</v>
      </c>
      <c r="Q430" s="0" t="n">
        <f aca="false">MONTH(D430)</f>
        <v>6</v>
      </c>
      <c r="R430" s="0" t="str">
        <f aca="false">"Q"&amp;ROUNDUP(MONTH(D430)/3,0)</f>
        <v>Q2</v>
      </c>
    </row>
    <row r="431" customFormat="false" ht="90.25" hidden="false" customHeight="false" outlineLevel="0" collapsed="false">
      <c r="A431" s="7" t="s">
        <v>1231</v>
      </c>
      <c r="B431" s="7" t="s">
        <v>1232</v>
      </c>
      <c r="C431" s="13" t="s">
        <v>1233</v>
      </c>
      <c r="D431" s="11" t="n">
        <v>45812</v>
      </c>
      <c r="E431" s="12" t="n">
        <v>0.791666666700625</v>
      </c>
      <c r="F431" s="11" t="n">
        <v>45813</v>
      </c>
      <c r="G431" s="12" t="n">
        <v>0.75</v>
      </c>
      <c r="H431" s="10" t="n">
        <v>45829.0563488426</v>
      </c>
      <c r="I431" s="7" t="n">
        <v>5500</v>
      </c>
      <c r="J431" s="0" t="n">
        <f aca="false">IF(AND(D431&gt;=DATE(YEAR(D431),3,15),D431&lt;=DATE(YEAR(D431),6,10)),1,0)</f>
        <v>1</v>
      </c>
      <c r="K431" s="0" t="e">
        <f aca="false">VLOOKUP(D431,Festival_List!$A$2:$B$100,2,0)</f>
        <v>#N/A</v>
      </c>
      <c r="L431" s="0" t="n">
        <f aca="false">ROUND(((F431+G431)-(D431+E431))*24,0)</f>
        <v>23</v>
      </c>
      <c r="M431" s="0" t="n">
        <f aca="false">IF(OR(WEEKDAY(D431)=1,WEEKDAY(D431)=7),1,0)</f>
        <v>0</v>
      </c>
      <c r="N431" s="0" t="str">
        <f aca="false">IF(AND(MONTH(D431)&gt;=3,MONTH(D431)&lt;=6),"Summer",IF(AND(MONTH(D431)&gt;=7,MONTH(D431)&lt;=9),"Monsoon","Winter"))</f>
        <v>Summer</v>
      </c>
      <c r="O431" s="0" t="str">
        <f aca="false">IF(AND(L431&gt;=22,L431&lt;=25,E431&gt;=TIME(18,0,0)),"24H Night", IF(AND(L431&gt;=22,L431&lt;=25,E431&lt;TIME(18,0,0)),"24H Day", IF(AND(L431&gt;=11,L431&lt;=13,E431&gt;=TIME(18,0,0)),"12H Night", IF(AND(L431&gt;=11,L431&lt;=13,E431&lt;TIME(18,0,0)),"12H Day", IF(AND(L431&lt;10,E431&gt;=TIME(18,0,0)),"Couple Night", "Couple Day")))))</f>
        <v>24H Night</v>
      </c>
      <c r="P431" s="0" t="n">
        <f aca="false">WEEKDAY(D431,2)</f>
        <v>3</v>
      </c>
      <c r="Q431" s="0" t="n">
        <f aca="false">MONTH(D431)</f>
        <v>6</v>
      </c>
      <c r="R431" s="0" t="str">
        <f aca="false">"Q"&amp;ROUNDUP(MONTH(D431)/3,0)</f>
        <v>Q2</v>
      </c>
    </row>
    <row r="432" customFormat="false" ht="128.35" hidden="false" customHeight="false" outlineLevel="0" collapsed="false">
      <c r="A432" s="7" t="s">
        <v>1234</v>
      </c>
      <c r="B432" s="7" t="s">
        <v>495</v>
      </c>
      <c r="C432" s="13" t="s">
        <v>1235</v>
      </c>
      <c r="D432" s="11" t="n">
        <v>45813</v>
      </c>
      <c r="E432" s="12" t="n">
        <v>0.791666666700625</v>
      </c>
      <c r="F432" s="11" t="n">
        <v>45814</v>
      </c>
      <c r="G432" s="12" t="n">
        <v>0.75</v>
      </c>
      <c r="H432" s="10" t="n">
        <v>45802.8691194444</v>
      </c>
      <c r="I432" s="7" t="n">
        <v>5500</v>
      </c>
      <c r="J432" s="0" t="n">
        <f aca="false">IF(AND(D432&gt;=DATE(YEAR(D432),3,15),D432&lt;=DATE(YEAR(D432),6,10)),1,0)</f>
        <v>1</v>
      </c>
      <c r="K432" s="0" t="e">
        <f aca="false">VLOOKUP(D432,Festival_List!$A$2:$B$100,2,0)</f>
        <v>#N/A</v>
      </c>
      <c r="L432" s="0" t="n">
        <f aca="false">ROUND(((F432+G432)-(D432+E432))*24,0)</f>
        <v>23</v>
      </c>
      <c r="M432" s="0" t="n">
        <f aca="false">IF(OR(WEEKDAY(D432)=1,WEEKDAY(D432)=7),1,0)</f>
        <v>0</v>
      </c>
      <c r="N432" s="0" t="str">
        <f aca="false">IF(AND(MONTH(D432)&gt;=3,MONTH(D432)&lt;=6),"Summer",IF(AND(MONTH(D432)&gt;=7,MONTH(D432)&lt;=9),"Monsoon","Winter"))</f>
        <v>Summer</v>
      </c>
      <c r="O432" s="0" t="str">
        <f aca="false">IF(AND(L432&gt;=22,L432&lt;=25,E432&gt;=TIME(18,0,0)),"24H Night", IF(AND(L432&gt;=22,L432&lt;=25,E432&lt;TIME(18,0,0)),"24H Day", IF(AND(L432&gt;=11,L432&lt;=13,E432&gt;=TIME(18,0,0)),"12H Night", IF(AND(L432&gt;=11,L432&lt;=13,E432&lt;TIME(18,0,0)),"12H Day", IF(AND(L432&lt;10,E432&gt;=TIME(18,0,0)),"Couple Night", "Couple Day")))))</f>
        <v>24H Night</v>
      </c>
      <c r="P432" s="0" t="n">
        <f aca="false">WEEKDAY(D432,2)</f>
        <v>4</v>
      </c>
      <c r="Q432" s="0" t="n">
        <f aca="false">MONTH(D432)</f>
        <v>6</v>
      </c>
      <c r="R432" s="0" t="str">
        <f aca="false">"Q"&amp;ROUNDUP(MONTH(D432)/3,0)</f>
        <v>Q2</v>
      </c>
    </row>
    <row r="433" customFormat="false" ht="90.25" hidden="false" customHeight="false" outlineLevel="0" collapsed="false">
      <c r="A433" s="7" t="s">
        <v>1236</v>
      </c>
      <c r="B433" s="7" t="s">
        <v>1237</v>
      </c>
      <c r="C433" s="13" t="s">
        <v>1238</v>
      </c>
      <c r="D433" s="11" t="n">
        <v>45814</v>
      </c>
      <c r="E433" s="12" t="n">
        <v>0.875</v>
      </c>
      <c r="F433" s="11" t="n">
        <v>45815</v>
      </c>
      <c r="G433" s="12" t="n">
        <v>0.083333333299375</v>
      </c>
      <c r="H433" s="10" t="n">
        <v>45815.6133216435</v>
      </c>
      <c r="I433" s="7" t="n">
        <v>1500</v>
      </c>
      <c r="J433" s="0" t="n">
        <f aca="false">IF(AND(D433&gt;=DATE(YEAR(D433),3,15),D433&lt;=DATE(YEAR(D433),6,10)),1,0)</f>
        <v>1</v>
      </c>
      <c r="K433" s="0" t="e">
        <f aca="false">VLOOKUP(D433,Festival_List!$A$2:$B$100,2,0)</f>
        <v>#N/A</v>
      </c>
      <c r="L433" s="0" t="n">
        <f aca="false">ROUND(((F433+G433)-(D433+E433))*24,0)</f>
        <v>5</v>
      </c>
      <c r="M433" s="0" t="n">
        <f aca="false">IF(OR(WEEKDAY(D433)=1,WEEKDAY(D433)=7),1,0)</f>
        <v>0</v>
      </c>
      <c r="N433" s="0" t="str">
        <f aca="false">IF(AND(MONTH(D433)&gt;=3,MONTH(D433)&lt;=6),"Summer",IF(AND(MONTH(D433)&gt;=7,MONTH(D433)&lt;=9),"Monsoon","Winter"))</f>
        <v>Summer</v>
      </c>
      <c r="O433" s="0" t="str">
        <f aca="false">IF(AND(L433&gt;=22,L433&lt;=25,E433&gt;=TIME(18,0,0)),"24H Night", IF(AND(L433&gt;=22,L433&lt;=25,E433&lt;TIME(18,0,0)),"24H Day", IF(AND(L433&gt;=11,L433&lt;=13,E433&gt;=TIME(18,0,0)),"12H Night", IF(AND(L433&gt;=11,L433&lt;=13,E433&lt;TIME(18,0,0)),"12H Day", IF(AND(L433&lt;10,E433&gt;=TIME(18,0,0)),"Couple Night", "Couple Day")))))</f>
        <v>Couple Night</v>
      </c>
      <c r="P433" s="0" t="n">
        <f aca="false">WEEKDAY(D433,2)</f>
        <v>5</v>
      </c>
      <c r="Q433" s="0" t="n">
        <f aca="false">MONTH(D433)</f>
        <v>6</v>
      </c>
      <c r="R433" s="0" t="str">
        <f aca="false">"Q"&amp;ROUNDUP(MONTH(D433)/3,0)</f>
        <v>Q2</v>
      </c>
    </row>
    <row r="434" customFormat="false" ht="90.25" hidden="false" customHeight="false" outlineLevel="0" collapsed="false">
      <c r="A434" s="7" t="s">
        <v>1239</v>
      </c>
      <c r="B434" s="7" t="s">
        <v>1240</v>
      </c>
      <c r="C434" s="13" t="s">
        <v>1241</v>
      </c>
      <c r="D434" s="11" t="n">
        <v>45815</v>
      </c>
      <c r="E434" s="12" t="n">
        <v>0.458333333299375</v>
      </c>
      <c r="F434" s="11" t="n">
        <v>45815</v>
      </c>
      <c r="G434" s="12" t="n">
        <v>0.75</v>
      </c>
      <c r="H434" s="10" t="n">
        <v>45815.5295217593</v>
      </c>
      <c r="I434" s="7" t="n">
        <v>2000</v>
      </c>
      <c r="J434" s="0" t="n">
        <f aca="false">IF(AND(D434&gt;=DATE(YEAR(D434),3,15),D434&lt;=DATE(YEAR(D434),6,10)),1,0)</f>
        <v>1</v>
      </c>
      <c r="K434" s="0" t="e">
        <f aca="false">VLOOKUP(D434,Festival_List!$A$2:$B$100,2,0)</f>
        <v>#N/A</v>
      </c>
      <c r="L434" s="0" t="n">
        <f aca="false">ROUND(((F434+G434)-(D434+E434))*24,0)</f>
        <v>7</v>
      </c>
      <c r="M434" s="0" t="n">
        <f aca="false">IF(OR(WEEKDAY(D434)=1,WEEKDAY(D434)=7),1,0)</f>
        <v>1</v>
      </c>
      <c r="N434" s="0" t="str">
        <f aca="false">IF(AND(MONTH(D434)&gt;=3,MONTH(D434)&lt;=6),"Summer",IF(AND(MONTH(D434)&gt;=7,MONTH(D434)&lt;=9),"Monsoon","Winter"))</f>
        <v>Summer</v>
      </c>
      <c r="O434" s="0" t="str">
        <f aca="false">IF(AND(L434&gt;=22,L434&lt;=25,E434&gt;=TIME(18,0,0)),"24H Night", IF(AND(L434&gt;=22,L434&lt;=25,E434&lt;TIME(18,0,0)),"24H Day", IF(AND(L434&gt;=11,L434&lt;=13,E434&gt;=TIME(18,0,0)),"12H Night", IF(AND(L434&gt;=11,L434&lt;=13,E434&lt;TIME(18,0,0)),"12H Day", IF(AND(L434&lt;10,E434&gt;=TIME(18,0,0)),"Couple Night", "Couple Day")))))</f>
        <v>Couple Day</v>
      </c>
      <c r="P434" s="0" t="n">
        <f aca="false">WEEKDAY(D434,2)</f>
        <v>6</v>
      </c>
      <c r="Q434" s="0" t="n">
        <f aca="false">MONTH(D434)</f>
        <v>6</v>
      </c>
      <c r="R434" s="0" t="str">
        <f aca="false">"Q"&amp;ROUNDUP(MONTH(D434)/3,0)</f>
        <v>Q2</v>
      </c>
    </row>
    <row r="435" customFormat="false" ht="153.7" hidden="false" customHeight="false" outlineLevel="0" collapsed="false">
      <c r="A435" s="7" t="s">
        <v>1242</v>
      </c>
      <c r="B435" s="7" t="s">
        <v>504</v>
      </c>
      <c r="C435" s="13" t="s">
        <v>1243</v>
      </c>
      <c r="D435" s="11" t="n">
        <v>45815</v>
      </c>
      <c r="E435" s="12" t="n">
        <v>0.791666666700625</v>
      </c>
      <c r="F435" s="11" t="n">
        <v>45816</v>
      </c>
      <c r="G435" s="12" t="n">
        <v>0.333333333299375</v>
      </c>
      <c r="H435" s="10" t="n">
        <v>45815.6826537037</v>
      </c>
      <c r="I435" s="7" t="n">
        <v>5000</v>
      </c>
      <c r="J435" s="0" t="n">
        <f aca="false">IF(AND(D435&gt;=DATE(YEAR(D435),3,15),D435&lt;=DATE(YEAR(D435),6,10)),1,0)</f>
        <v>1</v>
      </c>
      <c r="K435" s="0" t="e">
        <f aca="false">VLOOKUP(D435,Festival_List!$A$2:$B$100,2,0)</f>
        <v>#N/A</v>
      </c>
      <c r="L435" s="0" t="n">
        <f aca="false">ROUND(((F435+G435)-(D435+E435))*24,0)</f>
        <v>13</v>
      </c>
      <c r="M435" s="0" t="n">
        <f aca="false">IF(OR(WEEKDAY(D435)=1,WEEKDAY(D435)=7),1,0)</f>
        <v>1</v>
      </c>
      <c r="N435" s="0" t="str">
        <f aca="false">IF(AND(MONTH(D435)&gt;=3,MONTH(D435)&lt;=6),"Summer",IF(AND(MONTH(D435)&gt;=7,MONTH(D435)&lt;=9),"Monsoon","Winter"))</f>
        <v>Summer</v>
      </c>
      <c r="O435" s="0" t="str">
        <f aca="false">IF(AND(L435&gt;=22,L435&lt;=25,E435&gt;=TIME(18,0,0)),"24H Night", IF(AND(L435&gt;=22,L435&lt;=25,E435&lt;TIME(18,0,0)),"24H Day", IF(AND(L435&gt;=11,L435&lt;=13,E435&gt;=TIME(18,0,0)),"12H Night", IF(AND(L435&gt;=11,L435&lt;=13,E435&lt;TIME(18,0,0)),"12H Day", IF(AND(L435&lt;10,E435&gt;=TIME(18,0,0)),"Couple Night", "Couple Day")))))</f>
        <v>12H Night</v>
      </c>
      <c r="P435" s="0" t="n">
        <f aca="false">WEEKDAY(D435,2)</f>
        <v>6</v>
      </c>
      <c r="Q435" s="0" t="n">
        <f aca="false">MONTH(D435)</f>
        <v>6</v>
      </c>
      <c r="R435" s="0" t="str">
        <f aca="false">"Q"&amp;ROUNDUP(MONTH(D435)/3,0)</f>
        <v>Q2</v>
      </c>
    </row>
    <row r="436" customFormat="false" ht="90.25" hidden="false" customHeight="false" outlineLevel="0" collapsed="false">
      <c r="A436" s="7" t="s">
        <v>1244</v>
      </c>
      <c r="B436" s="7" t="s">
        <v>281</v>
      </c>
      <c r="C436" s="13" t="s">
        <v>1245</v>
      </c>
      <c r="D436" s="11" t="n">
        <v>45816</v>
      </c>
      <c r="E436" s="12" t="n">
        <v>0.375</v>
      </c>
      <c r="F436" s="11" t="n">
        <v>45816</v>
      </c>
      <c r="G436" s="12" t="n">
        <v>0.791666666700625</v>
      </c>
      <c r="H436" s="10" t="n">
        <v>45815.827734838</v>
      </c>
      <c r="I436" s="7" t="n">
        <v>6000</v>
      </c>
      <c r="J436" s="0" t="n">
        <f aca="false">IF(AND(D436&gt;=DATE(YEAR(D436),3,15),D436&lt;=DATE(YEAR(D436),6,10)),1,0)</f>
        <v>1</v>
      </c>
      <c r="K436" s="0" t="e">
        <f aca="false">VLOOKUP(D436,Festival_List!$A$2:$B$100,2,0)</f>
        <v>#N/A</v>
      </c>
      <c r="L436" s="0" t="n">
        <f aca="false">ROUND(((F436+G436)-(D436+E436))*24,0)</f>
        <v>10</v>
      </c>
      <c r="M436" s="0" t="n">
        <f aca="false">IF(OR(WEEKDAY(D436)=1,WEEKDAY(D436)=7),1,0)</f>
        <v>1</v>
      </c>
      <c r="N436" s="0" t="str">
        <f aca="false">IF(AND(MONTH(D436)&gt;=3,MONTH(D436)&lt;=6),"Summer",IF(AND(MONTH(D436)&gt;=7,MONTH(D436)&lt;=9),"Monsoon","Winter"))</f>
        <v>Summer</v>
      </c>
      <c r="O436" s="0" t="str">
        <f aca="false">IF(AND(L436&gt;=22,L436&lt;=25,E436&gt;=TIME(18,0,0)),"24H Night", IF(AND(L436&gt;=22,L436&lt;=25,E436&lt;TIME(18,0,0)),"24H Day", IF(AND(L436&gt;=11,L436&lt;=13,E436&gt;=TIME(18,0,0)),"12H Night", IF(AND(L436&gt;=11,L436&lt;=13,E436&lt;TIME(18,0,0)),"12H Day", IF(AND(L436&lt;10,E436&gt;=TIME(18,0,0)),"Couple Night", "Couple Day")))))</f>
        <v>Couple Day</v>
      </c>
      <c r="P436" s="0" t="n">
        <f aca="false">WEEKDAY(D436,2)</f>
        <v>7</v>
      </c>
      <c r="Q436" s="0" t="n">
        <f aca="false">MONTH(D436)</f>
        <v>6</v>
      </c>
      <c r="R436" s="0" t="str">
        <f aca="false">"Q"&amp;ROUNDUP(MONTH(D436)/3,0)</f>
        <v>Q2</v>
      </c>
    </row>
    <row r="437" customFormat="false" ht="90.25" hidden="false" customHeight="false" outlineLevel="0" collapsed="false">
      <c r="A437" s="7" t="s">
        <v>1246</v>
      </c>
      <c r="B437" s="7" t="s">
        <v>1247</v>
      </c>
      <c r="C437" s="13" t="s">
        <v>1248</v>
      </c>
      <c r="D437" s="11" t="n">
        <v>45816</v>
      </c>
      <c r="E437" s="12" t="n">
        <v>0.833333333299375</v>
      </c>
      <c r="F437" s="11" t="n">
        <v>45817</v>
      </c>
      <c r="G437" s="12" t="n">
        <v>0.291666666700625</v>
      </c>
      <c r="H437" s="10" t="n">
        <v>45816.7175336806</v>
      </c>
      <c r="I437" s="7" t="n">
        <v>1500</v>
      </c>
      <c r="J437" s="0" t="n">
        <f aca="false">IF(AND(D437&gt;=DATE(YEAR(D437),3,15),D437&lt;=DATE(YEAR(D437),6,10)),1,0)</f>
        <v>1</v>
      </c>
      <c r="K437" s="0" t="e">
        <f aca="false">VLOOKUP(D437,Festival_List!$A$2:$B$100,2,0)</f>
        <v>#N/A</v>
      </c>
      <c r="L437" s="0" t="n">
        <f aca="false">ROUND(((F437+G437)-(D437+E437))*24,0)</f>
        <v>11</v>
      </c>
      <c r="M437" s="0" t="n">
        <f aca="false">IF(OR(WEEKDAY(D437)=1,WEEKDAY(D437)=7),1,0)</f>
        <v>1</v>
      </c>
      <c r="N437" s="0" t="str">
        <f aca="false">IF(AND(MONTH(D437)&gt;=3,MONTH(D437)&lt;=6),"Summer",IF(AND(MONTH(D437)&gt;=7,MONTH(D437)&lt;=9),"Monsoon","Winter"))</f>
        <v>Summer</v>
      </c>
      <c r="O437" s="0" t="str">
        <f aca="false">IF(AND(L437&gt;=22,L437&lt;=25,E437&gt;=TIME(18,0,0)),"24H Night", IF(AND(L437&gt;=22,L437&lt;=25,E437&lt;TIME(18,0,0)),"24H Day", IF(AND(L437&gt;=11,L437&lt;=13,E437&gt;=TIME(18,0,0)),"12H Night", IF(AND(L437&gt;=11,L437&lt;=13,E437&lt;TIME(18,0,0)),"12H Day", IF(AND(L437&lt;10,E437&gt;=TIME(18,0,0)),"Couple Night", "Couple Day")))))</f>
        <v>12H Night</v>
      </c>
      <c r="P437" s="0" t="n">
        <f aca="false">WEEKDAY(D437,2)</f>
        <v>7</v>
      </c>
      <c r="Q437" s="0" t="n">
        <f aca="false">MONTH(D437)</f>
        <v>6</v>
      </c>
      <c r="R437" s="0" t="str">
        <f aca="false">"Q"&amp;ROUNDUP(MONTH(D437)/3,0)</f>
        <v>Q2</v>
      </c>
    </row>
    <row r="438" customFormat="false" ht="141" hidden="false" customHeight="false" outlineLevel="0" collapsed="false">
      <c r="A438" s="7" t="s">
        <v>1249</v>
      </c>
      <c r="B438" s="7" t="s">
        <v>634</v>
      </c>
      <c r="C438" s="13" t="s">
        <v>1250</v>
      </c>
      <c r="D438" s="11" t="n">
        <v>45817</v>
      </c>
      <c r="E438" s="12" t="n">
        <v>0.375</v>
      </c>
      <c r="F438" s="11" t="n">
        <v>45817</v>
      </c>
      <c r="G438" s="12" t="n">
        <v>0.75</v>
      </c>
      <c r="H438" s="10" t="n">
        <v>45817.3535123843</v>
      </c>
      <c r="I438" s="7" t="n">
        <v>3000</v>
      </c>
      <c r="J438" s="0" t="n">
        <f aca="false">IF(AND(D438&gt;=DATE(YEAR(D438),3,15),D438&lt;=DATE(YEAR(D438),6,10)),1,0)</f>
        <v>1</v>
      </c>
      <c r="K438" s="0" t="e">
        <f aca="false">VLOOKUP(D438,Festival_List!$A$2:$B$100,2,0)</f>
        <v>#N/A</v>
      </c>
      <c r="L438" s="0" t="n">
        <f aca="false">ROUND(((F438+G438)-(D438+E438))*24,0)</f>
        <v>9</v>
      </c>
      <c r="M438" s="0" t="n">
        <f aca="false">IF(OR(WEEKDAY(D438)=1,WEEKDAY(D438)=7),1,0)</f>
        <v>0</v>
      </c>
      <c r="N438" s="0" t="str">
        <f aca="false">IF(AND(MONTH(D438)&gt;=3,MONTH(D438)&lt;=6),"Summer",IF(AND(MONTH(D438)&gt;=7,MONTH(D438)&lt;=9),"Monsoon","Winter"))</f>
        <v>Summer</v>
      </c>
      <c r="O438" s="0" t="str">
        <f aca="false">IF(AND(L438&gt;=22,L438&lt;=25,E438&gt;=TIME(18,0,0)),"24H Night", IF(AND(L438&gt;=22,L438&lt;=25,E438&lt;TIME(18,0,0)),"24H Day", IF(AND(L438&gt;=11,L438&lt;=13,E438&gt;=TIME(18,0,0)),"12H Night", IF(AND(L438&gt;=11,L438&lt;=13,E438&lt;TIME(18,0,0)),"12H Day", IF(AND(L438&lt;10,E438&gt;=TIME(18,0,0)),"Couple Night", "Couple Day")))))</f>
        <v>Couple Day</v>
      </c>
      <c r="P438" s="0" t="n">
        <f aca="false">WEEKDAY(D438,2)</f>
        <v>1</v>
      </c>
      <c r="Q438" s="0" t="n">
        <f aca="false">MONTH(D438)</f>
        <v>6</v>
      </c>
      <c r="R438" s="0" t="str">
        <f aca="false">"Q"&amp;ROUNDUP(MONTH(D438)/3,0)</f>
        <v>Q2</v>
      </c>
    </row>
    <row r="439" customFormat="false" ht="90.25" hidden="false" customHeight="false" outlineLevel="0" collapsed="false">
      <c r="A439" s="7" t="s">
        <v>1251</v>
      </c>
      <c r="B439" s="7" t="s">
        <v>1252</v>
      </c>
      <c r="C439" s="13" t="s">
        <v>1253</v>
      </c>
      <c r="D439" s="11" t="n">
        <v>45819</v>
      </c>
      <c r="E439" s="12" t="n">
        <v>0.375</v>
      </c>
      <c r="F439" s="11" t="n">
        <v>45819</v>
      </c>
      <c r="G439" s="12" t="n">
        <v>0.75</v>
      </c>
      <c r="H439" s="10" t="n">
        <v>45817.4257803241</v>
      </c>
      <c r="I439" s="7" t="n">
        <v>3000</v>
      </c>
      <c r="J439" s="0" t="n">
        <f aca="false">IF(AND(D439&gt;=DATE(YEAR(D439),3,15),D439&lt;=DATE(YEAR(D439),6,10)),1,0)</f>
        <v>0</v>
      </c>
      <c r="K439" s="0" t="e">
        <f aca="false">VLOOKUP(D439,Festival_List!$A$2:$B$100,2,0)</f>
        <v>#N/A</v>
      </c>
      <c r="L439" s="0" t="n">
        <f aca="false">ROUND(((F439+G439)-(D439+E439))*24,0)</f>
        <v>9</v>
      </c>
      <c r="M439" s="0" t="n">
        <f aca="false">IF(OR(WEEKDAY(D439)=1,WEEKDAY(D439)=7),1,0)</f>
        <v>0</v>
      </c>
      <c r="N439" s="0" t="str">
        <f aca="false">IF(AND(MONTH(D439)&gt;=3,MONTH(D439)&lt;=6),"Summer",IF(AND(MONTH(D439)&gt;=7,MONTH(D439)&lt;=9),"Monsoon","Winter"))</f>
        <v>Summer</v>
      </c>
      <c r="O439" s="0" t="str">
        <f aca="false">IF(AND(L439&gt;=22,L439&lt;=25,E439&gt;=TIME(18,0,0)),"24H Night", IF(AND(L439&gt;=22,L439&lt;=25,E439&lt;TIME(18,0,0)),"24H Day", IF(AND(L439&gt;=11,L439&lt;=13,E439&gt;=TIME(18,0,0)),"12H Night", IF(AND(L439&gt;=11,L439&lt;=13,E439&lt;TIME(18,0,0)),"12H Day", IF(AND(L439&lt;10,E439&gt;=TIME(18,0,0)),"Couple Night", "Couple Day")))))</f>
        <v>Couple Day</v>
      </c>
      <c r="P439" s="0" t="n">
        <f aca="false">WEEKDAY(D439,2)</f>
        <v>3</v>
      </c>
      <c r="Q439" s="0" t="n">
        <f aca="false">MONTH(D439)</f>
        <v>6</v>
      </c>
      <c r="R439" s="0" t="str">
        <f aca="false">"Q"&amp;ROUNDUP(MONTH(D439)/3,0)</f>
        <v>Q2</v>
      </c>
    </row>
    <row r="440" customFormat="false" ht="39.55" hidden="false" customHeight="false" outlineLevel="0" collapsed="false">
      <c r="A440" s="7" t="s">
        <v>1254</v>
      </c>
      <c r="B440" s="7" t="s">
        <v>712</v>
      </c>
      <c r="C440" s="13" t="s">
        <v>1255</v>
      </c>
      <c r="D440" s="11" t="n">
        <v>45820</v>
      </c>
      <c r="E440" s="12" t="n">
        <v>0.458333333299375</v>
      </c>
      <c r="F440" s="11" t="n">
        <v>45820</v>
      </c>
      <c r="G440" s="12" t="n">
        <v>0.583333333299375</v>
      </c>
      <c r="H440" s="10" t="n">
        <v>45820.5383984954</v>
      </c>
      <c r="I440" s="7" t="n">
        <v>1500</v>
      </c>
      <c r="J440" s="0" t="n">
        <f aca="false">IF(AND(D440&gt;=DATE(YEAR(D440),3,15),D440&lt;=DATE(YEAR(D440),6,10)),1,0)</f>
        <v>0</v>
      </c>
      <c r="K440" s="0" t="e">
        <f aca="false">VLOOKUP(D440,Festival_List!$A$2:$B$100,2,0)</f>
        <v>#N/A</v>
      </c>
      <c r="L440" s="0" t="n">
        <f aca="false">ROUND(((F440+G440)-(D440+E440))*24,0)</f>
        <v>3</v>
      </c>
      <c r="M440" s="0" t="n">
        <f aca="false">IF(OR(WEEKDAY(D440)=1,WEEKDAY(D440)=7),1,0)</f>
        <v>0</v>
      </c>
      <c r="N440" s="0" t="str">
        <f aca="false">IF(AND(MONTH(D440)&gt;=3,MONTH(D440)&lt;=6),"Summer",IF(AND(MONTH(D440)&gt;=7,MONTH(D440)&lt;=9),"Monsoon","Winter"))</f>
        <v>Summer</v>
      </c>
      <c r="O440" s="0" t="str">
        <f aca="false">IF(AND(L440&gt;=22,L440&lt;=25,E440&gt;=TIME(18,0,0)),"24H Night", IF(AND(L440&gt;=22,L440&lt;=25,E440&lt;TIME(18,0,0)),"24H Day", IF(AND(L440&gt;=11,L440&lt;=13,E440&gt;=TIME(18,0,0)),"12H Night", IF(AND(L440&gt;=11,L440&lt;=13,E440&lt;TIME(18,0,0)),"12H Day", IF(AND(L440&lt;10,E440&gt;=TIME(18,0,0)),"Couple Night", "Couple Day")))))</f>
        <v>Couple Day</v>
      </c>
      <c r="P440" s="0" t="n">
        <f aca="false">WEEKDAY(D440,2)</f>
        <v>4</v>
      </c>
      <c r="Q440" s="0" t="n">
        <f aca="false">MONTH(D440)</f>
        <v>6</v>
      </c>
      <c r="R440" s="0" t="str">
        <f aca="false">"Q"&amp;ROUNDUP(MONTH(D440)/3,0)</f>
        <v>Q2</v>
      </c>
    </row>
    <row r="441" customFormat="false" ht="102.95" hidden="false" customHeight="false" outlineLevel="0" collapsed="false">
      <c r="A441" s="7" t="s">
        <v>1256</v>
      </c>
      <c r="B441" s="7" t="s">
        <v>1257</v>
      </c>
      <c r="C441" s="13" t="s">
        <v>1258</v>
      </c>
      <c r="D441" s="11" t="n">
        <v>45820</v>
      </c>
      <c r="E441" s="12" t="n">
        <v>0.791666666700625</v>
      </c>
      <c r="F441" s="11" t="n">
        <v>45821</v>
      </c>
      <c r="G441" s="12" t="n">
        <v>0.333333333299375</v>
      </c>
      <c r="H441" s="10" t="n">
        <v>45820.6675768519</v>
      </c>
      <c r="I441" s="7" t="n">
        <v>2500</v>
      </c>
      <c r="J441" s="0" t="n">
        <f aca="false">IF(AND(D441&gt;=DATE(YEAR(D441),3,15),D441&lt;=DATE(YEAR(D441),6,10)),1,0)</f>
        <v>0</v>
      </c>
      <c r="K441" s="0" t="e">
        <f aca="false">VLOOKUP(D441,Festival_List!$A$2:$B$100,2,0)</f>
        <v>#N/A</v>
      </c>
      <c r="L441" s="0" t="n">
        <f aca="false">ROUND(((F441+G441)-(D441+E441))*24,0)</f>
        <v>13</v>
      </c>
      <c r="M441" s="0" t="n">
        <f aca="false">IF(OR(WEEKDAY(D441)=1,WEEKDAY(D441)=7),1,0)</f>
        <v>0</v>
      </c>
      <c r="N441" s="0" t="str">
        <f aca="false">IF(AND(MONTH(D441)&gt;=3,MONTH(D441)&lt;=6),"Summer",IF(AND(MONTH(D441)&gt;=7,MONTH(D441)&lt;=9),"Monsoon","Winter"))</f>
        <v>Summer</v>
      </c>
      <c r="O441" s="0" t="str">
        <f aca="false">IF(AND(L441&gt;=22,L441&lt;=25,E441&gt;=TIME(18,0,0)),"24H Night", IF(AND(L441&gt;=22,L441&lt;=25,E441&lt;TIME(18,0,0)),"24H Day", IF(AND(L441&gt;=11,L441&lt;=13,E441&gt;=TIME(18,0,0)),"12H Night", IF(AND(L441&gt;=11,L441&lt;=13,E441&lt;TIME(18,0,0)),"12H Day", IF(AND(L441&lt;10,E441&gt;=TIME(18,0,0)),"Couple Night", "Couple Day")))))</f>
        <v>12H Night</v>
      </c>
      <c r="P441" s="0" t="n">
        <f aca="false">WEEKDAY(D441,2)</f>
        <v>4</v>
      </c>
      <c r="Q441" s="0" t="n">
        <f aca="false">MONTH(D441)</f>
        <v>6</v>
      </c>
      <c r="R441" s="0" t="str">
        <f aca="false">"Q"&amp;ROUNDUP(MONTH(D441)/3,0)</f>
        <v>Q2</v>
      </c>
    </row>
    <row r="442" customFormat="false" ht="90.25" hidden="false" customHeight="false" outlineLevel="0" collapsed="false">
      <c r="A442" s="7" t="s">
        <v>1259</v>
      </c>
      <c r="B442" s="7" t="s">
        <v>498</v>
      </c>
      <c r="C442" s="13" t="s">
        <v>1260</v>
      </c>
      <c r="D442" s="11" t="n">
        <v>45821</v>
      </c>
      <c r="E442" s="12" t="n">
        <v>0.375</v>
      </c>
      <c r="F442" s="11" t="n">
        <v>45821</v>
      </c>
      <c r="G442" s="12" t="n">
        <v>0.75</v>
      </c>
      <c r="H442" s="10" t="n">
        <v>45820.5324871528</v>
      </c>
      <c r="I442" s="7" t="n">
        <v>2500</v>
      </c>
      <c r="J442" s="0" t="n">
        <f aca="false">IF(AND(D442&gt;=DATE(YEAR(D442),3,15),D442&lt;=DATE(YEAR(D442),6,10)),1,0)</f>
        <v>0</v>
      </c>
      <c r="K442" s="0" t="e">
        <f aca="false">VLOOKUP(D442,Festival_List!$A$2:$B$100,2,0)</f>
        <v>#N/A</v>
      </c>
      <c r="L442" s="0" t="n">
        <f aca="false">ROUND(((F442+G442)-(D442+E442))*24,0)</f>
        <v>9</v>
      </c>
      <c r="M442" s="0" t="n">
        <f aca="false">IF(OR(WEEKDAY(D442)=1,WEEKDAY(D442)=7),1,0)</f>
        <v>0</v>
      </c>
      <c r="N442" s="0" t="str">
        <f aca="false">IF(AND(MONTH(D442)&gt;=3,MONTH(D442)&lt;=6),"Summer",IF(AND(MONTH(D442)&gt;=7,MONTH(D442)&lt;=9),"Monsoon","Winter"))</f>
        <v>Summer</v>
      </c>
      <c r="O442" s="0" t="str">
        <f aca="false">IF(AND(L442&gt;=22,L442&lt;=25,E442&gt;=TIME(18,0,0)),"24H Night", IF(AND(L442&gt;=22,L442&lt;=25,E442&lt;TIME(18,0,0)),"24H Day", IF(AND(L442&gt;=11,L442&lt;=13,E442&gt;=TIME(18,0,0)),"12H Night", IF(AND(L442&gt;=11,L442&lt;=13,E442&lt;TIME(18,0,0)),"12H Day", IF(AND(L442&lt;10,E442&gt;=TIME(18,0,0)),"Couple Night", "Couple Day")))))</f>
        <v>Couple Day</v>
      </c>
      <c r="P442" s="0" t="n">
        <f aca="false">WEEKDAY(D442,2)</f>
        <v>5</v>
      </c>
      <c r="Q442" s="0" t="n">
        <f aca="false">MONTH(D442)</f>
        <v>6</v>
      </c>
      <c r="R442" s="0" t="str">
        <f aca="false">"Q"&amp;ROUNDUP(MONTH(D442)/3,0)</f>
        <v>Q2</v>
      </c>
    </row>
    <row r="443" customFormat="false" ht="90.25" hidden="false" customHeight="false" outlineLevel="0" collapsed="false">
      <c r="A443" s="7" t="s">
        <v>1261</v>
      </c>
      <c r="B443" s="7" t="s">
        <v>1262</v>
      </c>
      <c r="C443" s="13" t="s">
        <v>1263</v>
      </c>
      <c r="D443" s="11" t="n">
        <v>45821</v>
      </c>
      <c r="E443" s="12" t="n">
        <v>0.791666666700625</v>
      </c>
      <c r="F443" s="11" t="n">
        <v>45822</v>
      </c>
      <c r="G443" s="12" t="n">
        <v>0.333333333299375</v>
      </c>
      <c r="H443" s="10" t="n">
        <v>45820.5342179398</v>
      </c>
      <c r="I443" s="7" t="n">
        <v>2500</v>
      </c>
      <c r="J443" s="0" t="n">
        <f aca="false">IF(AND(D443&gt;=DATE(YEAR(D443),3,15),D443&lt;=DATE(YEAR(D443),6,10)),1,0)</f>
        <v>0</v>
      </c>
      <c r="K443" s="0" t="e">
        <f aca="false">VLOOKUP(D443,Festival_List!$A$2:$B$100,2,0)</f>
        <v>#N/A</v>
      </c>
      <c r="L443" s="0" t="n">
        <f aca="false">ROUND(((F443+G443)-(D443+E443))*24,0)</f>
        <v>13</v>
      </c>
      <c r="M443" s="0" t="n">
        <f aca="false">IF(OR(WEEKDAY(D443)=1,WEEKDAY(D443)=7),1,0)</f>
        <v>0</v>
      </c>
      <c r="N443" s="0" t="str">
        <f aca="false">IF(AND(MONTH(D443)&gt;=3,MONTH(D443)&lt;=6),"Summer",IF(AND(MONTH(D443)&gt;=7,MONTH(D443)&lt;=9),"Monsoon","Winter"))</f>
        <v>Summer</v>
      </c>
      <c r="O443" s="0" t="str">
        <f aca="false">IF(AND(L443&gt;=22,L443&lt;=25,E443&gt;=TIME(18,0,0)),"24H Night", IF(AND(L443&gt;=22,L443&lt;=25,E443&lt;TIME(18,0,0)),"24H Day", IF(AND(L443&gt;=11,L443&lt;=13,E443&gt;=TIME(18,0,0)),"12H Night", IF(AND(L443&gt;=11,L443&lt;=13,E443&lt;TIME(18,0,0)),"12H Day", IF(AND(L443&lt;10,E443&gt;=TIME(18,0,0)),"Couple Night", "Couple Day")))))</f>
        <v>12H Night</v>
      </c>
      <c r="P443" s="0" t="n">
        <f aca="false">WEEKDAY(D443,2)</f>
        <v>5</v>
      </c>
      <c r="Q443" s="0" t="n">
        <f aca="false">MONTH(D443)</f>
        <v>6</v>
      </c>
      <c r="R443" s="0" t="str">
        <f aca="false">"Q"&amp;ROUNDUP(MONTH(D443)/3,0)</f>
        <v>Q2</v>
      </c>
    </row>
    <row r="444" customFormat="false" ht="90.25" hidden="false" customHeight="false" outlineLevel="0" collapsed="false">
      <c r="A444" s="7" t="s">
        <v>1264</v>
      </c>
      <c r="B444" s="7" t="s">
        <v>1265</v>
      </c>
      <c r="C444" s="13" t="s">
        <v>1266</v>
      </c>
      <c r="D444" s="11" t="n">
        <v>45822</v>
      </c>
      <c r="E444" s="12" t="n">
        <v>0.375</v>
      </c>
      <c r="F444" s="11" t="n">
        <v>45822</v>
      </c>
      <c r="G444" s="12" t="n">
        <v>0.75</v>
      </c>
      <c r="H444" s="10" t="n">
        <v>45821.9193736111</v>
      </c>
      <c r="I444" s="7" t="n">
        <v>2500</v>
      </c>
      <c r="J444" s="0" t="n">
        <f aca="false">IF(AND(D444&gt;=DATE(YEAR(D444),3,15),D444&lt;=DATE(YEAR(D444),6,10)),1,0)</f>
        <v>0</v>
      </c>
      <c r="K444" s="0" t="e">
        <f aca="false">VLOOKUP(D444,Festival_List!$A$2:$B$100,2,0)</f>
        <v>#N/A</v>
      </c>
      <c r="L444" s="0" t="n">
        <f aca="false">ROUND(((F444+G444)-(D444+E444))*24,0)</f>
        <v>9</v>
      </c>
      <c r="M444" s="0" t="n">
        <f aca="false">IF(OR(WEEKDAY(D444)=1,WEEKDAY(D444)=7),1,0)</f>
        <v>1</v>
      </c>
      <c r="N444" s="0" t="str">
        <f aca="false">IF(AND(MONTH(D444)&gt;=3,MONTH(D444)&lt;=6),"Summer",IF(AND(MONTH(D444)&gt;=7,MONTH(D444)&lt;=9),"Monsoon","Winter"))</f>
        <v>Summer</v>
      </c>
      <c r="O444" s="0" t="str">
        <f aca="false">IF(AND(L444&gt;=22,L444&lt;=25,E444&gt;=TIME(18,0,0)),"24H Night", IF(AND(L444&gt;=22,L444&lt;=25,E444&lt;TIME(18,0,0)),"24H Day", IF(AND(L444&gt;=11,L444&lt;=13,E444&gt;=TIME(18,0,0)),"12H Night", IF(AND(L444&gt;=11,L444&lt;=13,E444&lt;TIME(18,0,0)),"12H Day", IF(AND(L444&lt;10,E444&gt;=TIME(18,0,0)),"Couple Night", "Couple Day")))))</f>
        <v>Couple Day</v>
      </c>
      <c r="P444" s="0" t="n">
        <f aca="false">WEEKDAY(D444,2)</f>
        <v>6</v>
      </c>
      <c r="Q444" s="0" t="n">
        <f aca="false">MONTH(D444)</f>
        <v>6</v>
      </c>
      <c r="R444" s="0" t="str">
        <f aca="false">"Q"&amp;ROUNDUP(MONTH(D444)/3,0)</f>
        <v>Q2</v>
      </c>
    </row>
    <row r="445" customFormat="false" ht="90.25" hidden="false" customHeight="false" outlineLevel="0" collapsed="false">
      <c r="A445" s="7" t="s">
        <v>1267</v>
      </c>
      <c r="B445" s="7" t="s">
        <v>1268</v>
      </c>
      <c r="C445" s="13" t="s">
        <v>1269</v>
      </c>
      <c r="D445" s="11" t="n">
        <v>45822</v>
      </c>
      <c r="E445" s="12" t="n">
        <v>0.791666666700625</v>
      </c>
      <c r="F445" s="11" t="n">
        <v>45823</v>
      </c>
      <c r="G445" s="12" t="n">
        <v>0.75</v>
      </c>
      <c r="H445" s="10" t="n">
        <v>45821.4869944445</v>
      </c>
      <c r="I445" s="7" t="n">
        <v>10000</v>
      </c>
      <c r="J445" s="0" t="n">
        <f aca="false">IF(AND(D445&gt;=DATE(YEAR(D445),3,15),D445&lt;=DATE(YEAR(D445),6,10)),1,0)</f>
        <v>0</v>
      </c>
      <c r="K445" s="0" t="e">
        <f aca="false">VLOOKUP(D445,Festival_List!$A$2:$B$100,2,0)</f>
        <v>#N/A</v>
      </c>
      <c r="L445" s="0" t="n">
        <f aca="false">ROUND(((F445+G445)-(D445+E445))*24,0)</f>
        <v>23</v>
      </c>
      <c r="M445" s="0" t="n">
        <f aca="false">IF(OR(WEEKDAY(D445)=1,WEEKDAY(D445)=7),1,0)</f>
        <v>1</v>
      </c>
      <c r="N445" s="0" t="str">
        <f aca="false">IF(AND(MONTH(D445)&gt;=3,MONTH(D445)&lt;=6),"Summer",IF(AND(MONTH(D445)&gt;=7,MONTH(D445)&lt;=9),"Monsoon","Winter"))</f>
        <v>Summer</v>
      </c>
      <c r="O445" s="0" t="str">
        <f aca="false">IF(AND(L445&gt;=22,L445&lt;=25,E445&gt;=TIME(18,0,0)),"24H Night", IF(AND(L445&gt;=22,L445&lt;=25,E445&lt;TIME(18,0,0)),"24H Day", IF(AND(L445&gt;=11,L445&lt;=13,E445&gt;=TIME(18,0,0)),"12H Night", IF(AND(L445&gt;=11,L445&lt;=13,E445&lt;TIME(18,0,0)),"12H Day", IF(AND(L445&lt;10,E445&gt;=TIME(18,0,0)),"Couple Night", "Couple Day")))))</f>
        <v>24H Night</v>
      </c>
      <c r="P445" s="0" t="n">
        <f aca="false">WEEKDAY(D445,2)</f>
        <v>6</v>
      </c>
      <c r="Q445" s="0" t="n">
        <f aca="false">MONTH(D445)</f>
        <v>6</v>
      </c>
      <c r="R445" s="0" t="str">
        <f aca="false">"Q"&amp;ROUNDUP(MONTH(D445)/3,0)</f>
        <v>Q2</v>
      </c>
    </row>
    <row r="446" customFormat="false" ht="90.25" hidden="false" customHeight="false" outlineLevel="0" collapsed="false">
      <c r="A446" s="7" t="s">
        <v>1270</v>
      </c>
      <c r="B446" s="7" t="s">
        <v>1271</v>
      </c>
      <c r="C446" s="13" t="s">
        <v>1272</v>
      </c>
      <c r="D446" s="11" t="n">
        <v>45825</v>
      </c>
      <c r="E446" s="12" t="n">
        <v>0.791666666700625</v>
      </c>
      <c r="F446" s="11" t="n">
        <v>45826</v>
      </c>
      <c r="G446" s="12" t="n">
        <v>0.75</v>
      </c>
      <c r="H446" s="10" t="n">
        <v>45823.6723096065</v>
      </c>
      <c r="I446" s="7" t="n">
        <v>4500</v>
      </c>
      <c r="J446" s="0" t="n">
        <f aca="false">IF(AND(D446&gt;=DATE(YEAR(D446),3,15),D446&lt;=DATE(YEAR(D446),6,10)),1,0)</f>
        <v>0</v>
      </c>
      <c r="K446" s="0" t="e">
        <f aca="false">VLOOKUP(D446,Festival_List!$A$2:$B$100,2,0)</f>
        <v>#N/A</v>
      </c>
      <c r="L446" s="0" t="n">
        <f aca="false">ROUND(((F446+G446)-(D446+E446))*24,0)</f>
        <v>23</v>
      </c>
      <c r="M446" s="0" t="n">
        <f aca="false">IF(OR(WEEKDAY(D446)=1,WEEKDAY(D446)=7),1,0)</f>
        <v>0</v>
      </c>
      <c r="N446" s="0" t="str">
        <f aca="false">IF(AND(MONTH(D446)&gt;=3,MONTH(D446)&lt;=6),"Summer",IF(AND(MONTH(D446)&gt;=7,MONTH(D446)&lt;=9),"Monsoon","Winter"))</f>
        <v>Summer</v>
      </c>
      <c r="O446" s="0" t="str">
        <f aca="false">IF(AND(L446&gt;=22,L446&lt;=25,E446&gt;=TIME(18,0,0)),"24H Night", IF(AND(L446&gt;=22,L446&lt;=25,E446&lt;TIME(18,0,0)),"24H Day", IF(AND(L446&gt;=11,L446&lt;=13,E446&gt;=TIME(18,0,0)),"12H Night", IF(AND(L446&gt;=11,L446&lt;=13,E446&lt;TIME(18,0,0)),"12H Day", IF(AND(L446&lt;10,E446&gt;=TIME(18,0,0)),"Couple Night", "Couple Day")))))</f>
        <v>24H Night</v>
      </c>
      <c r="P446" s="0" t="n">
        <f aca="false">WEEKDAY(D446,2)</f>
        <v>2</v>
      </c>
      <c r="Q446" s="0" t="n">
        <f aca="false">MONTH(D446)</f>
        <v>6</v>
      </c>
      <c r="R446" s="0" t="str">
        <f aca="false">"Q"&amp;ROUNDUP(MONTH(D446)/3,0)</f>
        <v>Q2</v>
      </c>
    </row>
    <row r="447" customFormat="false" ht="102.95" hidden="false" customHeight="false" outlineLevel="0" collapsed="false">
      <c r="A447" s="7" t="s">
        <v>1273</v>
      </c>
      <c r="B447" s="7" t="s">
        <v>1274</v>
      </c>
      <c r="C447" s="13" t="s">
        <v>1275</v>
      </c>
      <c r="D447" s="11" t="n">
        <v>45827</v>
      </c>
      <c r="E447" s="12" t="n">
        <v>0.375</v>
      </c>
      <c r="F447" s="11" t="n">
        <v>45827</v>
      </c>
      <c r="G447" s="12" t="n">
        <v>0.75</v>
      </c>
      <c r="H447" s="10" t="n">
        <v>45827.9032782408</v>
      </c>
      <c r="I447" s="7" t="n">
        <v>2400</v>
      </c>
      <c r="J447" s="0" t="n">
        <f aca="false">IF(AND(D447&gt;=DATE(YEAR(D447),3,15),D447&lt;=DATE(YEAR(D447),6,10)),1,0)</f>
        <v>0</v>
      </c>
      <c r="K447" s="0" t="e">
        <f aca="false">VLOOKUP(D447,Festival_List!$A$2:$B$100,2,0)</f>
        <v>#N/A</v>
      </c>
      <c r="L447" s="0" t="n">
        <f aca="false">ROUND(((F447+G447)-(D447+E447))*24,0)</f>
        <v>9</v>
      </c>
      <c r="M447" s="0" t="n">
        <f aca="false">IF(OR(WEEKDAY(D447)=1,WEEKDAY(D447)=7),1,0)</f>
        <v>0</v>
      </c>
      <c r="N447" s="0" t="str">
        <f aca="false">IF(AND(MONTH(D447)&gt;=3,MONTH(D447)&lt;=6),"Summer",IF(AND(MONTH(D447)&gt;=7,MONTH(D447)&lt;=9),"Monsoon","Winter"))</f>
        <v>Summer</v>
      </c>
      <c r="O447" s="0" t="str">
        <f aca="false">IF(AND(L447&gt;=22,L447&lt;=25,E447&gt;=TIME(18,0,0)),"24H Night", IF(AND(L447&gt;=22,L447&lt;=25,E447&lt;TIME(18,0,0)),"24H Day", IF(AND(L447&gt;=11,L447&lt;=13,E447&gt;=TIME(18,0,0)),"12H Night", IF(AND(L447&gt;=11,L447&lt;=13,E447&lt;TIME(18,0,0)),"12H Day", IF(AND(L447&lt;10,E447&gt;=TIME(18,0,0)),"Couple Night", "Couple Day")))))</f>
        <v>Couple Day</v>
      </c>
      <c r="P447" s="0" t="n">
        <f aca="false">WEEKDAY(D447,2)</f>
        <v>4</v>
      </c>
      <c r="Q447" s="0" t="n">
        <f aca="false">MONTH(D447)</f>
        <v>6</v>
      </c>
      <c r="R447" s="0" t="str">
        <f aca="false">"Q"&amp;ROUNDUP(MONTH(D447)/3,0)</f>
        <v>Q2</v>
      </c>
    </row>
    <row r="448" customFormat="false" ht="90.25" hidden="false" customHeight="false" outlineLevel="0" collapsed="false">
      <c r="A448" s="7" t="s">
        <v>1276</v>
      </c>
      <c r="B448" s="7" t="s">
        <v>1277</v>
      </c>
      <c r="C448" s="13" t="s">
        <v>1278</v>
      </c>
      <c r="D448" s="11" t="n">
        <v>45827</v>
      </c>
      <c r="E448" s="12" t="n">
        <v>0.833333333299375</v>
      </c>
      <c r="F448" s="11" t="n">
        <v>45828</v>
      </c>
      <c r="G448" s="12" t="n">
        <v>0.333333333299375</v>
      </c>
      <c r="H448" s="10" t="n">
        <v>45827.7976015046</v>
      </c>
      <c r="I448" s="7" t="n">
        <v>2500</v>
      </c>
      <c r="J448" s="0" t="n">
        <f aca="false">IF(AND(D448&gt;=DATE(YEAR(D448),3,15),D448&lt;=DATE(YEAR(D448),6,10)),1,0)</f>
        <v>0</v>
      </c>
      <c r="K448" s="0" t="e">
        <f aca="false">VLOOKUP(D448,Festival_List!$A$2:$B$100,2,0)</f>
        <v>#N/A</v>
      </c>
      <c r="L448" s="0" t="n">
        <f aca="false">ROUND(((F448+G448)-(D448+E448))*24,0)</f>
        <v>12</v>
      </c>
      <c r="M448" s="0" t="n">
        <f aca="false">IF(OR(WEEKDAY(D448)=1,WEEKDAY(D448)=7),1,0)</f>
        <v>0</v>
      </c>
      <c r="N448" s="0" t="str">
        <f aca="false">IF(AND(MONTH(D448)&gt;=3,MONTH(D448)&lt;=6),"Summer",IF(AND(MONTH(D448)&gt;=7,MONTH(D448)&lt;=9),"Monsoon","Winter"))</f>
        <v>Summer</v>
      </c>
      <c r="O448" s="0" t="str">
        <f aca="false">IF(AND(L448&gt;=22,L448&lt;=25,E448&gt;=TIME(18,0,0)),"24H Night", IF(AND(L448&gt;=22,L448&lt;=25,E448&lt;TIME(18,0,0)),"24H Day", IF(AND(L448&gt;=11,L448&lt;=13,E448&gt;=TIME(18,0,0)),"12H Night", IF(AND(L448&gt;=11,L448&lt;=13,E448&lt;TIME(18,0,0)),"12H Day", IF(AND(L448&lt;10,E448&gt;=TIME(18,0,0)),"Couple Night", "Couple Day")))))</f>
        <v>12H Night</v>
      </c>
      <c r="P448" s="0" t="n">
        <f aca="false">WEEKDAY(D448,2)</f>
        <v>4</v>
      </c>
      <c r="Q448" s="0" t="n">
        <f aca="false">MONTH(D448)</f>
        <v>6</v>
      </c>
      <c r="R448" s="0" t="str">
        <f aca="false">"Q"&amp;ROUNDUP(MONTH(D448)/3,0)</f>
        <v>Q2</v>
      </c>
    </row>
    <row r="449" customFormat="false" ht="102.95" hidden="false" customHeight="false" outlineLevel="0" collapsed="false">
      <c r="A449" s="7" t="s">
        <v>1279</v>
      </c>
      <c r="B449" s="7" t="s">
        <v>1280</v>
      </c>
      <c r="C449" s="13" t="s">
        <v>1281</v>
      </c>
      <c r="D449" s="11" t="n">
        <v>45828</v>
      </c>
      <c r="E449" s="12" t="n">
        <v>0.375</v>
      </c>
      <c r="F449" s="11" t="n">
        <v>45828</v>
      </c>
      <c r="G449" s="12" t="n">
        <v>0.75</v>
      </c>
      <c r="H449" s="10" t="n">
        <v>45831.3482846065</v>
      </c>
      <c r="I449" s="7" t="n">
        <v>2000</v>
      </c>
      <c r="J449" s="0" t="n">
        <f aca="false">IF(AND(D449&gt;=DATE(YEAR(D449),3,15),D449&lt;=DATE(YEAR(D449),6,10)),1,0)</f>
        <v>0</v>
      </c>
      <c r="K449" s="0" t="e">
        <f aca="false">VLOOKUP(D449,Festival_List!$A$2:$B$100,2,0)</f>
        <v>#N/A</v>
      </c>
      <c r="L449" s="0" t="n">
        <f aca="false">ROUND(((F449+G449)-(D449+E449))*24,0)</f>
        <v>9</v>
      </c>
      <c r="M449" s="0" t="n">
        <f aca="false">IF(OR(WEEKDAY(D449)=1,WEEKDAY(D449)=7),1,0)</f>
        <v>0</v>
      </c>
      <c r="N449" s="0" t="str">
        <f aca="false">IF(AND(MONTH(D449)&gt;=3,MONTH(D449)&lt;=6),"Summer",IF(AND(MONTH(D449)&gt;=7,MONTH(D449)&lt;=9),"Monsoon","Winter"))</f>
        <v>Summer</v>
      </c>
      <c r="O449" s="0" t="str">
        <f aca="false">IF(AND(L449&gt;=22,L449&lt;=25,E449&gt;=TIME(18,0,0)),"24H Night", IF(AND(L449&gt;=22,L449&lt;=25,E449&lt;TIME(18,0,0)),"24H Day", IF(AND(L449&gt;=11,L449&lt;=13,E449&gt;=TIME(18,0,0)),"12H Night", IF(AND(L449&gt;=11,L449&lt;=13,E449&lt;TIME(18,0,0)),"12H Day", IF(AND(L449&lt;10,E449&gt;=TIME(18,0,0)),"Couple Night", "Couple Day")))))</f>
        <v>Couple Day</v>
      </c>
      <c r="P449" s="0" t="n">
        <f aca="false">WEEKDAY(D449,2)</f>
        <v>5</v>
      </c>
      <c r="Q449" s="0" t="n">
        <f aca="false">MONTH(D449)</f>
        <v>6</v>
      </c>
      <c r="R449" s="0" t="str">
        <f aca="false">"Q"&amp;ROUNDUP(MONTH(D449)/3,0)</f>
        <v>Q2</v>
      </c>
    </row>
    <row r="450" customFormat="false" ht="115.65" hidden="false" customHeight="false" outlineLevel="0" collapsed="false">
      <c r="A450" s="7" t="s">
        <v>1282</v>
      </c>
      <c r="B450" s="7" t="s">
        <v>1283</v>
      </c>
      <c r="C450" s="13" t="s">
        <v>1284</v>
      </c>
      <c r="D450" s="11" t="n">
        <v>45828</v>
      </c>
      <c r="E450" s="12" t="n">
        <v>0.791666666700625</v>
      </c>
      <c r="F450" s="11" t="n">
        <v>45829</v>
      </c>
      <c r="G450" s="12" t="n">
        <v>0.75</v>
      </c>
      <c r="H450" s="10" t="n">
        <v>45829.0563488426</v>
      </c>
      <c r="I450" s="7" t="n">
        <v>4500</v>
      </c>
      <c r="J450" s="0" t="n">
        <f aca="false">IF(AND(D450&gt;=DATE(YEAR(D450),3,15),D450&lt;=DATE(YEAR(D450),6,10)),1,0)</f>
        <v>0</v>
      </c>
      <c r="K450" s="0" t="e">
        <f aca="false">VLOOKUP(D450,Festival_List!$A$2:$B$100,2,0)</f>
        <v>#N/A</v>
      </c>
      <c r="L450" s="0" t="n">
        <f aca="false">ROUND(((F450+G450)-(D450+E450))*24,0)</f>
        <v>23</v>
      </c>
      <c r="M450" s="0" t="n">
        <f aca="false">IF(OR(WEEKDAY(D450)=1,WEEKDAY(D450)=7),1,0)</f>
        <v>0</v>
      </c>
      <c r="N450" s="0" t="str">
        <f aca="false">IF(AND(MONTH(D450)&gt;=3,MONTH(D450)&lt;=6),"Summer",IF(AND(MONTH(D450)&gt;=7,MONTH(D450)&lt;=9),"Monsoon","Winter"))</f>
        <v>Summer</v>
      </c>
      <c r="O450" s="0" t="str">
        <f aca="false">IF(AND(L450&gt;=22,L450&lt;=25,E450&gt;=TIME(18,0,0)),"24H Night", IF(AND(L450&gt;=22,L450&lt;=25,E450&lt;TIME(18,0,0)),"24H Day", IF(AND(L450&gt;=11,L450&lt;=13,E450&gt;=TIME(18,0,0)),"12H Night", IF(AND(L450&gt;=11,L450&lt;=13,E450&lt;TIME(18,0,0)),"12H Day", IF(AND(L450&lt;10,E450&gt;=TIME(18,0,0)),"Couple Night", "Couple Day")))))</f>
        <v>24H Night</v>
      </c>
      <c r="P450" s="0" t="n">
        <f aca="false">WEEKDAY(D450,2)</f>
        <v>5</v>
      </c>
      <c r="Q450" s="0" t="n">
        <f aca="false">MONTH(D450)</f>
        <v>6</v>
      </c>
      <c r="R450" s="0" t="str">
        <f aca="false">"Q"&amp;ROUNDUP(MONTH(D450)/3,0)</f>
        <v>Q2</v>
      </c>
    </row>
    <row r="451" customFormat="false" ht="166.4" hidden="false" customHeight="false" outlineLevel="0" collapsed="false">
      <c r="A451" s="7" t="s">
        <v>1285</v>
      </c>
      <c r="B451" s="7" t="s">
        <v>1286</v>
      </c>
      <c r="C451" s="13" t="s">
        <v>1287</v>
      </c>
      <c r="D451" s="11" t="n">
        <v>45829</v>
      </c>
      <c r="E451" s="12" t="n">
        <v>0.791666666700625</v>
      </c>
      <c r="F451" s="11" t="n">
        <v>45830</v>
      </c>
      <c r="G451" s="12" t="n">
        <v>0.75</v>
      </c>
      <c r="H451" s="10" t="n">
        <v>45821.938224537</v>
      </c>
      <c r="I451" s="7" t="n">
        <v>0</v>
      </c>
      <c r="J451" s="0" t="n">
        <f aca="false">IF(AND(D451&gt;=DATE(YEAR(D451),3,15),D451&lt;=DATE(YEAR(D451),6,10)),1,0)</f>
        <v>0</v>
      </c>
      <c r="K451" s="0" t="e">
        <f aca="false">VLOOKUP(D451,Festival_List!$A$2:$B$100,2,0)</f>
        <v>#N/A</v>
      </c>
      <c r="L451" s="0" t="n">
        <f aca="false">ROUND(((F451+G451)-(D451+E451))*24,0)</f>
        <v>23</v>
      </c>
      <c r="M451" s="0" t="n">
        <f aca="false">IF(OR(WEEKDAY(D451)=1,WEEKDAY(D451)=7),1,0)</f>
        <v>1</v>
      </c>
      <c r="N451" s="0" t="str">
        <f aca="false">IF(AND(MONTH(D451)&gt;=3,MONTH(D451)&lt;=6),"Summer",IF(AND(MONTH(D451)&gt;=7,MONTH(D451)&lt;=9),"Monsoon","Winter"))</f>
        <v>Summer</v>
      </c>
      <c r="O451" s="0" t="str">
        <f aca="false">IF(AND(L451&gt;=22,L451&lt;=25,E451&gt;=TIME(18,0,0)),"24H Night", IF(AND(L451&gt;=22,L451&lt;=25,E451&lt;TIME(18,0,0)),"24H Day", IF(AND(L451&gt;=11,L451&lt;=13,E451&gt;=TIME(18,0,0)),"12H Night", IF(AND(L451&gt;=11,L451&lt;=13,E451&lt;TIME(18,0,0)),"12H Day", IF(AND(L451&lt;10,E451&gt;=TIME(18,0,0)),"Couple Night", "Couple Day")))))</f>
        <v>24H Night</v>
      </c>
      <c r="P451" s="0" t="n">
        <f aca="false">WEEKDAY(D451,2)</f>
        <v>6</v>
      </c>
      <c r="Q451" s="0" t="n">
        <f aca="false">MONTH(D451)</f>
        <v>6</v>
      </c>
      <c r="R451" s="0" t="str">
        <f aca="false">"Q"&amp;ROUNDUP(MONTH(D451)/3,0)</f>
        <v>Q2</v>
      </c>
    </row>
    <row r="452" customFormat="false" ht="141" hidden="false" customHeight="false" outlineLevel="0" collapsed="false">
      <c r="A452" s="7" t="s">
        <v>1288</v>
      </c>
      <c r="B452" s="7" t="s">
        <v>1289</v>
      </c>
      <c r="C452" s="13" t="s">
        <v>1290</v>
      </c>
      <c r="D452" s="11" t="n">
        <v>45830</v>
      </c>
      <c r="E452" s="12" t="n">
        <v>0.833333333299375</v>
      </c>
      <c r="F452" s="11" t="n">
        <v>45831</v>
      </c>
      <c r="G452" s="12" t="n">
        <v>0.75</v>
      </c>
      <c r="H452" s="10" t="n">
        <v>45830.5785795139</v>
      </c>
      <c r="I452" s="7" t="n">
        <v>3500</v>
      </c>
      <c r="J452" s="0" t="n">
        <f aca="false">IF(AND(D452&gt;=DATE(YEAR(D452),3,15),D452&lt;=DATE(YEAR(D452),6,10)),1,0)</f>
        <v>0</v>
      </c>
      <c r="K452" s="0" t="e">
        <f aca="false">VLOOKUP(D452,Festival_List!$A$2:$B$100,2,0)</f>
        <v>#N/A</v>
      </c>
      <c r="L452" s="0" t="n">
        <f aca="false">ROUND(((F452+G452)-(D452+E452))*24,0)</f>
        <v>22</v>
      </c>
      <c r="M452" s="0" t="n">
        <f aca="false">IF(OR(WEEKDAY(D452)=1,WEEKDAY(D452)=7),1,0)</f>
        <v>1</v>
      </c>
      <c r="N452" s="0" t="str">
        <f aca="false">IF(AND(MONTH(D452)&gt;=3,MONTH(D452)&lt;=6),"Summer",IF(AND(MONTH(D452)&gt;=7,MONTH(D452)&lt;=9),"Monsoon","Winter"))</f>
        <v>Summer</v>
      </c>
      <c r="O452" s="0" t="str">
        <f aca="false">IF(AND(L452&gt;=22,L452&lt;=25,E452&gt;=TIME(18,0,0)),"24H Night", IF(AND(L452&gt;=22,L452&lt;=25,E452&lt;TIME(18,0,0)),"24H Day", IF(AND(L452&gt;=11,L452&lt;=13,E452&gt;=TIME(18,0,0)),"12H Night", IF(AND(L452&gt;=11,L452&lt;=13,E452&lt;TIME(18,0,0)),"12H Day", IF(AND(L452&lt;10,E452&gt;=TIME(18,0,0)),"Couple Night", "Couple Day")))))</f>
        <v>24H Night</v>
      </c>
      <c r="P452" s="0" t="n">
        <f aca="false">WEEKDAY(D452,2)</f>
        <v>7</v>
      </c>
      <c r="Q452" s="0" t="n">
        <f aca="false">MONTH(D452)</f>
        <v>6</v>
      </c>
      <c r="R452" s="0" t="str">
        <f aca="false">"Q"&amp;ROUNDUP(MONTH(D452)/3,0)</f>
        <v>Q2</v>
      </c>
    </row>
    <row r="453" customFormat="false" ht="90.25" hidden="false" customHeight="false" outlineLevel="0" collapsed="false">
      <c r="A453" s="7" t="s">
        <v>1291</v>
      </c>
      <c r="B453" s="7" t="s">
        <v>1292</v>
      </c>
      <c r="C453" s="13" t="s">
        <v>1293</v>
      </c>
      <c r="D453" s="11" t="n">
        <v>45831</v>
      </c>
      <c r="E453" s="12" t="n">
        <v>0.791666666700625</v>
      </c>
      <c r="F453" s="11" t="n">
        <v>45832</v>
      </c>
      <c r="G453" s="12" t="n">
        <v>0.75</v>
      </c>
      <c r="H453" s="10" t="n">
        <v>45827.8995922454</v>
      </c>
      <c r="I453" s="7" t="n">
        <v>4000</v>
      </c>
      <c r="J453" s="0" t="n">
        <f aca="false">IF(AND(D453&gt;=DATE(YEAR(D453),3,15),D453&lt;=DATE(YEAR(D453),6,10)),1,0)</f>
        <v>0</v>
      </c>
      <c r="K453" s="0" t="e">
        <f aca="false">VLOOKUP(D453,Festival_List!$A$2:$B$100,2,0)</f>
        <v>#N/A</v>
      </c>
      <c r="L453" s="0" t="n">
        <f aca="false">ROUND(((F453+G453)-(D453+E453))*24,0)</f>
        <v>23</v>
      </c>
      <c r="M453" s="0" t="n">
        <f aca="false">IF(OR(WEEKDAY(D453)=1,WEEKDAY(D453)=7),1,0)</f>
        <v>0</v>
      </c>
      <c r="N453" s="0" t="str">
        <f aca="false">IF(AND(MONTH(D453)&gt;=3,MONTH(D453)&lt;=6),"Summer",IF(AND(MONTH(D453)&gt;=7,MONTH(D453)&lt;=9),"Monsoon","Winter"))</f>
        <v>Summer</v>
      </c>
      <c r="O453" s="0" t="str">
        <f aca="false">IF(AND(L453&gt;=22,L453&lt;=25,E453&gt;=TIME(18,0,0)),"24H Night", IF(AND(L453&gt;=22,L453&lt;=25,E453&lt;TIME(18,0,0)),"24H Day", IF(AND(L453&gt;=11,L453&lt;=13,E453&gt;=TIME(18,0,0)),"12H Night", IF(AND(L453&gt;=11,L453&lt;=13,E453&lt;TIME(18,0,0)),"12H Day", IF(AND(L453&lt;10,E453&gt;=TIME(18,0,0)),"Couple Night", "Couple Day")))))</f>
        <v>24H Night</v>
      </c>
      <c r="P453" s="0" t="n">
        <f aca="false">WEEKDAY(D453,2)</f>
        <v>1</v>
      </c>
      <c r="Q453" s="0" t="n">
        <f aca="false">MONTH(D453)</f>
        <v>6</v>
      </c>
      <c r="R453" s="0" t="str">
        <f aca="false">"Q"&amp;ROUNDUP(MONTH(D453)/3,0)</f>
        <v>Q2</v>
      </c>
    </row>
    <row r="454" customFormat="false" ht="90.25" hidden="false" customHeight="false" outlineLevel="0" collapsed="false">
      <c r="A454" s="7" t="s">
        <v>1294</v>
      </c>
      <c r="B454" s="7" t="s">
        <v>1295</v>
      </c>
      <c r="C454" s="13" t="s">
        <v>1296</v>
      </c>
      <c r="D454" s="11" t="n">
        <v>45835</v>
      </c>
      <c r="E454" s="12" t="n">
        <v>0.375</v>
      </c>
      <c r="F454" s="11" t="n">
        <v>45835</v>
      </c>
      <c r="G454" s="12" t="n">
        <v>0.75</v>
      </c>
      <c r="H454" s="10" t="n">
        <v>45833.5340178241</v>
      </c>
      <c r="I454" s="7" t="n">
        <v>2300</v>
      </c>
      <c r="J454" s="0" t="n">
        <f aca="false">IF(AND(D454&gt;=DATE(YEAR(D454),3,15),D454&lt;=DATE(YEAR(D454),6,10)),1,0)</f>
        <v>0</v>
      </c>
      <c r="K454" s="0" t="e">
        <f aca="false">VLOOKUP(D454,Festival_List!$A$2:$B$100,2,0)</f>
        <v>#N/A</v>
      </c>
      <c r="L454" s="0" t="n">
        <f aca="false">ROUND(((F454+G454)-(D454+E454))*24,0)</f>
        <v>9</v>
      </c>
      <c r="M454" s="0" t="n">
        <f aca="false">IF(OR(WEEKDAY(D454)=1,WEEKDAY(D454)=7),1,0)</f>
        <v>0</v>
      </c>
      <c r="N454" s="0" t="str">
        <f aca="false">IF(AND(MONTH(D454)&gt;=3,MONTH(D454)&lt;=6),"Summer",IF(AND(MONTH(D454)&gt;=7,MONTH(D454)&lt;=9),"Monsoon","Winter"))</f>
        <v>Summer</v>
      </c>
      <c r="O454" s="0" t="str">
        <f aca="false">IF(AND(L454&gt;=22,L454&lt;=25,E454&gt;=TIME(18,0,0)),"24H Night", IF(AND(L454&gt;=22,L454&lt;=25,E454&lt;TIME(18,0,0)),"24H Day", IF(AND(L454&gt;=11,L454&lt;=13,E454&gt;=TIME(18,0,0)),"12H Night", IF(AND(L454&gt;=11,L454&lt;=13,E454&lt;TIME(18,0,0)),"12H Day", IF(AND(L454&lt;10,E454&gt;=TIME(18,0,0)),"Couple Night", "Couple Day")))))</f>
        <v>Couple Day</v>
      </c>
      <c r="P454" s="0" t="n">
        <f aca="false">WEEKDAY(D454,2)</f>
        <v>5</v>
      </c>
      <c r="Q454" s="0" t="n">
        <f aca="false">MONTH(D454)</f>
        <v>6</v>
      </c>
      <c r="R454" s="0" t="str">
        <f aca="false">"Q"&amp;ROUNDUP(MONTH(D454)/3,0)</f>
        <v>Q2</v>
      </c>
    </row>
    <row r="455" customFormat="false" ht="90.25" hidden="false" customHeight="false" outlineLevel="0" collapsed="false">
      <c r="A455" s="7" t="s">
        <v>1297</v>
      </c>
      <c r="B455" s="7" t="s">
        <v>1298</v>
      </c>
      <c r="C455" s="13" t="s">
        <v>1299</v>
      </c>
      <c r="D455" s="11" t="n">
        <v>45836</v>
      </c>
      <c r="E455" s="12" t="n">
        <v>0.833333333299375</v>
      </c>
      <c r="F455" s="11" t="n">
        <v>45837</v>
      </c>
      <c r="G455" s="12" t="n">
        <v>0.333333333299375</v>
      </c>
      <c r="H455" s="10" t="n">
        <v>45835.7941497685</v>
      </c>
      <c r="I455" s="7" t="n">
        <v>3000</v>
      </c>
      <c r="J455" s="0" t="n">
        <f aca="false">IF(AND(D455&gt;=DATE(YEAR(D455),3,15),D455&lt;=DATE(YEAR(D455),6,10)),1,0)</f>
        <v>0</v>
      </c>
      <c r="K455" s="0" t="e">
        <f aca="false">VLOOKUP(D455,Festival_List!$A$2:$B$100,2,0)</f>
        <v>#N/A</v>
      </c>
      <c r="L455" s="0" t="n">
        <f aca="false">ROUND(((F455+G455)-(D455+E455))*24,0)</f>
        <v>12</v>
      </c>
      <c r="M455" s="0" t="n">
        <f aca="false">IF(OR(WEEKDAY(D455)=1,WEEKDAY(D455)=7),1,0)</f>
        <v>1</v>
      </c>
      <c r="N455" s="0" t="str">
        <f aca="false">IF(AND(MONTH(D455)&gt;=3,MONTH(D455)&lt;=6),"Summer",IF(AND(MONTH(D455)&gt;=7,MONTH(D455)&lt;=9),"Monsoon","Winter"))</f>
        <v>Summer</v>
      </c>
      <c r="O455" s="0" t="str">
        <f aca="false">IF(AND(L455&gt;=22,L455&lt;=25,E455&gt;=TIME(18,0,0)),"24H Night", IF(AND(L455&gt;=22,L455&lt;=25,E455&lt;TIME(18,0,0)),"24H Day", IF(AND(L455&gt;=11,L455&lt;=13,E455&gt;=TIME(18,0,0)),"12H Night", IF(AND(L455&gt;=11,L455&lt;=13,E455&lt;TIME(18,0,0)),"12H Day", IF(AND(L455&lt;10,E455&gt;=TIME(18,0,0)),"Couple Night", "Couple Day")))))</f>
        <v>12H Night</v>
      </c>
      <c r="P455" s="0" t="n">
        <f aca="false">WEEKDAY(D455,2)</f>
        <v>6</v>
      </c>
      <c r="Q455" s="0" t="n">
        <f aca="false">MONTH(D455)</f>
        <v>6</v>
      </c>
      <c r="R455" s="0" t="str">
        <f aca="false">"Q"&amp;ROUNDUP(MONTH(D455)/3,0)</f>
        <v>Q2</v>
      </c>
    </row>
    <row r="456" customFormat="false" ht="64.9" hidden="false" customHeight="false" outlineLevel="0" collapsed="false">
      <c r="A456" s="7" t="s">
        <v>1300</v>
      </c>
      <c r="B456" s="7" t="s">
        <v>1301</v>
      </c>
      <c r="C456" s="13" t="s">
        <v>1302</v>
      </c>
      <c r="D456" s="11" t="n">
        <v>45837</v>
      </c>
      <c r="E456" s="12" t="n">
        <v>0.375</v>
      </c>
      <c r="F456" s="11" t="n">
        <v>45837</v>
      </c>
      <c r="G456" s="12" t="n">
        <v>0.75</v>
      </c>
      <c r="H456" s="10" t="n">
        <v>45835.6321564815</v>
      </c>
      <c r="I456" s="7" t="n">
        <v>3500</v>
      </c>
      <c r="J456" s="0" t="n">
        <f aca="false">IF(AND(D456&gt;=DATE(YEAR(D456),3,15),D456&lt;=DATE(YEAR(D456),6,10)),1,0)</f>
        <v>0</v>
      </c>
      <c r="K456" s="0" t="e">
        <f aca="false">VLOOKUP(D456,Festival_List!$A$2:$B$100,2,0)</f>
        <v>#N/A</v>
      </c>
      <c r="L456" s="0" t="n">
        <f aca="false">ROUND(((F456+G456)-(D456+E456))*24,0)</f>
        <v>9</v>
      </c>
      <c r="M456" s="0" t="n">
        <f aca="false">IF(OR(WEEKDAY(D456)=1,WEEKDAY(D456)=7),1,0)</f>
        <v>1</v>
      </c>
      <c r="N456" s="0" t="str">
        <f aca="false">IF(AND(MONTH(D456)&gt;=3,MONTH(D456)&lt;=6),"Summer",IF(AND(MONTH(D456)&gt;=7,MONTH(D456)&lt;=9),"Monsoon","Winter"))</f>
        <v>Summer</v>
      </c>
      <c r="O456" s="0" t="str">
        <f aca="false">IF(AND(L456&gt;=22,L456&lt;=25,E456&gt;=TIME(18,0,0)),"24H Night", IF(AND(L456&gt;=22,L456&lt;=25,E456&lt;TIME(18,0,0)),"24H Day", IF(AND(L456&gt;=11,L456&lt;=13,E456&gt;=TIME(18,0,0)),"12H Night", IF(AND(L456&gt;=11,L456&lt;=13,E456&lt;TIME(18,0,0)),"12H Day", IF(AND(L456&lt;10,E456&gt;=TIME(18,0,0)),"Couple Night", "Couple Day")))))</f>
        <v>Couple Day</v>
      </c>
      <c r="P456" s="0" t="n">
        <f aca="false">WEEKDAY(D456,2)</f>
        <v>7</v>
      </c>
      <c r="Q456" s="0" t="n">
        <f aca="false">MONTH(D456)</f>
        <v>6</v>
      </c>
      <c r="R456" s="0" t="str">
        <f aca="false">"Q"&amp;ROUNDUP(MONTH(D456)/3,0)</f>
        <v>Q2</v>
      </c>
    </row>
    <row r="457" customFormat="false" ht="128.35" hidden="false" customHeight="false" outlineLevel="0" collapsed="false">
      <c r="A457" s="7" t="s">
        <v>1303</v>
      </c>
      <c r="B457" s="7" t="s">
        <v>1304</v>
      </c>
      <c r="C457" s="13" t="s">
        <v>1305</v>
      </c>
      <c r="D457" s="11" t="n">
        <v>45837</v>
      </c>
      <c r="E457" s="12" t="n">
        <v>0.791666666700625</v>
      </c>
      <c r="F457" s="11" t="n">
        <v>45838</v>
      </c>
      <c r="G457" s="12" t="n">
        <v>0.75</v>
      </c>
      <c r="H457" s="10" t="n">
        <v>45838.9305368056</v>
      </c>
      <c r="I457" s="7" t="n">
        <v>3500</v>
      </c>
      <c r="J457" s="0" t="n">
        <f aca="false">IF(AND(D457&gt;=DATE(YEAR(D457),3,15),D457&lt;=DATE(YEAR(D457),6,10)),1,0)</f>
        <v>0</v>
      </c>
      <c r="K457" s="0" t="e">
        <f aca="false">VLOOKUP(D457,Festival_List!$A$2:$B$100,2,0)</f>
        <v>#N/A</v>
      </c>
      <c r="L457" s="0" t="n">
        <f aca="false">ROUND(((F457+G457)-(D457+E457))*24,0)</f>
        <v>23</v>
      </c>
      <c r="M457" s="0" t="n">
        <f aca="false">IF(OR(WEEKDAY(D457)=1,WEEKDAY(D457)=7),1,0)</f>
        <v>1</v>
      </c>
      <c r="N457" s="0" t="str">
        <f aca="false">IF(AND(MONTH(D457)&gt;=3,MONTH(D457)&lt;=6),"Summer",IF(AND(MONTH(D457)&gt;=7,MONTH(D457)&lt;=9),"Monsoon","Winter"))</f>
        <v>Summer</v>
      </c>
      <c r="O457" s="0" t="str">
        <f aca="false">IF(AND(L457&gt;=22,L457&lt;=25,E457&gt;=TIME(18,0,0)),"24H Night", IF(AND(L457&gt;=22,L457&lt;=25,E457&lt;TIME(18,0,0)),"24H Day", IF(AND(L457&gt;=11,L457&lt;=13,E457&gt;=TIME(18,0,0)),"12H Night", IF(AND(L457&gt;=11,L457&lt;=13,E457&lt;TIME(18,0,0)),"12H Day", IF(AND(L457&lt;10,E457&gt;=TIME(18,0,0)),"Couple Night", "Couple Day")))))</f>
        <v>24H Night</v>
      </c>
      <c r="P457" s="0" t="n">
        <f aca="false">WEEKDAY(D457,2)</f>
        <v>7</v>
      </c>
      <c r="Q457" s="0" t="n">
        <f aca="false">MONTH(D457)</f>
        <v>6</v>
      </c>
      <c r="R457" s="0" t="str">
        <f aca="false">"Q"&amp;ROUNDUP(MONTH(D457)/3,0)</f>
        <v>Q2</v>
      </c>
    </row>
    <row r="458" customFormat="false" ht="52.2" hidden="false" customHeight="false" outlineLevel="0" collapsed="false">
      <c r="A458" s="7" t="s">
        <v>1306</v>
      </c>
      <c r="B458" s="7" t="s">
        <v>1307</v>
      </c>
      <c r="C458" s="13" t="s">
        <v>1308</v>
      </c>
      <c r="D458" s="11" t="n">
        <v>45838</v>
      </c>
      <c r="E458" s="12" t="n">
        <v>0.375</v>
      </c>
      <c r="F458" s="11" t="n">
        <v>45838</v>
      </c>
      <c r="G458" s="12" t="n">
        <v>0.541666666700625</v>
      </c>
      <c r="H458" s="10" t="n">
        <v>45838.364653588</v>
      </c>
      <c r="I458" s="7" t="n">
        <v>500</v>
      </c>
      <c r="J458" s="0" t="n">
        <f aca="false">IF(AND(D458&gt;=DATE(YEAR(D458),3,15),D458&lt;=DATE(YEAR(D458),6,10)),1,0)</f>
        <v>0</v>
      </c>
      <c r="K458" s="0" t="e">
        <f aca="false">VLOOKUP(D458,Festival_List!$A$2:$B$100,2,0)</f>
        <v>#N/A</v>
      </c>
      <c r="L458" s="0" t="n">
        <f aca="false">ROUND(((F458+G458)-(D458+E458))*24,0)</f>
        <v>4</v>
      </c>
      <c r="M458" s="0" t="n">
        <f aca="false">IF(OR(WEEKDAY(D458)=1,WEEKDAY(D458)=7),1,0)</f>
        <v>0</v>
      </c>
      <c r="N458" s="0" t="str">
        <f aca="false">IF(AND(MONTH(D458)&gt;=3,MONTH(D458)&lt;=6),"Summer",IF(AND(MONTH(D458)&gt;=7,MONTH(D458)&lt;=9),"Monsoon","Winter"))</f>
        <v>Summer</v>
      </c>
      <c r="O458" s="0" t="str">
        <f aca="false">IF(AND(L458&gt;=22,L458&lt;=25,E458&gt;=TIME(18,0,0)),"24H Night", IF(AND(L458&gt;=22,L458&lt;=25,E458&lt;TIME(18,0,0)),"24H Day", IF(AND(L458&gt;=11,L458&lt;=13,E458&gt;=TIME(18,0,0)),"12H Night", IF(AND(L458&gt;=11,L458&lt;=13,E458&lt;TIME(18,0,0)),"12H Day", IF(AND(L458&lt;10,E458&gt;=TIME(18,0,0)),"Couple Night", "Couple Day")))))</f>
        <v>Couple Day</v>
      </c>
      <c r="P458" s="0" t="n">
        <f aca="false">WEEKDAY(D458,2)</f>
        <v>1</v>
      </c>
      <c r="Q458" s="0" t="n">
        <f aca="false">MONTH(D458)</f>
        <v>6</v>
      </c>
      <c r="R458" s="0" t="str">
        <f aca="false">"Q"&amp;ROUNDUP(MONTH(D458)/3,0)</f>
        <v>Q2</v>
      </c>
    </row>
    <row r="459" customFormat="false" ht="90.25" hidden="false" customHeight="false" outlineLevel="0" collapsed="false">
      <c r="A459" s="7" t="s">
        <v>1309</v>
      </c>
      <c r="B459" s="7" t="s">
        <v>1310</v>
      </c>
      <c r="C459" s="13" t="s">
        <v>1311</v>
      </c>
      <c r="D459" s="11" t="n">
        <v>45843</v>
      </c>
      <c r="E459" s="12" t="n">
        <v>0.416666666700625</v>
      </c>
      <c r="F459" s="11" t="n">
        <v>45843</v>
      </c>
      <c r="G459" s="12" t="n">
        <v>0.708333333299375</v>
      </c>
      <c r="H459" s="10" t="n">
        <v>45842.9619199074</v>
      </c>
      <c r="I459" s="7" t="n">
        <v>2000</v>
      </c>
      <c r="J459" s="0" t="n">
        <f aca="false">IF(AND(D459&gt;=DATE(YEAR(D459),3,15),D459&lt;=DATE(YEAR(D459),6,10)),1,0)</f>
        <v>0</v>
      </c>
      <c r="K459" s="0" t="e">
        <f aca="false">VLOOKUP(D459,Festival_List!$A$2:$B$100,2,0)</f>
        <v>#N/A</v>
      </c>
      <c r="L459" s="0" t="n">
        <f aca="false">ROUND(((F459+G459)-(D459+E459))*24,0)</f>
        <v>7</v>
      </c>
      <c r="M459" s="0" t="n">
        <f aca="false">IF(OR(WEEKDAY(D459)=1,WEEKDAY(D459)=7),1,0)</f>
        <v>1</v>
      </c>
      <c r="N459" s="0" t="str">
        <f aca="false">IF(AND(MONTH(D459)&gt;=3,MONTH(D459)&lt;=6),"Summer",IF(AND(MONTH(D459)&gt;=7,MONTH(D459)&lt;=9),"Monsoon","Winter"))</f>
        <v>Monsoon</v>
      </c>
      <c r="O459" s="0" t="str">
        <f aca="false">IF(AND(L459&gt;=22,L459&lt;=25,E459&gt;=TIME(18,0,0)),"24H Night", IF(AND(L459&gt;=22,L459&lt;=25,E459&lt;TIME(18,0,0)),"24H Day", IF(AND(L459&gt;=11,L459&lt;=13,E459&gt;=TIME(18,0,0)),"12H Night", IF(AND(L459&gt;=11,L459&lt;=13,E459&lt;TIME(18,0,0)),"12H Day", IF(AND(L459&lt;10,E459&gt;=TIME(18,0,0)),"Couple Night", "Couple Day")))))</f>
        <v>Couple Day</v>
      </c>
      <c r="P459" s="0" t="n">
        <f aca="false">WEEKDAY(D459,2)</f>
        <v>6</v>
      </c>
      <c r="Q459" s="0" t="n">
        <f aca="false">MONTH(D459)</f>
        <v>7</v>
      </c>
      <c r="R459" s="0" t="str">
        <f aca="false">"Q"&amp;ROUNDUP(MONTH(D459)/3,0)</f>
        <v>Q3</v>
      </c>
    </row>
    <row r="460" customFormat="false" ht="90.25" hidden="false" customHeight="false" outlineLevel="0" collapsed="false">
      <c r="A460" s="7" t="s">
        <v>1312</v>
      </c>
      <c r="B460" s="7" t="s">
        <v>1313</v>
      </c>
      <c r="C460" s="13" t="s">
        <v>1314</v>
      </c>
      <c r="D460" s="11" t="n">
        <v>45843</v>
      </c>
      <c r="E460" s="12" t="n">
        <v>0.791666666700625</v>
      </c>
      <c r="F460" s="11" t="n">
        <v>45844</v>
      </c>
      <c r="G460" s="12" t="n">
        <v>0.75</v>
      </c>
      <c r="H460" s="10" t="n">
        <v>45832.5929024306</v>
      </c>
      <c r="I460" s="7" t="n">
        <v>5000</v>
      </c>
      <c r="J460" s="0" t="n">
        <f aca="false">IF(AND(D460&gt;=DATE(YEAR(D460),3,15),D460&lt;=DATE(YEAR(D460),6,10)),1,0)</f>
        <v>0</v>
      </c>
      <c r="K460" s="0" t="e">
        <f aca="false">VLOOKUP(D460,Festival_List!$A$2:$B$100,2,0)</f>
        <v>#N/A</v>
      </c>
      <c r="L460" s="0" t="n">
        <f aca="false">ROUND(((F460+G460)-(D460+E460))*24,0)</f>
        <v>23</v>
      </c>
      <c r="M460" s="0" t="n">
        <f aca="false">IF(OR(WEEKDAY(D460)=1,WEEKDAY(D460)=7),1,0)</f>
        <v>1</v>
      </c>
      <c r="N460" s="0" t="str">
        <f aca="false">IF(AND(MONTH(D460)&gt;=3,MONTH(D460)&lt;=6),"Summer",IF(AND(MONTH(D460)&gt;=7,MONTH(D460)&lt;=9),"Monsoon","Winter"))</f>
        <v>Monsoon</v>
      </c>
      <c r="O460" s="0" t="str">
        <f aca="false">IF(AND(L460&gt;=22,L460&lt;=25,E460&gt;=TIME(18,0,0)),"24H Night", IF(AND(L460&gt;=22,L460&lt;=25,E460&lt;TIME(18,0,0)),"24H Day", IF(AND(L460&gt;=11,L460&lt;=13,E460&gt;=TIME(18,0,0)),"12H Night", IF(AND(L460&gt;=11,L460&lt;=13,E460&lt;TIME(18,0,0)),"12H Day", IF(AND(L460&lt;10,E460&gt;=TIME(18,0,0)),"Couple Night", "Couple Day")))))</f>
        <v>24H Night</v>
      </c>
      <c r="P460" s="0" t="n">
        <f aca="false">WEEKDAY(D460,2)</f>
        <v>6</v>
      </c>
      <c r="Q460" s="0" t="n">
        <f aca="false">MONTH(D460)</f>
        <v>7</v>
      </c>
      <c r="R460" s="0" t="str">
        <f aca="false">"Q"&amp;ROUNDUP(MONTH(D460)/3,0)</f>
        <v>Q3</v>
      </c>
    </row>
    <row r="461" customFormat="false" ht="90.25" hidden="false" customHeight="false" outlineLevel="0" collapsed="false">
      <c r="A461" s="7" t="s">
        <v>1315</v>
      </c>
      <c r="B461" s="7" t="s">
        <v>1316</v>
      </c>
      <c r="C461" s="13" t="s">
        <v>1317</v>
      </c>
      <c r="D461" s="11" t="n">
        <v>45847</v>
      </c>
      <c r="E461" s="12" t="n">
        <v>0.958333333299375</v>
      </c>
      <c r="F461" s="11" t="n">
        <v>45848</v>
      </c>
      <c r="G461" s="12" t="n">
        <v>0.375</v>
      </c>
      <c r="H461" s="10" t="n">
        <v>45847.9347934028</v>
      </c>
      <c r="I461" s="7" t="n">
        <v>2000</v>
      </c>
      <c r="J461" s="0" t="n">
        <f aca="false">IF(AND(D461&gt;=DATE(YEAR(D461),3,15),D461&lt;=DATE(YEAR(D461),6,10)),1,0)</f>
        <v>0</v>
      </c>
      <c r="K461" s="0" t="e">
        <f aca="false">VLOOKUP(D461,Festival_List!$A$2:$B$100,2,0)</f>
        <v>#N/A</v>
      </c>
      <c r="L461" s="0" t="n">
        <f aca="false">ROUND(((F461+G461)-(D461+E461))*24,0)</f>
        <v>10</v>
      </c>
      <c r="M461" s="0" t="n">
        <f aca="false">IF(OR(WEEKDAY(D461)=1,WEEKDAY(D461)=7),1,0)</f>
        <v>0</v>
      </c>
      <c r="N461" s="0" t="str">
        <f aca="false">IF(AND(MONTH(D461)&gt;=3,MONTH(D461)&lt;=6),"Summer",IF(AND(MONTH(D461)&gt;=7,MONTH(D461)&lt;=9),"Monsoon","Winter"))</f>
        <v>Monsoon</v>
      </c>
      <c r="O461" s="0" t="str">
        <f aca="false">IF(AND(L461&gt;=22,L461&lt;=25,E461&gt;=TIME(18,0,0)),"24H Night", IF(AND(L461&gt;=22,L461&lt;=25,E461&lt;TIME(18,0,0)),"24H Day", IF(AND(L461&gt;=11,L461&lt;=13,E461&gt;=TIME(18,0,0)),"12H Night", IF(AND(L461&gt;=11,L461&lt;=13,E461&lt;TIME(18,0,0)),"12H Day", IF(AND(L461&lt;10,E461&gt;=TIME(18,0,0)),"Couple Night", "Couple Day")))))</f>
        <v>Couple Day</v>
      </c>
      <c r="P461" s="0" t="n">
        <f aca="false">WEEKDAY(D461,2)</f>
        <v>3</v>
      </c>
      <c r="Q461" s="0" t="n">
        <f aca="false">MONTH(D461)</f>
        <v>7</v>
      </c>
      <c r="R461" s="0" t="str">
        <f aca="false">"Q"&amp;ROUNDUP(MONTH(D461)/3,0)</f>
        <v>Q3</v>
      </c>
    </row>
    <row r="462" customFormat="false" ht="77.6" hidden="false" customHeight="false" outlineLevel="0" collapsed="false">
      <c r="A462" s="7" t="s">
        <v>1318</v>
      </c>
      <c r="B462" s="7" t="s">
        <v>1319</v>
      </c>
      <c r="C462" s="13" t="s">
        <v>1320</v>
      </c>
      <c r="D462" s="11" t="n">
        <v>45848</v>
      </c>
      <c r="E462" s="12" t="n">
        <v>0.416666666700625</v>
      </c>
      <c r="F462" s="11" t="n">
        <v>45848</v>
      </c>
      <c r="G462" s="12" t="n">
        <v>0.75</v>
      </c>
      <c r="H462" s="10" t="n">
        <v>45847.9352221065</v>
      </c>
      <c r="I462" s="7" t="n">
        <v>2000</v>
      </c>
      <c r="J462" s="0" t="n">
        <f aca="false">IF(AND(D462&gt;=DATE(YEAR(D462),3,15),D462&lt;=DATE(YEAR(D462),6,10)),1,0)</f>
        <v>0</v>
      </c>
      <c r="K462" s="0" t="e">
        <f aca="false">VLOOKUP(D462,Festival_List!$A$2:$B$100,2,0)</f>
        <v>#N/A</v>
      </c>
      <c r="L462" s="0" t="n">
        <f aca="false">ROUND(((F462+G462)-(D462+E462))*24,0)</f>
        <v>8</v>
      </c>
      <c r="M462" s="0" t="n">
        <f aca="false">IF(OR(WEEKDAY(D462)=1,WEEKDAY(D462)=7),1,0)</f>
        <v>0</v>
      </c>
      <c r="N462" s="0" t="str">
        <f aca="false">IF(AND(MONTH(D462)&gt;=3,MONTH(D462)&lt;=6),"Summer",IF(AND(MONTH(D462)&gt;=7,MONTH(D462)&lt;=9),"Monsoon","Winter"))</f>
        <v>Monsoon</v>
      </c>
      <c r="O462" s="0" t="str">
        <f aca="false">IF(AND(L462&gt;=22,L462&lt;=25,E462&gt;=TIME(18,0,0)),"24H Night", IF(AND(L462&gt;=22,L462&lt;=25,E462&lt;TIME(18,0,0)),"24H Day", IF(AND(L462&gt;=11,L462&lt;=13,E462&gt;=TIME(18,0,0)),"12H Night", IF(AND(L462&gt;=11,L462&lt;=13,E462&lt;TIME(18,0,0)),"12H Day", IF(AND(L462&lt;10,E462&gt;=TIME(18,0,0)),"Couple Night", "Couple Day")))))</f>
        <v>Couple Day</v>
      </c>
      <c r="P462" s="0" t="n">
        <f aca="false">WEEKDAY(D462,2)</f>
        <v>4</v>
      </c>
      <c r="Q462" s="0" t="n">
        <f aca="false">MONTH(D462)</f>
        <v>7</v>
      </c>
      <c r="R462" s="0" t="str">
        <f aca="false">"Q"&amp;ROUNDUP(MONTH(D462)/3,0)</f>
        <v>Q3</v>
      </c>
    </row>
    <row r="463" customFormat="false" ht="102.95" hidden="false" customHeight="false" outlineLevel="0" collapsed="false">
      <c r="A463" s="7" t="s">
        <v>1321</v>
      </c>
      <c r="B463" s="7" t="s">
        <v>1322</v>
      </c>
      <c r="C463" s="13" t="s">
        <v>1323</v>
      </c>
      <c r="D463" s="11" t="n">
        <v>45849</v>
      </c>
      <c r="E463" s="12" t="n">
        <v>0.458333333299375</v>
      </c>
      <c r="F463" s="11" t="n">
        <v>45849</v>
      </c>
      <c r="G463" s="12" t="n">
        <v>0.75</v>
      </c>
      <c r="H463" s="10" t="n">
        <v>45849.4539201389</v>
      </c>
      <c r="I463" s="7" t="n">
        <v>2000</v>
      </c>
      <c r="J463" s="0" t="n">
        <f aca="false">IF(AND(D463&gt;=DATE(YEAR(D463),3,15),D463&lt;=DATE(YEAR(D463),6,10)),1,0)</f>
        <v>0</v>
      </c>
      <c r="K463" s="0" t="e">
        <f aca="false">VLOOKUP(D463,Festival_List!$A$2:$B$100,2,0)</f>
        <v>#N/A</v>
      </c>
      <c r="L463" s="0" t="n">
        <f aca="false">ROUND(((F463+G463)-(D463+E463))*24,0)</f>
        <v>7</v>
      </c>
      <c r="M463" s="0" t="n">
        <f aca="false">IF(OR(WEEKDAY(D463)=1,WEEKDAY(D463)=7),1,0)</f>
        <v>0</v>
      </c>
      <c r="N463" s="0" t="str">
        <f aca="false">IF(AND(MONTH(D463)&gt;=3,MONTH(D463)&lt;=6),"Summer",IF(AND(MONTH(D463)&gt;=7,MONTH(D463)&lt;=9),"Monsoon","Winter"))</f>
        <v>Monsoon</v>
      </c>
      <c r="O463" s="0" t="str">
        <f aca="false">IF(AND(L463&gt;=22,L463&lt;=25,E463&gt;=TIME(18,0,0)),"24H Night", IF(AND(L463&gt;=22,L463&lt;=25,E463&lt;TIME(18,0,0)),"24H Day", IF(AND(L463&gt;=11,L463&lt;=13,E463&gt;=TIME(18,0,0)),"12H Night", IF(AND(L463&gt;=11,L463&lt;=13,E463&lt;TIME(18,0,0)),"12H Day", IF(AND(L463&lt;10,E463&gt;=TIME(18,0,0)),"Couple Night", "Couple Day")))))</f>
        <v>Couple Day</v>
      </c>
      <c r="P463" s="0" t="n">
        <f aca="false">WEEKDAY(D463,2)</f>
        <v>5</v>
      </c>
      <c r="Q463" s="0" t="n">
        <f aca="false">MONTH(D463)</f>
        <v>7</v>
      </c>
      <c r="R463" s="0" t="str">
        <f aca="false">"Q"&amp;ROUNDUP(MONTH(D463)/3,0)</f>
        <v>Q3</v>
      </c>
    </row>
    <row r="464" customFormat="false" ht="102.95" hidden="false" customHeight="false" outlineLevel="0" collapsed="false">
      <c r="A464" s="7" t="s">
        <v>1324</v>
      </c>
      <c r="B464" s="7" t="s">
        <v>1325</v>
      </c>
      <c r="C464" s="13" t="s">
        <v>1326</v>
      </c>
      <c r="D464" s="11" t="n">
        <v>45850</v>
      </c>
      <c r="E464" s="12" t="n">
        <v>0.375</v>
      </c>
      <c r="F464" s="11" t="n">
        <v>45850</v>
      </c>
      <c r="G464" s="12" t="n">
        <v>0.75</v>
      </c>
      <c r="H464" s="10" t="n">
        <v>45849.7971611111</v>
      </c>
      <c r="I464" s="7" t="n">
        <v>2000</v>
      </c>
      <c r="J464" s="0" t="n">
        <f aca="false">IF(AND(D464&gt;=DATE(YEAR(D464),3,15),D464&lt;=DATE(YEAR(D464),6,10)),1,0)</f>
        <v>0</v>
      </c>
      <c r="K464" s="0" t="e">
        <f aca="false">VLOOKUP(D464,Festival_List!$A$2:$B$100,2,0)</f>
        <v>#N/A</v>
      </c>
      <c r="L464" s="0" t="n">
        <f aca="false">ROUND(((F464+G464)-(D464+E464))*24,0)</f>
        <v>9</v>
      </c>
      <c r="M464" s="0" t="n">
        <f aca="false">IF(OR(WEEKDAY(D464)=1,WEEKDAY(D464)=7),1,0)</f>
        <v>1</v>
      </c>
      <c r="N464" s="0" t="str">
        <f aca="false">IF(AND(MONTH(D464)&gt;=3,MONTH(D464)&lt;=6),"Summer",IF(AND(MONTH(D464)&gt;=7,MONTH(D464)&lt;=9),"Monsoon","Winter"))</f>
        <v>Monsoon</v>
      </c>
      <c r="O464" s="0" t="str">
        <f aca="false">IF(AND(L464&gt;=22,L464&lt;=25,E464&gt;=TIME(18,0,0)),"24H Night", IF(AND(L464&gt;=22,L464&lt;=25,E464&lt;TIME(18,0,0)),"24H Day", IF(AND(L464&gt;=11,L464&lt;=13,E464&gt;=TIME(18,0,0)),"12H Night", IF(AND(L464&gt;=11,L464&lt;=13,E464&lt;TIME(18,0,0)),"12H Day", IF(AND(L464&lt;10,E464&gt;=TIME(18,0,0)),"Couple Night", "Couple Day")))))</f>
        <v>Couple Day</v>
      </c>
      <c r="P464" s="0" t="n">
        <f aca="false">WEEKDAY(D464,2)</f>
        <v>6</v>
      </c>
      <c r="Q464" s="0" t="n">
        <f aca="false">MONTH(D464)</f>
        <v>7</v>
      </c>
      <c r="R464" s="0" t="str">
        <f aca="false">"Q"&amp;ROUNDUP(MONTH(D464)/3,0)</f>
        <v>Q3</v>
      </c>
    </row>
    <row r="465" customFormat="false" ht="90.25" hidden="false" customHeight="false" outlineLevel="0" collapsed="false">
      <c r="A465" s="7" t="s">
        <v>1327</v>
      </c>
      <c r="B465" s="7" t="s">
        <v>1328</v>
      </c>
      <c r="C465" s="13" t="s">
        <v>1329</v>
      </c>
      <c r="D465" s="11" t="n">
        <v>45850</v>
      </c>
      <c r="E465" s="12" t="n">
        <v>0.791666666700625</v>
      </c>
      <c r="F465" s="11" t="n">
        <v>45851</v>
      </c>
      <c r="G465" s="12" t="n">
        <v>0.291666666700625</v>
      </c>
      <c r="H465" s="10" t="n">
        <v>45841.8473872685</v>
      </c>
      <c r="I465" s="7" t="n">
        <v>3000</v>
      </c>
      <c r="J465" s="0" t="n">
        <f aca="false">IF(AND(D465&gt;=DATE(YEAR(D465),3,15),D465&lt;=DATE(YEAR(D465),6,10)),1,0)</f>
        <v>0</v>
      </c>
      <c r="K465" s="0" t="e">
        <f aca="false">VLOOKUP(D465,Festival_List!$A$2:$B$100,2,0)</f>
        <v>#N/A</v>
      </c>
      <c r="L465" s="0" t="n">
        <f aca="false">ROUND(((F465+G465)-(D465+E465))*24,0)</f>
        <v>12</v>
      </c>
      <c r="M465" s="0" t="n">
        <f aca="false">IF(OR(WEEKDAY(D465)=1,WEEKDAY(D465)=7),1,0)</f>
        <v>1</v>
      </c>
      <c r="N465" s="0" t="str">
        <f aca="false">IF(AND(MONTH(D465)&gt;=3,MONTH(D465)&lt;=6),"Summer",IF(AND(MONTH(D465)&gt;=7,MONTH(D465)&lt;=9),"Monsoon","Winter"))</f>
        <v>Monsoon</v>
      </c>
      <c r="O465" s="0" t="str">
        <f aca="false">IF(AND(L465&gt;=22,L465&lt;=25,E465&gt;=TIME(18,0,0)),"24H Night", IF(AND(L465&gt;=22,L465&lt;=25,E465&lt;TIME(18,0,0)),"24H Day", IF(AND(L465&gt;=11,L465&lt;=13,E465&gt;=TIME(18,0,0)),"12H Night", IF(AND(L465&gt;=11,L465&lt;=13,E465&lt;TIME(18,0,0)),"12H Day", IF(AND(L465&lt;10,E465&gt;=TIME(18,0,0)),"Couple Night", "Couple Day")))))</f>
        <v>12H Night</v>
      </c>
      <c r="P465" s="0" t="n">
        <f aca="false">WEEKDAY(D465,2)</f>
        <v>6</v>
      </c>
      <c r="Q465" s="0" t="n">
        <f aca="false">MONTH(D465)</f>
        <v>7</v>
      </c>
      <c r="R465" s="0" t="str">
        <f aca="false">"Q"&amp;ROUNDUP(MONTH(D465)/3,0)</f>
        <v>Q3</v>
      </c>
    </row>
    <row r="466" customFormat="false" ht="90.25" hidden="false" customHeight="false" outlineLevel="0" collapsed="false">
      <c r="A466" s="7" t="s">
        <v>1330</v>
      </c>
      <c r="B466" s="7" t="s">
        <v>1331</v>
      </c>
      <c r="C466" s="13" t="s">
        <v>1332</v>
      </c>
      <c r="D466" s="11" t="n">
        <v>45851</v>
      </c>
      <c r="E466" s="12" t="n">
        <v>0.333333333299375</v>
      </c>
      <c r="F466" s="11" t="n">
        <v>45851</v>
      </c>
      <c r="G466" s="12" t="n">
        <v>0.791666666700625</v>
      </c>
      <c r="H466" s="10" t="n">
        <v>45849.7973732639</v>
      </c>
      <c r="I466" s="7" t="n">
        <v>4500</v>
      </c>
      <c r="J466" s="0" t="n">
        <f aca="false">IF(AND(D466&gt;=DATE(YEAR(D466),3,15),D466&lt;=DATE(YEAR(D466),6,10)),1,0)</f>
        <v>0</v>
      </c>
      <c r="K466" s="0" t="e">
        <f aca="false">VLOOKUP(D466,Festival_List!$A$2:$B$100,2,0)</f>
        <v>#N/A</v>
      </c>
      <c r="L466" s="0" t="n">
        <f aca="false">ROUND(((F466+G466)-(D466+E466))*24,0)</f>
        <v>11</v>
      </c>
      <c r="M466" s="0" t="n">
        <f aca="false">IF(OR(WEEKDAY(D466)=1,WEEKDAY(D466)=7),1,0)</f>
        <v>1</v>
      </c>
      <c r="N466" s="0" t="str">
        <f aca="false">IF(AND(MONTH(D466)&gt;=3,MONTH(D466)&lt;=6),"Summer",IF(AND(MONTH(D466)&gt;=7,MONTH(D466)&lt;=9),"Monsoon","Winter"))</f>
        <v>Monsoon</v>
      </c>
      <c r="O466" s="0" t="str">
        <f aca="false">IF(AND(L466&gt;=22,L466&lt;=25,E466&gt;=TIME(18,0,0)),"24H Night", IF(AND(L466&gt;=22,L466&lt;=25,E466&lt;TIME(18,0,0)),"24H Day", IF(AND(L466&gt;=11,L466&lt;=13,E466&gt;=TIME(18,0,0)),"12H Night", IF(AND(L466&gt;=11,L466&lt;=13,E466&lt;TIME(18,0,0)),"12H Day", IF(AND(L466&lt;10,E466&gt;=TIME(18,0,0)),"Couple Night", "Couple Day")))))</f>
        <v>12H Day</v>
      </c>
      <c r="P466" s="0" t="n">
        <f aca="false">WEEKDAY(D466,2)</f>
        <v>7</v>
      </c>
      <c r="Q466" s="0" t="n">
        <f aca="false">MONTH(D466)</f>
        <v>7</v>
      </c>
      <c r="R466" s="0" t="str">
        <f aca="false">"Q"&amp;ROUNDUP(MONTH(D466)/3,0)</f>
        <v>Q3</v>
      </c>
    </row>
    <row r="467" customFormat="false" ht="102.95" hidden="false" customHeight="false" outlineLevel="0" collapsed="false">
      <c r="A467" s="7" t="s">
        <v>1333</v>
      </c>
      <c r="B467" s="7" t="s">
        <v>1334</v>
      </c>
      <c r="C467" s="13" t="s">
        <v>1335</v>
      </c>
      <c r="D467" s="11" t="n">
        <v>45852</v>
      </c>
      <c r="E467" s="12" t="n">
        <v>0.291666666700625</v>
      </c>
      <c r="F467" s="11" t="n">
        <v>45852</v>
      </c>
      <c r="G467" s="12" t="n">
        <v>0.75</v>
      </c>
      <c r="H467" s="10" t="n">
        <v>45847.6721638889</v>
      </c>
      <c r="I467" s="7" t="n">
        <v>2500</v>
      </c>
      <c r="J467" s="0" t="n">
        <f aca="false">IF(AND(D467&gt;=DATE(YEAR(D467),3,15),D467&lt;=DATE(YEAR(D467),6,10)),1,0)</f>
        <v>0</v>
      </c>
      <c r="K467" s="0" t="e">
        <f aca="false">VLOOKUP(D467,Festival_List!$A$2:$B$100,2,0)</f>
        <v>#N/A</v>
      </c>
      <c r="L467" s="0" t="n">
        <f aca="false">ROUND(((F467+G467)-(D467+E467))*24,0)</f>
        <v>11</v>
      </c>
      <c r="M467" s="0" t="n">
        <f aca="false">IF(OR(WEEKDAY(D467)=1,WEEKDAY(D467)=7),1,0)</f>
        <v>0</v>
      </c>
      <c r="N467" s="0" t="str">
        <f aca="false">IF(AND(MONTH(D467)&gt;=3,MONTH(D467)&lt;=6),"Summer",IF(AND(MONTH(D467)&gt;=7,MONTH(D467)&lt;=9),"Monsoon","Winter"))</f>
        <v>Monsoon</v>
      </c>
      <c r="O467" s="0" t="str">
        <f aca="false">IF(AND(L467&gt;=22,L467&lt;=25,E467&gt;=TIME(18,0,0)),"24H Night", IF(AND(L467&gt;=22,L467&lt;=25,E467&lt;TIME(18,0,0)),"24H Day", IF(AND(L467&gt;=11,L467&lt;=13,E467&gt;=TIME(18,0,0)),"12H Night", IF(AND(L467&gt;=11,L467&lt;=13,E467&lt;TIME(18,0,0)),"12H Day", IF(AND(L467&lt;10,E467&gt;=TIME(18,0,0)),"Couple Night", "Couple Day")))))</f>
        <v>12H Day</v>
      </c>
      <c r="P467" s="0" t="n">
        <f aca="false">WEEKDAY(D467,2)</f>
        <v>1</v>
      </c>
      <c r="Q467" s="0" t="n">
        <f aca="false">MONTH(D467)</f>
        <v>7</v>
      </c>
      <c r="R467" s="0" t="str">
        <f aca="false">"Q"&amp;ROUNDUP(MONTH(D467)/3,0)</f>
        <v>Q3</v>
      </c>
    </row>
    <row r="468" customFormat="false" ht="115.65" hidden="false" customHeight="false" outlineLevel="0" collapsed="false">
      <c r="A468" s="7" t="s">
        <v>1336</v>
      </c>
      <c r="B468" s="7" t="s">
        <v>1337</v>
      </c>
      <c r="C468" s="13" t="s">
        <v>1338</v>
      </c>
      <c r="D468" s="11" t="n">
        <v>45853</v>
      </c>
      <c r="E468" s="12" t="n">
        <v>0.25</v>
      </c>
      <c r="F468" s="11" t="n">
        <v>45853</v>
      </c>
      <c r="G468" s="12" t="n">
        <v>0.5</v>
      </c>
      <c r="H468" s="10" t="n">
        <v>45856.5600144676</v>
      </c>
      <c r="I468" s="7" t="n">
        <v>2000</v>
      </c>
      <c r="J468" s="0" t="n">
        <f aca="false">IF(AND(D468&gt;=DATE(YEAR(D468),3,15),D468&lt;=DATE(YEAR(D468),6,10)),1,0)</f>
        <v>0</v>
      </c>
      <c r="K468" s="0" t="e">
        <f aca="false">VLOOKUP(D468,Festival_List!$A$2:$B$100,2,0)</f>
        <v>#N/A</v>
      </c>
      <c r="L468" s="0" t="n">
        <f aca="false">ROUND(((F468+G468)-(D468+E468))*24,0)</f>
        <v>6</v>
      </c>
      <c r="M468" s="0" t="n">
        <f aca="false">IF(OR(WEEKDAY(D468)=1,WEEKDAY(D468)=7),1,0)</f>
        <v>0</v>
      </c>
      <c r="N468" s="0" t="str">
        <f aca="false">IF(AND(MONTH(D468)&gt;=3,MONTH(D468)&lt;=6),"Summer",IF(AND(MONTH(D468)&gt;=7,MONTH(D468)&lt;=9),"Monsoon","Winter"))</f>
        <v>Monsoon</v>
      </c>
      <c r="O468" s="0" t="str">
        <f aca="false">IF(AND(L468&gt;=22,L468&lt;=25,E468&gt;=TIME(18,0,0)),"24H Night", IF(AND(L468&gt;=22,L468&lt;=25,E468&lt;TIME(18,0,0)),"24H Day", IF(AND(L468&gt;=11,L468&lt;=13,E468&gt;=TIME(18,0,0)),"12H Night", IF(AND(L468&gt;=11,L468&lt;=13,E468&lt;TIME(18,0,0)),"12H Day", IF(AND(L468&lt;10,E468&gt;=TIME(18,0,0)),"Couple Night", "Couple Day")))))</f>
        <v>Couple Day</v>
      </c>
      <c r="P468" s="0" t="n">
        <f aca="false">WEEKDAY(D468,2)</f>
        <v>2</v>
      </c>
      <c r="Q468" s="0" t="n">
        <f aca="false">MONTH(D468)</f>
        <v>7</v>
      </c>
      <c r="R468" s="0" t="str">
        <f aca="false">"Q"&amp;ROUNDUP(MONTH(D468)/3,0)</f>
        <v>Q3</v>
      </c>
    </row>
    <row r="469" customFormat="false" ht="115.65" hidden="false" customHeight="false" outlineLevel="0" collapsed="false">
      <c r="A469" s="7" t="s">
        <v>1339</v>
      </c>
      <c r="B469" s="7" t="s">
        <v>1340</v>
      </c>
      <c r="C469" s="13" t="s">
        <v>1341</v>
      </c>
      <c r="D469" s="11" t="n">
        <v>45855</v>
      </c>
      <c r="E469" s="12" t="n">
        <v>0.458333333299375</v>
      </c>
      <c r="F469" s="11" t="n">
        <v>45855</v>
      </c>
      <c r="G469" s="12" t="n">
        <v>0.708333333299375</v>
      </c>
      <c r="H469" s="10" t="n">
        <v>45854.93836875</v>
      </c>
      <c r="I469" s="7" t="n">
        <v>2000</v>
      </c>
      <c r="J469" s="0" t="n">
        <f aca="false">IF(AND(D469&gt;=DATE(YEAR(D469),3,15),D469&lt;=DATE(YEAR(D469),6,10)),1,0)</f>
        <v>0</v>
      </c>
      <c r="K469" s="0" t="e">
        <f aca="false">VLOOKUP(D469,Festival_List!$A$2:$B$100,2,0)</f>
        <v>#N/A</v>
      </c>
      <c r="L469" s="0" t="n">
        <f aca="false">ROUND(((F469+G469)-(D469+E469))*24,0)</f>
        <v>6</v>
      </c>
      <c r="M469" s="0" t="n">
        <f aca="false">IF(OR(WEEKDAY(D469)=1,WEEKDAY(D469)=7),1,0)</f>
        <v>0</v>
      </c>
      <c r="N469" s="0" t="str">
        <f aca="false">IF(AND(MONTH(D469)&gt;=3,MONTH(D469)&lt;=6),"Summer",IF(AND(MONTH(D469)&gt;=7,MONTH(D469)&lt;=9),"Monsoon","Winter"))</f>
        <v>Monsoon</v>
      </c>
      <c r="O469" s="0" t="str">
        <f aca="false">IF(AND(L469&gt;=22,L469&lt;=25,E469&gt;=TIME(18,0,0)),"24H Night", IF(AND(L469&gt;=22,L469&lt;=25,E469&lt;TIME(18,0,0)),"24H Day", IF(AND(L469&gt;=11,L469&lt;=13,E469&gt;=TIME(18,0,0)),"12H Night", IF(AND(L469&gt;=11,L469&lt;=13,E469&lt;TIME(18,0,0)),"12H Day", IF(AND(L469&lt;10,E469&gt;=TIME(18,0,0)),"Couple Night", "Couple Day")))))</f>
        <v>Couple Day</v>
      </c>
      <c r="P469" s="0" t="n">
        <f aca="false">WEEKDAY(D469,2)</f>
        <v>4</v>
      </c>
      <c r="Q469" s="0" t="n">
        <f aca="false">MONTH(D469)</f>
        <v>7</v>
      </c>
      <c r="R469" s="0" t="str">
        <f aca="false">"Q"&amp;ROUNDUP(MONTH(D469)/3,0)</f>
        <v>Q3</v>
      </c>
    </row>
    <row r="470" customFormat="false" ht="102.95" hidden="false" customHeight="false" outlineLevel="0" collapsed="false">
      <c r="A470" s="7" t="s">
        <v>1342</v>
      </c>
      <c r="B470" s="7" t="s">
        <v>1343</v>
      </c>
      <c r="C470" s="13" t="s">
        <v>1344</v>
      </c>
      <c r="D470" s="11" t="n">
        <v>45856</v>
      </c>
      <c r="E470" s="12" t="n">
        <v>0.791666666700625</v>
      </c>
      <c r="F470" s="11" t="n">
        <v>45857</v>
      </c>
      <c r="G470" s="12" t="n">
        <v>0.75</v>
      </c>
      <c r="H470" s="10" t="n">
        <v>45855.469962037</v>
      </c>
      <c r="I470" s="7" t="n">
        <v>4000</v>
      </c>
      <c r="J470" s="0" t="n">
        <f aca="false">IF(AND(D470&gt;=DATE(YEAR(D470),3,15),D470&lt;=DATE(YEAR(D470),6,10)),1,0)</f>
        <v>0</v>
      </c>
      <c r="K470" s="0" t="e">
        <f aca="false">VLOOKUP(D470,Festival_List!$A$2:$B$100,2,0)</f>
        <v>#N/A</v>
      </c>
      <c r="L470" s="0" t="n">
        <f aca="false">ROUND(((F470+G470)-(D470+E470))*24,0)</f>
        <v>23</v>
      </c>
      <c r="M470" s="0" t="n">
        <f aca="false">IF(OR(WEEKDAY(D470)=1,WEEKDAY(D470)=7),1,0)</f>
        <v>0</v>
      </c>
      <c r="N470" s="0" t="str">
        <f aca="false">IF(AND(MONTH(D470)&gt;=3,MONTH(D470)&lt;=6),"Summer",IF(AND(MONTH(D470)&gt;=7,MONTH(D470)&lt;=9),"Monsoon","Winter"))</f>
        <v>Monsoon</v>
      </c>
      <c r="O470" s="0" t="str">
        <f aca="false">IF(AND(L470&gt;=22,L470&lt;=25,E470&gt;=TIME(18,0,0)),"24H Night", IF(AND(L470&gt;=22,L470&lt;=25,E470&lt;TIME(18,0,0)),"24H Day", IF(AND(L470&gt;=11,L470&lt;=13,E470&gt;=TIME(18,0,0)),"12H Night", IF(AND(L470&gt;=11,L470&lt;=13,E470&lt;TIME(18,0,0)),"12H Day", IF(AND(L470&lt;10,E470&gt;=TIME(18,0,0)),"Couple Night", "Couple Day")))))</f>
        <v>24H Night</v>
      </c>
      <c r="P470" s="0" t="n">
        <f aca="false">WEEKDAY(D470,2)</f>
        <v>5</v>
      </c>
      <c r="Q470" s="0" t="n">
        <f aca="false">MONTH(D470)</f>
        <v>7</v>
      </c>
      <c r="R470" s="0" t="str">
        <f aca="false">"Q"&amp;ROUNDUP(MONTH(D470)/3,0)</f>
        <v>Q3</v>
      </c>
    </row>
    <row r="471" customFormat="false" ht="102.95" hidden="false" customHeight="false" outlineLevel="0" collapsed="false">
      <c r="A471" s="7" t="s">
        <v>1345</v>
      </c>
      <c r="B471" s="7" t="s">
        <v>1346</v>
      </c>
      <c r="C471" s="13" t="s">
        <v>1347</v>
      </c>
      <c r="D471" s="11" t="n">
        <v>45857</v>
      </c>
      <c r="E471" s="12" t="n">
        <v>0.375</v>
      </c>
      <c r="F471" s="11" t="n">
        <v>45857</v>
      </c>
      <c r="G471" s="12" t="n">
        <v>0.75</v>
      </c>
      <c r="H471" s="10" t="n">
        <v>45857.3302739583</v>
      </c>
      <c r="I471" s="7" t="n">
        <v>1000</v>
      </c>
      <c r="J471" s="0" t="n">
        <f aca="false">IF(AND(D471&gt;=DATE(YEAR(D471),3,15),D471&lt;=DATE(YEAR(D471),6,10)),1,0)</f>
        <v>0</v>
      </c>
      <c r="K471" s="0" t="e">
        <f aca="false">VLOOKUP(D471,Festival_List!$A$2:$B$100,2,0)</f>
        <v>#N/A</v>
      </c>
      <c r="L471" s="0" t="n">
        <f aca="false">ROUND(((F471+G471)-(D471+E471))*24,0)</f>
        <v>9</v>
      </c>
      <c r="M471" s="0" t="n">
        <f aca="false">IF(OR(WEEKDAY(D471)=1,WEEKDAY(D471)=7),1,0)</f>
        <v>1</v>
      </c>
      <c r="N471" s="0" t="str">
        <f aca="false">IF(AND(MONTH(D471)&gt;=3,MONTH(D471)&lt;=6),"Summer",IF(AND(MONTH(D471)&gt;=7,MONTH(D471)&lt;=9),"Monsoon","Winter"))</f>
        <v>Monsoon</v>
      </c>
      <c r="O471" s="0" t="str">
        <f aca="false">IF(AND(L471&gt;=22,L471&lt;=25,E471&gt;=TIME(18,0,0)),"24H Night", IF(AND(L471&gt;=22,L471&lt;=25,E471&lt;TIME(18,0,0)),"24H Day", IF(AND(L471&gt;=11,L471&lt;=13,E471&gt;=TIME(18,0,0)),"12H Night", IF(AND(L471&gt;=11,L471&lt;=13,E471&lt;TIME(18,0,0)),"12H Day", IF(AND(L471&lt;10,E471&gt;=TIME(18,0,0)),"Couple Night", "Couple Day")))))</f>
        <v>Couple Day</v>
      </c>
      <c r="P471" s="0" t="n">
        <f aca="false">WEEKDAY(D471,2)</f>
        <v>6</v>
      </c>
      <c r="Q471" s="0" t="n">
        <f aca="false">MONTH(D471)</f>
        <v>7</v>
      </c>
      <c r="R471" s="0" t="str">
        <f aca="false">"Q"&amp;ROUNDUP(MONTH(D471)/3,0)</f>
        <v>Q3</v>
      </c>
    </row>
    <row r="472" customFormat="false" ht="153.7" hidden="false" customHeight="false" outlineLevel="0" collapsed="false">
      <c r="A472" s="7" t="s">
        <v>1348</v>
      </c>
      <c r="B472" s="7" t="s">
        <v>1349</v>
      </c>
      <c r="C472" s="13" t="s">
        <v>1350</v>
      </c>
      <c r="D472" s="11" t="n">
        <v>45857</v>
      </c>
      <c r="E472" s="12" t="n">
        <v>0.791666666700625</v>
      </c>
      <c r="F472" s="11" t="n">
        <v>45858</v>
      </c>
      <c r="G472" s="12" t="n">
        <v>0.75</v>
      </c>
      <c r="H472" s="10" t="n">
        <v>45856.5403019676</v>
      </c>
      <c r="I472" s="7" t="n">
        <v>4500</v>
      </c>
      <c r="J472" s="0" t="n">
        <f aca="false">IF(AND(D472&gt;=DATE(YEAR(D472),3,15),D472&lt;=DATE(YEAR(D472),6,10)),1,0)</f>
        <v>0</v>
      </c>
      <c r="K472" s="0" t="e">
        <f aca="false">VLOOKUP(D472,Festival_List!$A$2:$B$100,2,0)</f>
        <v>#N/A</v>
      </c>
      <c r="L472" s="0" t="n">
        <f aca="false">ROUND(((F472+G472)-(D472+E472))*24,0)</f>
        <v>23</v>
      </c>
      <c r="M472" s="0" t="n">
        <f aca="false">IF(OR(WEEKDAY(D472)=1,WEEKDAY(D472)=7),1,0)</f>
        <v>1</v>
      </c>
      <c r="N472" s="0" t="str">
        <f aca="false">IF(AND(MONTH(D472)&gt;=3,MONTH(D472)&lt;=6),"Summer",IF(AND(MONTH(D472)&gt;=7,MONTH(D472)&lt;=9),"Monsoon","Winter"))</f>
        <v>Monsoon</v>
      </c>
      <c r="O472" s="0" t="str">
        <f aca="false">IF(AND(L472&gt;=22,L472&lt;=25,E472&gt;=TIME(18,0,0)),"24H Night", IF(AND(L472&gt;=22,L472&lt;=25,E472&lt;TIME(18,0,0)),"24H Day", IF(AND(L472&gt;=11,L472&lt;=13,E472&gt;=TIME(18,0,0)),"12H Night", IF(AND(L472&gt;=11,L472&lt;=13,E472&lt;TIME(18,0,0)),"12H Day", IF(AND(L472&lt;10,E472&gt;=TIME(18,0,0)),"Couple Night", "Couple Day")))))</f>
        <v>24H Night</v>
      </c>
      <c r="P472" s="0" t="n">
        <f aca="false">WEEKDAY(D472,2)</f>
        <v>6</v>
      </c>
      <c r="Q472" s="0" t="n">
        <f aca="false">MONTH(D472)</f>
        <v>7</v>
      </c>
      <c r="R472" s="0" t="str">
        <f aca="false">"Q"&amp;ROUNDUP(MONTH(D472)/3,0)</f>
        <v>Q3</v>
      </c>
    </row>
    <row r="473" customFormat="false" ht="102.95" hidden="false" customHeight="false" outlineLevel="0" collapsed="false">
      <c r="A473" s="7" t="s">
        <v>1351</v>
      </c>
      <c r="B473" s="7" t="s">
        <v>1352</v>
      </c>
      <c r="C473" s="13" t="s">
        <v>1353</v>
      </c>
      <c r="D473" s="11" t="n">
        <v>45859</v>
      </c>
      <c r="E473" s="12" t="n">
        <v>0.375</v>
      </c>
      <c r="F473" s="11" t="n">
        <v>45861</v>
      </c>
      <c r="G473" s="12" t="n">
        <v>0.333333333299375</v>
      </c>
      <c r="H473" s="10" t="n">
        <v>45860.7932269676</v>
      </c>
      <c r="I473" s="7" t="n">
        <v>5500</v>
      </c>
      <c r="J473" s="0" t="n">
        <f aca="false">IF(AND(D473&gt;=DATE(YEAR(D473),3,15),D473&lt;=DATE(YEAR(D473),6,10)),1,0)</f>
        <v>0</v>
      </c>
      <c r="K473" s="0" t="e">
        <f aca="false">VLOOKUP(D473,Festival_List!$A$2:$B$100,2,0)</f>
        <v>#N/A</v>
      </c>
      <c r="L473" s="0" t="n">
        <f aca="false">ROUND(((F473+G473)-(D473+E473))*24,0)</f>
        <v>47</v>
      </c>
      <c r="M473" s="0" t="n">
        <f aca="false">IF(OR(WEEKDAY(D473)=1,WEEKDAY(D473)=7),1,0)</f>
        <v>0</v>
      </c>
      <c r="N473" s="0" t="str">
        <f aca="false">IF(AND(MONTH(D473)&gt;=3,MONTH(D473)&lt;=6),"Summer",IF(AND(MONTH(D473)&gt;=7,MONTH(D473)&lt;=9),"Monsoon","Winter"))</f>
        <v>Monsoon</v>
      </c>
      <c r="O473" s="0" t="str">
        <f aca="false">IF(AND(L473&gt;=22,L473&lt;=25,E473&gt;=TIME(18,0,0)),"24H Night", IF(AND(L473&gt;=22,L473&lt;=25,E473&lt;TIME(18,0,0)),"24H Day", IF(AND(L473&gt;=11,L473&lt;=13,E473&gt;=TIME(18,0,0)),"12H Night", IF(AND(L473&gt;=11,L473&lt;=13,E473&lt;TIME(18,0,0)),"12H Day", IF(AND(L473&lt;10,E473&gt;=TIME(18,0,0)),"Couple Night", "Couple Day")))))</f>
        <v>Couple Day</v>
      </c>
      <c r="P473" s="0" t="n">
        <f aca="false">WEEKDAY(D473,2)</f>
        <v>1</v>
      </c>
      <c r="Q473" s="0" t="n">
        <f aca="false">MONTH(D473)</f>
        <v>7</v>
      </c>
      <c r="R473" s="0" t="str">
        <f aca="false">"Q"&amp;ROUNDUP(MONTH(D473)/3,0)</f>
        <v>Q3</v>
      </c>
    </row>
    <row r="474" customFormat="false" ht="102.95" hidden="false" customHeight="false" outlineLevel="0" collapsed="false">
      <c r="A474" s="7" t="s">
        <v>1354</v>
      </c>
      <c r="B474" s="7" t="s">
        <v>1355</v>
      </c>
      <c r="C474" s="13" t="s">
        <v>1356</v>
      </c>
      <c r="D474" s="11" t="n">
        <v>45860</v>
      </c>
      <c r="E474" s="12" t="n">
        <v>0.833333333299375</v>
      </c>
      <c r="F474" s="11" t="n">
        <v>45861</v>
      </c>
      <c r="G474" s="12" t="n">
        <v>0.75</v>
      </c>
      <c r="H474" s="10" t="n">
        <v>45860.6721763889</v>
      </c>
      <c r="I474" s="7" t="n">
        <v>3000</v>
      </c>
      <c r="J474" s="0" t="n">
        <f aca="false">IF(AND(D474&gt;=DATE(YEAR(D474),3,15),D474&lt;=DATE(YEAR(D474),6,10)),1,0)</f>
        <v>0</v>
      </c>
      <c r="K474" s="0" t="e">
        <f aca="false">VLOOKUP(D474,Festival_List!$A$2:$B$100,2,0)</f>
        <v>#N/A</v>
      </c>
      <c r="L474" s="0" t="n">
        <f aca="false">ROUND(((F474+G474)-(D474+E474))*24,0)</f>
        <v>22</v>
      </c>
      <c r="M474" s="0" t="n">
        <f aca="false">IF(OR(WEEKDAY(D474)=1,WEEKDAY(D474)=7),1,0)</f>
        <v>0</v>
      </c>
      <c r="N474" s="0" t="str">
        <f aca="false">IF(AND(MONTH(D474)&gt;=3,MONTH(D474)&lt;=6),"Summer",IF(AND(MONTH(D474)&gt;=7,MONTH(D474)&lt;=9),"Monsoon","Winter"))</f>
        <v>Monsoon</v>
      </c>
      <c r="O474" s="0" t="str">
        <f aca="false">IF(AND(L474&gt;=22,L474&lt;=25,E474&gt;=TIME(18,0,0)),"24H Night", IF(AND(L474&gt;=22,L474&lt;=25,E474&lt;TIME(18,0,0)),"24H Day", IF(AND(L474&gt;=11,L474&lt;=13,E474&gt;=TIME(18,0,0)),"12H Night", IF(AND(L474&gt;=11,L474&lt;=13,E474&lt;TIME(18,0,0)),"12H Day", IF(AND(L474&lt;10,E474&gt;=TIME(18,0,0)),"Couple Night", "Couple Day")))))</f>
        <v>24H Night</v>
      </c>
      <c r="P474" s="0" t="n">
        <f aca="false">WEEKDAY(D474,2)</f>
        <v>2</v>
      </c>
      <c r="Q474" s="0" t="n">
        <f aca="false">MONTH(D474)</f>
        <v>7</v>
      </c>
      <c r="R474" s="0" t="str">
        <f aca="false">"Q"&amp;ROUNDUP(MONTH(D474)/3,0)</f>
        <v>Q3</v>
      </c>
    </row>
    <row r="475" customFormat="false" ht="115.65" hidden="false" customHeight="false" outlineLevel="0" collapsed="false">
      <c r="A475" s="7" t="s">
        <v>1357</v>
      </c>
      <c r="B475" s="7" t="s">
        <v>1358</v>
      </c>
      <c r="C475" s="13" t="s">
        <v>1359</v>
      </c>
      <c r="D475" s="11" t="n">
        <v>45860</v>
      </c>
      <c r="E475" s="12" t="n">
        <v>0.833333333299375</v>
      </c>
      <c r="F475" s="11" t="n">
        <v>45861</v>
      </c>
      <c r="G475" s="12" t="n">
        <v>0.333333333299375</v>
      </c>
      <c r="H475" s="10" t="n">
        <v>45855.4727409722</v>
      </c>
      <c r="I475" s="7" t="n">
        <v>700</v>
      </c>
      <c r="J475" s="0" t="n">
        <f aca="false">IF(AND(D475&gt;=DATE(YEAR(D475),3,15),D475&lt;=DATE(YEAR(D475),6,10)),1,0)</f>
        <v>0</v>
      </c>
      <c r="K475" s="0" t="e">
        <f aca="false">VLOOKUP(D475,Festival_List!$A$2:$B$100,2,0)</f>
        <v>#N/A</v>
      </c>
      <c r="L475" s="0" t="n">
        <f aca="false">ROUND(((F475+G475)-(D475+E475))*24,0)</f>
        <v>12</v>
      </c>
      <c r="M475" s="0" t="n">
        <f aca="false">IF(OR(WEEKDAY(D475)=1,WEEKDAY(D475)=7),1,0)</f>
        <v>0</v>
      </c>
      <c r="N475" s="0" t="str">
        <f aca="false">IF(AND(MONTH(D475)&gt;=3,MONTH(D475)&lt;=6),"Summer",IF(AND(MONTH(D475)&gt;=7,MONTH(D475)&lt;=9),"Monsoon","Winter"))</f>
        <v>Monsoon</v>
      </c>
      <c r="O475" s="0" t="str">
        <f aca="false">IF(AND(L475&gt;=22,L475&lt;=25,E475&gt;=TIME(18,0,0)),"24H Night", IF(AND(L475&gt;=22,L475&lt;=25,E475&lt;TIME(18,0,0)),"24H Day", IF(AND(L475&gt;=11,L475&lt;=13,E475&gt;=TIME(18,0,0)),"12H Night", IF(AND(L475&gt;=11,L475&lt;=13,E475&lt;TIME(18,0,0)),"12H Day", IF(AND(L475&lt;10,E475&gt;=TIME(18,0,0)),"Couple Night", "Couple Day")))))</f>
        <v>12H Night</v>
      </c>
      <c r="P475" s="0" t="n">
        <f aca="false">WEEKDAY(D475,2)</f>
        <v>2</v>
      </c>
      <c r="Q475" s="0" t="n">
        <f aca="false">MONTH(D475)</f>
        <v>7</v>
      </c>
      <c r="R475" s="0" t="str">
        <f aca="false">"Q"&amp;ROUNDUP(MONTH(D475)/3,0)</f>
        <v>Q3</v>
      </c>
    </row>
    <row r="476" customFormat="false" ht="102.95" hidden="false" customHeight="false" outlineLevel="0" collapsed="false">
      <c r="A476" s="7" t="s">
        <v>1360</v>
      </c>
      <c r="B476" s="7" t="s">
        <v>1361</v>
      </c>
      <c r="C476" s="13" t="s">
        <v>1362</v>
      </c>
      <c r="D476" s="11" t="n">
        <v>45862</v>
      </c>
      <c r="E476" s="12" t="n">
        <v>0.333333333299375</v>
      </c>
      <c r="F476" s="11" t="n">
        <v>45862</v>
      </c>
      <c r="G476" s="12" t="n">
        <v>0.791666666700625</v>
      </c>
      <c r="H476" s="10" t="n">
        <v>45860.5133520833</v>
      </c>
      <c r="I476" s="7" t="n">
        <v>2500</v>
      </c>
      <c r="J476" s="0" t="n">
        <f aca="false">IF(AND(D476&gt;=DATE(YEAR(D476),3,15),D476&lt;=DATE(YEAR(D476),6,10)),1,0)</f>
        <v>0</v>
      </c>
      <c r="K476" s="0" t="e">
        <f aca="false">VLOOKUP(D476,Festival_List!$A$2:$B$100,2,0)</f>
        <v>#N/A</v>
      </c>
      <c r="L476" s="0" t="n">
        <f aca="false">ROUND(((F476+G476)-(D476+E476))*24,0)</f>
        <v>11</v>
      </c>
      <c r="M476" s="0" t="n">
        <f aca="false">IF(OR(WEEKDAY(D476)=1,WEEKDAY(D476)=7),1,0)</f>
        <v>0</v>
      </c>
      <c r="N476" s="0" t="str">
        <f aca="false">IF(AND(MONTH(D476)&gt;=3,MONTH(D476)&lt;=6),"Summer",IF(AND(MONTH(D476)&gt;=7,MONTH(D476)&lt;=9),"Monsoon","Winter"))</f>
        <v>Monsoon</v>
      </c>
      <c r="O476" s="0" t="str">
        <f aca="false">IF(AND(L476&gt;=22,L476&lt;=25,E476&gt;=TIME(18,0,0)),"24H Night", IF(AND(L476&gt;=22,L476&lt;=25,E476&lt;TIME(18,0,0)),"24H Day", IF(AND(L476&gt;=11,L476&lt;=13,E476&gt;=TIME(18,0,0)),"12H Night", IF(AND(L476&gt;=11,L476&lt;=13,E476&lt;TIME(18,0,0)),"12H Day", IF(AND(L476&lt;10,E476&gt;=TIME(18,0,0)),"Couple Night", "Couple Day")))))</f>
        <v>12H Day</v>
      </c>
      <c r="P476" s="0" t="n">
        <f aca="false">WEEKDAY(D476,2)</f>
        <v>4</v>
      </c>
      <c r="Q476" s="0" t="n">
        <f aca="false">MONTH(D476)</f>
        <v>7</v>
      </c>
      <c r="R476" s="0" t="str">
        <f aca="false">"Q"&amp;ROUNDUP(MONTH(D476)/3,0)</f>
        <v>Q3</v>
      </c>
    </row>
    <row r="477" customFormat="false" ht="141" hidden="false" customHeight="false" outlineLevel="0" collapsed="false">
      <c r="A477" s="7" t="s">
        <v>1363</v>
      </c>
      <c r="B477" s="7" t="s">
        <v>1364</v>
      </c>
      <c r="C477" s="13" t="s">
        <v>1365</v>
      </c>
      <c r="D477" s="11" t="n">
        <v>45863</v>
      </c>
      <c r="E477" s="12" t="n">
        <v>0.416666666700625</v>
      </c>
      <c r="F477" s="11" t="n">
        <v>45863</v>
      </c>
      <c r="G477" s="12" t="n">
        <v>0.791666666700625</v>
      </c>
      <c r="H477" s="10" t="n">
        <v>45863.4395180556</v>
      </c>
      <c r="I477" s="7" t="n">
        <v>2500</v>
      </c>
      <c r="J477" s="0" t="n">
        <f aca="false">IF(AND(D477&gt;=DATE(YEAR(D477),3,15),D477&lt;=DATE(YEAR(D477),6,10)),1,0)</f>
        <v>0</v>
      </c>
      <c r="K477" s="0" t="e">
        <f aca="false">VLOOKUP(D477,Festival_List!$A$2:$B$100,2,0)</f>
        <v>#N/A</v>
      </c>
      <c r="L477" s="0" t="n">
        <f aca="false">ROUND(((F477+G477)-(D477+E477))*24,0)</f>
        <v>9</v>
      </c>
      <c r="M477" s="0" t="n">
        <f aca="false">IF(OR(WEEKDAY(D477)=1,WEEKDAY(D477)=7),1,0)</f>
        <v>0</v>
      </c>
      <c r="N477" s="0" t="str">
        <f aca="false">IF(AND(MONTH(D477)&gt;=3,MONTH(D477)&lt;=6),"Summer",IF(AND(MONTH(D477)&gt;=7,MONTH(D477)&lt;=9),"Monsoon","Winter"))</f>
        <v>Monsoon</v>
      </c>
      <c r="O477" s="0" t="str">
        <f aca="false">IF(AND(L477&gt;=22,L477&lt;=25,E477&gt;=TIME(18,0,0)),"24H Night", IF(AND(L477&gt;=22,L477&lt;=25,E477&lt;TIME(18,0,0)),"24H Day", IF(AND(L477&gt;=11,L477&lt;=13,E477&gt;=TIME(18,0,0)),"12H Night", IF(AND(L477&gt;=11,L477&lt;=13,E477&lt;TIME(18,0,0)),"12H Day", IF(AND(L477&lt;10,E477&gt;=TIME(18,0,0)),"Couple Night", "Couple Day")))))</f>
        <v>Couple Day</v>
      </c>
      <c r="P477" s="0" t="n">
        <f aca="false">WEEKDAY(D477,2)</f>
        <v>5</v>
      </c>
      <c r="Q477" s="0" t="n">
        <f aca="false">MONTH(D477)</f>
        <v>7</v>
      </c>
      <c r="R477" s="0" t="str">
        <f aca="false">"Q"&amp;ROUNDUP(MONTH(D477)/3,0)</f>
        <v>Q3</v>
      </c>
    </row>
    <row r="478" customFormat="false" ht="90.25" hidden="false" customHeight="false" outlineLevel="0" collapsed="false">
      <c r="A478" s="7" t="s">
        <v>1366</v>
      </c>
      <c r="B478" s="7" t="s">
        <v>1367</v>
      </c>
      <c r="C478" s="13" t="s">
        <v>1368</v>
      </c>
      <c r="D478" s="11" t="n">
        <v>45864</v>
      </c>
      <c r="E478" s="12" t="n">
        <v>0.791666666700625</v>
      </c>
      <c r="F478" s="11" t="n">
        <v>45865</v>
      </c>
      <c r="G478" s="12" t="n">
        <v>0.333333333299375</v>
      </c>
      <c r="H478" s="10" t="n">
        <v>45863.5881907407</v>
      </c>
      <c r="I478" s="7" t="n">
        <v>3000</v>
      </c>
      <c r="J478" s="0" t="n">
        <f aca="false">IF(AND(D478&gt;=DATE(YEAR(D478),3,15),D478&lt;=DATE(YEAR(D478),6,10)),1,0)</f>
        <v>0</v>
      </c>
      <c r="K478" s="0" t="e">
        <f aca="false">VLOOKUP(D478,Festival_List!$A$2:$B$100,2,0)</f>
        <v>#N/A</v>
      </c>
      <c r="L478" s="0" t="n">
        <f aca="false">ROUND(((F478+G478)-(D478+E478))*24,0)</f>
        <v>13</v>
      </c>
      <c r="M478" s="0" t="n">
        <f aca="false">IF(OR(WEEKDAY(D478)=1,WEEKDAY(D478)=7),1,0)</f>
        <v>1</v>
      </c>
      <c r="N478" s="0" t="str">
        <f aca="false">IF(AND(MONTH(D478)&gt;=3,MONTH(D478)&lt;=6),"Summer",IF(AND(MONTH(D478)&gt;=7,MONTH(D478)&lt;=9),"Monsoon","Winter"))</f>
        <v>Monsoon</v>
      </c>
      <c r="O478" s="0" t="str">
        <f aca="false">IF(AND(L478&gt;=22,L478&lt;=25,E478&gt;=TIME(18,0,0)),"24H Night", IF(AND(L478&gt;=22,L478&lt;=25,E478&lt;TIME(18,0,0)),"24H Day", IF(AND(L478&gt;=11,L478&lt;=13,E478&gt;=TIME(18,0,0)),"12H Night", IF(AND(L478&gt;=11,L478&lt;=13,E478&lt;TIME(18,0,0)),"12H Day", IF(AND(L478&lt;10,E478&gt;=TIME(18,0,0)),"Couple Night", "Couple Day")))))</f>
        <v>12H Night</v>
      </c>
      <c r="P478" s="0" t="n">
        <f aca="false">WEEKDAY(D478,2)</f>
        <v>6</v>
      </c>
      <c r="Q478" s="0" t="n">
        <f aca="false">MONTH(D478)</f>
        <v>7</v>
      </c>
      <c r="R478" s="0" t="str">
        <f aca="false">"Q"&amp;ROUNDUP(MONTH(D478)/3,0)</f>
        <v>Q3</v>
      </c>
    </row>
    <row r="479" customFormat="false" ht="128.35" hidden="false" customHeight="false" outlineLevel="0" collapsed="false">
      <c r="A479" s="7" t="s">
        <v>1369</v>
      </c>
      <c r="B479" s="7" t="s">
        <v>484</v>
      </c>
      <c r="C479" s="13" t="s">
        <v>1370</v>
      </c>
      <c r="D479" s="11" t="n">
        <v>45866</v>
      </c>
      <c r="E479" s="12" t="n">
        <v>0.375</v>
      </c>
      <c r="F479" s="11" t="n">
        <v>45866</v>
      </c>
      <c r="G479" s="12" t="n">
        <v>0.75</v>
      </c>
      <c r="H479" s="10" t="n">
        <v>45856.433791088</v>
      </c>
      <c r="I479" s="7" t="n">
        <v>2000</v>
      </c>
      <c r="J479" s="0" t="n">
        <f aca="false">IF(AND(D479&gt;=DATE(YEAR(D479),3,15),D479&lt;=DATE(YEAR(D479),6,10)),1,0)</f>
        <v>0</v>
      </c>
      <c r="K479" s="0" t="e">
        <f aca="false">VLOOKUP(D479,Festival_List!$A$2:$B$100,2,0)</f>
        <v>#N/A</v>
      </c>
      <c r="L479" s="0" t="n">
        <f aca="false">ROUND(((F479+G479)-(D479+E479))*24,0)</f>
        <v>9</v>
      </c>
      <c r="M479" s="0" t="n">
        <f aca="false">IF(OR(WEEKDAY(D479)=1,WEEKDAY(D479)=7),1,0)</f>
        <v>0</v>
      </c>
      <c r="N479" s="0" t="str">
        <f aca="false">IF(AND(MONTH(D479)&gt;=3,MONTH(D479)&lt;=6),"Summer",IF(AND(MONTH(D479)&gt;=7,MONTH(D479)&lt;=9),"Monsoon","Winter"))</f>
        <v>Monsoon</v>
      </c>
      <c r="O479" s="0" t="str">
        <f aca="false">IF(AND(L479&gt;=22,L479&lt;=25,E479&gt;=TIME(18,0,0)),"24H Night", IF(AND(L479&gt;=22,L479&lt;=25,E479&lt;TIME(18,0,0)),"24H Day", IF(AND(L479&gt;=11,L479&lt;=13,E479&gt;=TIME(18,0,0)),"12H Night", IF(AND(L479&gt;=11,L479&lt;=13,E479&lt;TIME(18,0,0)),"12H Day", IF(AND(L479&lt;10,E479&gt;=TIME(18,0,0)),"Couple Night", "Couple Day")))))</f>
        <v>Couple Day</v>
      </c>
      <c r="P479" s="0" t="n">
        <f aca="false">WEEKDAY(D479,2)</f>
        <v>1</v>
      </c>
      <c r="Q479" s="0" t="n">
        <f aca="false">MONTH(D479)</f>
        <v>7</v>
      </c>
      <c r="R479" s="0" t="str">
        <f aca="false">"Q"&amp;ROUNDUP(MONTH(D479)/3,0)</f>
        <v>Q3</v>
      </c>
    </row>
    <row r="480" customFormat="false" ht="90.25" hidden="false" customHeight="false" outlineLevel="0" collapsed="false">
      <c r="A480" s="7" t="s">
        <v>1371</v>
      </c>
      <c r="B480" s="7" t="s">
        <v>1372</v>
      </c>
      <c r="C480" s="13" t="s">
        <v>1373</v>
      </c>
      <c r="D480" s="11" t="n">
        <v>45868</v>
      </c>
      <c r="E480" s="12" t="n">
        <v>0.333333333299375</v>
      </c>
      <c r="F480" s="11" t="n">
        <v>45868</v>
      </c>
      <c r="G480" s="12" t="n">
        <v>0.75</v>
      </c>
      <c r="H480" s="10" t="n">
        <v>45867.6144711806</v>
      </c>
      <c r="I480" s="7" t="n">
        <v>1800</v>
      </c>
      <c r="J480" s="0" t="n">
        <f aca="false">IF(AND(D480&gt;=DATE(YEAR(D480),3,15),D480&lt;=DATE(YEAR(D480),6,10)),1,0)</f>
        <v>0</v>
      </c>
      <c r="K480" s="0" t="e">
        <f aca="false">VLOOKUP(D480,Festival_List!$A$2:$B$100,2,0)</f>
        <v>#N/A</v>
      </c>
      <c r="L480" s="0" t="n">
        <f aca="false">ROUND(((F480+G480)-(D480+E480))*24,0)</f>
        <v>10</v>
      </c>
      <c r="M480" s="0" t="n">
        <f aca="false">IF(OR(WEEKDAY(D480)=1,WEEKDAY(D480)=7),1,0)</f>
        <v>0</v>
      </c>
      <c r="N480" s="0" t="str">
        <f aca="false">IF(AND(MONTH(D480)&gt;=3,MONTH(D480)&lt;=6),"Summer",IF(AND(MONTH(D480)&gt;=7,MONTH(D480)&lt;=9),"Monsoon","Winter"))</f>
        <v>Monsoon</v>
      </c>
      <c r="O480" s="0" t="str">
        <f aca="false">IF(AND(L480&gt;=22,L480&lt;=25,E480&gt;=TIME(18,0,0)),"24H Night", IF(AND(L480&gt;=22,L480&lt;=25,E480&lt;TIME(18,0,0)),"24H Day", IF(AND(L480&gt;=11,L480&lt;=13,E480&gt;=TIME(18,0,0)),"12H Night", IF(AND(L480&gt;=11,L480&lt;=13,E480&lt;TIME(18,0,0)),"12H Day", IF(AND(L480&lt;10,E480&gt;=TIME(18,0,0)),"Couple Night", "Couple Day")))))</f>
        <v>Couple Day</v>
      </c>
      <c r="P480" s="0" t="n">
        <f aca="false">WEEKDAY(D480,2)</f>
        <v>3</v>
      </c>
      <c r="Q480" s="0" t="n">
        <f aca="false">MONTH(D480)</f>
        <v>7</v>
      </c>
      <c r="R480" s="0" t="str">
        <f aca="false">"Q"&amp;ROUNDUP(MONTH(D480)/3,0)</f>
        <v>Q3</v>
      </c>
    </row>
    <row r="481" customFormat="false" ht="102.95" hidden="false" customHeight="false" outlineLevel="0" collapsed="false">
      <c r="A481" s="7" t="s">
        <v>1374</v>
      </c>
      <c r="B481" s="7" t="s">
        <v>1375</v>
      </c>
      <c r="C481" s="13" t="s">
        <v>1376</v>
      </c>
      <c r="D481" s="11" t="n">
        <v>45870</v>
      </c>
      <c r="E481" s="12" t="n">
        <v>0.375</v>
      </c>
      <c r="F481" s="11" t="n">
        <v>45870</v>
      </c>
      <c r="G481" s="12" t="n">
        <v>0.75</v>
      </c>
      <c r="H481" s="10" t="n">
        <v>45854.917355787</v>
      </c>
      <c r="I481" s="7" t="n">
        <v>1500</v>
      </c>
      <c r="J481" s="0" t="n">
        <f aca="false">IF(AND(D481&gt;=DATE(YEAR(D481),3,15),D481&lt;=DATE(YEAR(D481),6,10)),1,0)</f>
        <v>0</v>
      </c>
      <c r="K481" s="0" t="e">
        <f aca="false">VLOOKUP(D481,Festival_List!$A$2:$B$100,2,0)</f>
        <v>#N/A</v>
      </c>
      <c r="L481" s="0" t="n">
        <f aca="false">ROUND(((F481+G481)-(D481+E481))*24,0)</f>
        <v>9</v>
      </c>
      <c r="M481" s="0" t="n">
        <f aca="false">IF(OR(WEEKDAY(D481)=1,WEEKDAY(D481)=7),1,0)</f>
        <v>0</v>
      </c>
      <c r="N481" s="0" t="str">
        <f aca="false">IF(AND(MONTH(D481)&gt;=3,MONTH(D481)&lt;=6),"Summer",IF(AND(MONTH(D481)&gt;=7,MONTH(D481)&lt;=9),"Monsoon","Winter"))</f>
        <v>Monsoon</v>
      </c>
      <c r="O481" s="0" t="str">
        <f aca="false">IF(AND(L481&gt;=22,L481&lt;=25,E481&gt;=TIME(18,0,0)),"24H Night", IF(AND(L481&gt;=22,L481&lt;=25,E481&lt;TIME(18,0,0)),"24H Day", IF(AND(L481&gt;=11,L481&lt;=13,E481&gt;=TIME(18,0,0)),"12H Night", IF(AND(L481&gt;=11,L481&lt;=13,E481&lt;TIME(18,0,0)),"12H Day", IF(AND(L481&lt;10,E481&gt;=TIME(18,0,0)),"Couple Night", "Couple Day")))))</f>
        <v>Couple Day</v>
      </c>
      <c r="P481" s="0" t="n">
        <f aca="false">WEEKDAY(D481,2)</f>
        <v>5</v>
      </c>
      <c r="Q481" s="0" t="n">
        <f aca="false">MONTH(D481)</f>
        <v>8</v>
      </c>
      <c r="R481" s="0" t="str">
        <f aca="false">"Q"&amp;ROUNDUP(MONTH(D481)/3,0)</f>
        <v>Q3</v>
      </c>
    </row>
    <row r="482" customFormat="false" ht="102.95" hidden="false" customHeight="false" outlineLevel="0" collapsed="false">
      <c r="A482" s="7" t="s">
        <v>1377</v>
      </c>
      <c r="B482" s="7" t="s">
        <v>1378</v>
      </c>
      <c r="C482" s="13" t="s">
        <v>1379</v>
      </c>
      <c r="D482" s="11" t="n">
        <v>45871</v>
      </c>
      <c r="E482" s="12" t="n">
        <v>0.375</v>
      </c>
      <c r="F482" s="11" t="n">
        <v>45871</v>
      </c>
      <c r="G482" s="12" t="n">
        <v>0.75</v>
      </c>
      <c r="H482" s="10" t="n">
        <v>45870.9055965278</v>
      </c>
      <c r="I482" s="7" t="n">
        <v>2200</v>
      </c>
      <c r="J482" s="0" t="n">
        <f aca="false">IF(AND(D482&gt;=DATE(YEAR(D482),3,15),D482&lt;=DATE(YEAR(D482),6,10)),1,0)</f>
        <v>0</v>
      </c>
      <c r="K482" s="0" t="e">
        <f aca="false">VLOOKUP(D482,Festival_List!$A$2:$B$100,2,0)</f>
        <v>#N/A</v>
      </c>
      <c r="L482" s="0" t="n">
        <f aca="false">ROUND(((F482+G482)-(D482+E482))*24,0)</f>
        <v>9</v>
      </c>
      <c r="M482" s="0" t="n">
        <f aca="false">IF(OR(WEEKDAY(D482)=1,WEEKDAY(D482)=7),1,0)</f>
        <v>1</v>
      </c>
      <c r="N482" s="0" t="str">
        <f aca="false">IF(AND(MONTH(D482)&gt;=3,MONTH(D482)&lt;=6),"Summer",IF(AND(MONTH(D482)&gt;=7,MONTH(D482)&lt;=9),"Monsoon","Winter"))</f>
        <v>Monsoon</v>
      </c>
      <c r="O482" s="0" t="str">
        <f aca="false">IF(AND(L482&gt;=22,L482&lt;=25,E482&gt;=TIME(18,0,0)),"24H Night", IF(AND(L482&gt;=22,L482&lt;=25,E482&lt;TIME(18,0,0)),"24H Day", IF(AND(L482&gt;=11,L482&lt;=13,E482&gt;=TIME(18,0,0)),"12H Night", IF(AND(L482&gt;=11,L482&lt;=13,E482&lt;TIME(18,0,0)),"12H Day", IF(AND(L482&lt;10,E482&gt;=TIME(18,0,0)),"Couple Night", "Couple Day")))))</f>
        <v>Couple Day</v>
      </c>
      <c r="P482" s="0" t="n">
        <f aca="false">WEEKDAY(D482,2)</f>
        <v>6</v>
      </c>
      <c r="Q482" s="0" t="n">
        <f aca="false">MONTH(D482)</f>
        <v>8</v>
      </c>
      <c r="R482" s="0" t="str">
        <f aca="false">"Q"&amp;ROUNDUP(MONTH(D482)/3,0)</f>
        <v>Q3</v>
      </c>
    </row>
    <row r="483" customFormat="false" ht="128.35" hidden="false" customHeight="false" outlineLevel="0" collapsed="false">
      <c r="A483" s="7" t="s">
        <v>1380</v>
      </c>
      <c r="B483" s="7" t="s">
        <v>1381</v>
      </c>
      <c r="C483" s="13" t="s">
        <v>1382</v>
      </c>
      <c r="D483" s="11" t="n">
        <v>45871</v>
      </c>
      <c r="E483" s="12" t="n">
        <v>0.791666666700625</v>
      </c>
      <c r="F483" s="11" t="n">
        <v>45872</v>
      </c>
      <c r="G483" s="12" t="n">
        <v>0.75</v>
      </c>
      <c r="H483" s="10" t="n">
        <v>45870.9079258102</v>
      </c>
      <c r="I483" s="7" t="n">
        <v>4500</v>
      </c>
      <c r="J483" s="0" t="n">
        <f aca="false">IF(AND(D483&gt;=DATE(YEAR(D483),3,15),D483&lt;=DATE(YEAR(D483),6,10)),1,0)</f>
        <v>0</v>
      </c>
      <c r="K483" s="0" t="e">
        <f aca="false">VLOOKUP(D483,Festival_List!$A$2:$B$100,2,0)</f>
        <v>#N/A</v>
      </c>
      <c r="L483" s="0" t="n">
        <f aca="false">ROUND(((F483+G483)-(D483+E483))*24,0)</f>
        <v>23</v>
      </c>
      <c r="M483" s="0" t="n">
        <f aca="false">IF(OR(WEEKDAY(D483)=1,WEEKDAY(D483)=7),1,0)</f>
        <v>1</v>
      </c>
      <c r="N483" s="0" t="str">
        <f aca="false">IF(AND(MONTH(D483)&gt;=3,MONTH(D483)&lt;=6),"Summer",IF(AND(MONTH(D483)&gt;=7,MONTH(D483)&lt;=9),"Monsoon","Winter"))</f>
        <v>Monsoon</v>
      </c>
      <c r="O483" s="0" t="str">
        <f aca="false">IF(AND(L483&gt;=22,L483&lt;=25,E483&gt;=TIME(18,0,0)),"24H Night", IF(AND(L483&gt;=22,L483&lt;=25,E483&lt;TIME(18,0,0)),"24H Day", IF(AND(L483&gt;=11,L483&lt;=13,E483&gt;=TIME(18,0,0)),"12H Night", IF(AND(L483&gt;=11,L483&lt;=13,E483&lt;TIME(18,0,0)),"12H Day", IF(AND(L483&lt;10,E483&gt;=TIME(18,0,0)),"Couple Night", "Couple Day")))))</f>
        <v>24H Night</v>
      </c>
      <c r="P483" s="0" t="n">
        <f aca="false">WEEKDAY(D483,2)</f>
        <v>6</v>
      </c>
      <c r="Q483" s="0" t="n">
        <f aca="false">MONTH(D483)</f>
        <v>8</v>
      </c>
      <c r="R483" s="0" t="str">
        <f aca="false">"Q"&amp;ROUNDUP(MONTH(D483)/3,0)</f>
        <v>Q3</v>
      </c>
    </row>
    <row r="484" customFormat="false" ht="90.25" hidden="false" customHeight="false" outlineLevel="0" collapsed="false">
      <c r="A484" s="7" t="s">
        <v>1383</v>
      </c>
      <c r="B484" s="7" t="s">
        <v>1384</v>
      </c>
      <c r="C484" s="13" t="s">
        <v>1385</v>
      </c>
      <c r="D484" s="11" t="n">
        <v>45873</v>
      </c>
      <c r="E484" s="12" t="n">
        <v>0.291666666700625</v>
      </c>
      <c r="F484" s="11" t="n">
        <v>45873</v>
      </c>
      <c r="G484" s="12" t="n">
        <v>0.791666666700625</v>
      </c>
      <c r="H484" s="10" t="n">
        <v>45867.4982271991</v>
      </c>
      <c r="I484" s="7" t="n">
        <v>3000</v>
      </c>
      <c r="J484" s="0" t="n">
        <f aca="false">IF(AND(D484&gt;=DATE(YEAR(D484),3,15),D484&lt;=DATE(YEAR(D484),6,10)),1,0)</f>
        <v>0</v>
      </c>
      <c r="K484" s="0" t="e">
        <f aca="false">VLOOKUP(D484,Festival_List!$A$2:$B$100,2,0)</f>
        <v>#N/A</v>
      </c>
      <c r="L484" s="0" t="n">
        <f aca="false">ROUND(((F484+G484)-(D484+E484))*24,0)</f>
        <v>12</v>
      </c>
      <c r="M484" s="0" t="n">
        <f aca="false">IF(OR(WEEKDAY(D484)=1,WEEKDAY(D484)=7),1,0)</f>
        <v>0</v>
      </c>
      <c r="N484" s="0" t="str">
        <f aca="false">IF(AND(MONTH(D484)&gt;=3,MONTH(D484)&lt;=6),"Summer",IF(AND(MONTH(D484)&gt;=7,MONTH(D484)&lt;=9),"Monsoon","Winter"))</f>
        <v>Monsoon</v>
      </c>
      <c r="O484" s="0" t="str">
        <f aca="false">IF(AND(L484&gt;=22,L484&lt;=25,E484&gt;=TIME(18,0,0)),"24H Night", IF(AND(L484&gt;=22,L484&lt;=25,E484&lt;TIME(18,0,0)),"24H Day", IF(AND(L484&gt;=11,L484&lt;=13,E484&gt;=TIME(18,0,0)),"12H Night", IF(AND(L484&gt;=11,L484&lt;=13,E484&lt;TIME(18,0,0)),"12H Day", IF(AND(L484&lt;10,E484&gt;=TIME(18,0,0)),"Couple Night", "Couple Day")))))</f>
        <v>12H Day</v>
      </c>
      <c r="P484" s="0" t="n">
        <f aca="false">WEEKDAY(D484,2)</f>
        <v>1</v>
      </c>
      <c r="Q484" s="0" t="n">
        <f aca="false">MONTH(D484)</f>
        <v>8</v>
      </c>
      <c r="R484" s="0" t="str">
        <f aca="false">"Q"&amp;ROUNDUP(MONTH(D484)/3,0)</f>
        <v>Q3</v>
      </c>
    </row>
    <row r="485" customFormat="false" ht="90.25" hidden="false" customHeight="false" outlineLevel="0" collapsed="false">
      <c r="A485" s="7" t="s">
        <v>1386</v>
      </c>
      <c r="B485" s="7" t="s">
        <v>1387</v>
      </c>
      <c r="C485" s="13" t="s">
        <v>1388</v>
      </c>
      <c r="D485" s="11" t="n">
        <v>45874</v>
      </c>
      <c r="E485" s="12" t="n">
        <v>0.333333333299375</v>
      </c>
      <c r="F485" s="11" t="n">
        <v>45874</v>
      </c>
      <c r="G485" s="12" t="n">
        <v>0.75</v>
      </c>
      <c r="H485" s="10" t="n">
        <v>45869.6163074074</v>
      </c>
      <c r="I485" s="7" t="n">
        <v>2500</v>
      </c>
      <c r="J485" s="0" t="n">
        <f aca="false">IF(AND(D485&gt;=DATE(YEAR(D485),3,15),D485&lt;=DATE(YEAR(D485),6,10)),1,0)</f>
        <v>0</v>
      </c>
      <c r="K485" s="0" t="e">
        <f aca="false">VLOOKUP(D485,Festival_List!$A$2:$B$100,2,0)</f>
        <v>#N/A</v>
      </c>
      <c r="L485" s="0" t="n">
        <f aca="false">ROUND(((F485+G485)-(D485+E485))*24,0)</f>
        <v>10</v>
      </c>
      <c r="M485" s="0" t="n">
        <f aca="false">IF(OR(WEEKDAY(D485)=1,WEEKDAY(D485)=7),1,0)</f>
        <v>0</v>
      </c>
      <c r="N485" s="0" t="str">
        <f aca="false">IF(AND(MONTH(D485)&gt;=3,MONTH(D485)&lt;=6),"Summer",IF(AND(MONTH(D485)&gt;=7,MONTH(D485)&lt;=9),"Monsoon","Winter"))</f>
        <v>Monsoon</v>
      </c>
      <c r="O485" s="0" t="str">
        <f aca="false">IF(AND(L485&gt;=22,L485&lt;=25,E485&gt;=TIME(18,0,0)),"24H Night", IF(AND(L485&gt;=22,L485&lt;=25,E485&lt;TIME(18,0,0)),"24H Day", IF(AND(L485&gt;=11,L485&lt;=13,E485&gt;=TIME(18,0,0)),"12H Night", IF(AND(L485&gt;=11,L485&lt;=13,E485&lt;TIME(18,0,0)),"12H Day", IF(AND(L485&lt;10,E485&gt;=TIME(18,0,0)),"Couple Night", "Couple Day")))))</f>
        <v>Couple Day</v>
      </c>
      <c r="P485" s="0" t="n">
        <f aca="false">WEEKDAY(D485,2)</f>
        <v>2</v>
      </c>
      <c r="Q485" s="0" t="n">
        <f aca="false">MONTH(D485)</f>
        <v>8</v>
      </c>
      <c r="R485" s="0" t="str">
        <f aca="false">"Q"&amp;ROUNDUP(MONTH(D485)/3,0)</f>
        <v>Q3</v>
      </c>
    </row>
    <row r="486" customFormat="false" ht="141" hidden="false" customHeight="false" outlineLevel="0" collapsed="false">
      <c r="A486" s="7" t="s">
        <v>1389</v>
      </c>
      <c r="B486" s="7" t="s">
        <v>824</v>
      </c>
      <c r="C486" s="13" t="s">
        <v>1390</v>
      </c>
      <c r="D486" s="11" t="n">
        <v>45877</v>
      </c>
      <c r="E486" s="12" t="n">
        <v>0.375</v>
      </c>
      <c r="F486" s="11" t="n">
        <v>45877</v>
      </c>
      <c r="G486" s="12" t="n">
        <v>0.75</v>
      </c>
      <c r="H486" s="10" t="n">
        <v>45872.4827533565</v>
      </c>
      <c r="I486" s="7" t="n">
        <v>2700</v>
      </c>
      <c r="J486" s="0" t="n">
        <f aca="false">IF(AND(D486&gt;=DATE(YEAR(D486),3,15),D486&lt;=DATE(YEAR(D486),6,10)),1,0)</f>
        <v>0</v>
      </c>
      <c r="K486" s="0" t="e">
        <f aca="false">VLOOKUP(D486,Festival_List!$A$2:$B$100,2,0)</f>
        <v>#N/A</v>
      </c>
      <c r="L486" s="0" t="n">
        <f aca="false">ROUND(((F486+G486)-(D486+E486))*24,0)</f>
        <v>9</v>
      </c>
      <c r="M486" s="0" t="n">
        <f aca="false">IF(OR(WEEKDAY(D486)=1,WEEKDAY(D486)=7),1,0)</f>
        <v>0</v>
      </c>
      <c r="N486" s="0" t="str">
        <f aca="false">IF(AND(MONTH(D486)&gt;=3,MONTH(D486)&lt;=6),"Summer",IF(AND(MONTH(D486)&gt;=7,MONTH(D486)&lt;=9),"Monsoon","Winter"))</f>
        <v>Monsoon</v>
      </c>
      <c r="O486" s="0" t="str">
        <f aca="false">IF(AND(L486&gt;=22,L486&lt;=25,E486&gt;=TIME(18,0,0)),"24H Night", IF(AND(L486&gt;=22,L486&lt;=25,E486&lt;TIME(18,0,0)),"24H Day", IF(AND(L486&gt;=11,L486&lt;=13,E486&gt;=TIME(18,0,0)),"12H Night", IF(AND(L486&gt;=11,L486&lt;=13,E486&lt;TIME(18,0,0)),"12H Day", IF(AND(L486&lt;10,E486&gt;=TIME(18,0,0)),"Couple Night", "Couple Day")))))</f>
        <v>Couple Day</v>
      </c>
      <c r="P486" s="0" t="n">
        <f aca="false">WEEKDAY(D486,2)</f>
        <v>5</v>
      </c>
      <c r="Q486" s="0" t="n">
        <f aca="false">MONTH(D486)</f>
        <v>8</v>
      </c>
      <c r="R486" s="0" t="str">
        <f aca="false">"Q"&amp;ROUNDUP(MONTH(D486)/3,0)</f>
        <v>Q3</v>
      </c>
    </row>
    <row r="487" customFormat="false" ht="102.95" hidden="false" customHeight="false" outlineLevel="0" collapsed="false">
      <c r="A487" s="7" t="s">
        <v>1391</v>
      </c>
      <c r="B487" s="7" t="s">
        <v>1392</v>
      </c>
      <c r="C487" s="13" t="s">
        <v>1393</v>
      </c>
      <c r="D487" s="11" t="n">
        <v>45877</v>
      </c>
      <c r="E487" s="12" t="n">
        <v>0.791666666700625</v>
      </c>
      <c r="F487" s="11" t="n">
        <v>45878</v>
      </c>
      <c r="G487" s="12" t="n">
        <v>0.75</v>
      </c>
      <c r="H487" s="10" t="n">
        <v>45876.7458065972</v>
      </c>
      <c r="I487" s="7" t="n">
        <v>4500</v>
      </c>
      <c r="J487" s="0" t="n">
        <f aca="false">IF(AND(D487&gt;=DATE(YEAR(D487),3,15),D487&lt;=DATE(YEAR(D487),6,10)),1,0)</f>
        <v>0</v>
      </c>
      <c r="K487" s="0" t="e">
        <f aca="false">VLOOKUP(D487,Festival_List!$A$2:$B$100,2,0)</f>
        <v>#N/A</v>
      </c>
      <c r="L487" s="0" t="n">
        <f aca="false">ROUND(((F487+G487)-(D487+E487))*24,0)</f>
        <v>23</v>
      </c>
      <c r="M487" s="0" t="n">
        <f aca="false">IF(OR(WEEKDAY(D487)=1,WEEKDAY(D487)=7),1,0)</f>
        <v>0</v>
      </c>
      <c r="N487" s="0" t="str">
        <f aca="false">IF(AND(MONTH(D487)&gt;=3,MONTH(D487)&lt;=6),"Summer",IF(AND(MONTH(D487)&gt;=7,MONTH(D487)&lt;=9),"Monsoon","Winter"))</f>
        <v>Monsoon</v>
      </c>
      <c r="O487" s="0" t="str">
        <f aca="false">IF(AND(L487&gt;=22,L487&lt;=25,E487&gt;=TIME(18,0,0)),"24H Night", IF(AND(L487&gt;=22,L487&lt;=25,E487&lt;TIME(18,0,0)),"24H Day", IF(AND(L487&gt;=11,L487&lt;=13,E487&gt;=TIME(18,0,0)),"12H Night", IF(AND(L487&gt;=11,L487&lt;=13,E487&lt;TIME(18,0,0)),"12H Day", IF(AND(L487&lt;10,E487&gt;=TIME(18,0,0)),"Couple Night", "Couple Day")))))</f>
        <v>24H Night</v>
      </c>
      <c r="P487" s="0" t="n">
        <f aca="false">WEEKDAY(D487,2)</f>
        <v>5</v>
      </c>
      <c r="Q487" s="0" t="n">
        <f aca="false">MONTH(D487)</f>
        <v>8</v>
      </c>
      <c r="R487" s="0" t="str">
        <f aca="false">"Q"&amp;ROUNDUP(MONTH(D487)/3,0)</f>
        <v>Q3</v>
      </c>
    </row>
    <row r="488" customFormat="false" ht="90.25" hidden="false" customHeight="false" outlineLevel="0" collapsed="false">
      <c r="A488" s="7" t="s">
        <v>1394</v>
      </c>
      <c r="B488" s="7" t="s">
        <v>1395</v>
      </c>
      <c r="C488" s="13" t="s">
        <v>1396</v>
      </c>
      <c r="D488" s="11" t="n">
        <v>45878</v>
      </c>
      <c r="E488" s="12" t="n">
        <v>0.791666666700625</v>
      </c>
      <c r="F488" s="11" t="n">
        <v>45879</v>
      </c>
      <c r="G488" s="12" t="n">
        <v>0.75</v>
      </c>
      <c r="H488" s="10" t="n">
        <v>45876.610799537</v>
      </c>
      <c r="I488" s="7" t="n">
        <v>4500</v>
      </c>
      <c r="J488" s="0" t="n">
        <f aca="false">IF(AND(D488&gt;=DATE(YEAR(D488),3,15),D488&lt;=DATE(YEAR(D488),6,10)),1,0)</f>
        <v>0</v>
      </c>
      <c r="K488" s="0" t="e">
        <f aca="false">VLOOKUP(D488,Festival_List!$A$2:$B$100,2,0)</f>
        <v>#N/A</v>
      </c>
      <c r="L488" s="0" t="n">
        <f aca="false">ROUND(((F488+G488)-(D488+E488))*24,0)</f>
        <v>23</v>
      </c>
      <c r="M488" s="0" t="n">
        <f aca="false">IF(OR(WEEKDAY(D488)=1,WEEKDAY(D488)=7),1,0)</f>
        <v>1</v>
      </c>
      <c r="N488" s="0" t="str">
        <f aca="false">IF(AND(MONTH(D488)&gt;=3,MONTH(D488)&lt;=6),"Summer",IF(AND(MONTH(D488)&gt;=7,MONTH(D488)&lt;=9),"Monsoon","Winter"))</f>
        <v>Monsoon</v>
      </c>
      <c r="O488" s="0" t="str">
        <f aca="false">IF(AND(L488&gt;=22,L488&lt;=25,E488&gt;=TIME(18,0,0)),"24H Night", IF(AND(L488&gt;=22,L488&lt;=25,E488&lt;TIME(18,0,0)),"24H Day", IF(AND(L488&gt;=11,L488&lt;=13,E488&gt;=TIME(18,0,0)),"12H Night", IF(AND(L488&gt;=11,L488&lt;=13,E488&lt;TIME(18,0,0)),"12H Day", IF(AND(L488&lt;10,E488&gt;=TIME(18,0,0)),"Couple Night", "Couple Day")))))</f>
        <v>24H Night</v>
      </c>
      <c r="P488" s="0" t="n">
        <f aca="false">WEEKDAY(D488,2)</f>
        <v>6</v>
      </c>
      <c r="Q488" s="0" t="n">
        <f aca="false">MONTH(D488)</f>
        <v>8</v>
      </c>
      <c r="R488" s="0" t="str">
        <f aca="false">"Q"&amp;ROUNDUP(MONTH(D488)/3,0)</f>
        <v>Q3</v>
      </c>
    </row>
    <row r="489" customFormat="false" ht="141" hidden="false" customHeight="false" outlineLevel="0" collapsed="false">
      <c r="A489" s="7" t="s">
        <v>1397</v>
      </c>
      <c r="B489" s="7" t="s">
        <v>1013</v>
      </c>
      <c r="C489" s="13" t="s">
        <v>1398</v>
      </c>
      <c r="D489" s="11" t="n">
        <v>45880</v>
      </c>
      <c r="E489" s="12" t="n">
        <v>0.791666666700625</v>
      </c>
      <c r="F489" s="11" t="n">
        <v>45881</v>
      </c>
      <c r="G489" s="12" t="n">
        <v>0.75</v>
      </c>
      <c r="H489" s="10" t="n">
        <v>45878.5907728009</v>
      </c>
      <c r="I489" s="7" t="n">
        <v>3500</v>
      </c>
      <c r="J489" s="0" t="n">
        <f aca="false">IF(AND(D489&gt;=DATE(YEAR(D489),3,15),D489&lt;=DATE(YEAR(D489),6,10)),1,0)</f>
        <v>0</v>
      </c>
      <c r="K489" s="0" t="e">
        <f aca="false">VLOOKUP(D489,Festival_List!$A$2:$B$100,2,0)</f>
        <v>#N/A</v>
      </c>
      <c r="L489" s="0" t="n">
        <f aca="false">ROUND(((F489+G489)-(D489+E489))*24,0)</f>
        <v>23</v>
      </c>
      <c r="M489" s="0" t="n">
        <f aca="false">IF(OR(WEEKDAY(D489)=1,WEEKDAY(D489)=7),1,0)</f>
        <v>0</v>
      </c>
      <c r="N489" s="0" t="str">
        <f aca="false">IF(AND(MONTH(D489)&gt;=3,MONTH(D489)&lt;=6),"Summer",IF(AND(MONTH(D489)&gt;=7,MONTH(D489)&lt;=9),"Monsoon","Winter"))</f>
        <v>Monsoon</v>
      </c>
      <c r="O489" s="0" t="str">
        <f aca="false">IF(AND(L489&gt;=22,L489&lt;=25,E489&gt;=TIME(18,0,0)),"24H Night", IF(AND(L489&gt;=22,L489&lt;=25,E489&lt;TIME(18,0,0)),"24H Day", IF(AND(L489&gt;=11,L489&lt;=13,E489&gt;=TIME(18,0,0)),"12H Night", IF(AND(L489&gt;=11,L489&lt;=13,E489&lt;TIME(18,0,0)),"12H Day", IF(AND(L489&lt;10,E489&gt;=TIME(18,0,0)),"Couple Night", "Couple Day")))))</f>
        <v>24H Night</v>
      </c>
      <c r="P489" s="0" t="n">
        <f aca="false">WEEKDAY(D489,2)</f>
        <v>1</v>
      </c>
      <c r="Q489" s="0" t="n">
        <f aca="false">MONTH(D489)</f>
        <v>8</v>
      </c>
      <c r="R489" s="0" t="str">
        <f aca="false">"Q"&amp;ROUNDUP(MONTH(D489)/3,0)</f>
        <v>Q3</v>
      </c>
    </row>
    <row r="490" customFormat="false" ht="102.95" hidden="false" customHeight="false" outlineLevel="0" collapsed="false">
      <c r="A490" s="7" t="s">
        <v>1399</v>
      </c>
      <c r="B490" s="7" t="s">
        <v>1400</v>
      </c>
      <c r="C490" s="13" t="s">
        <v>1401</v>
      </c>
      <c r="D490" s="11" t="n">
        <v>45882</v>
      </c>
      <c r="E490" s="12" t="n">
        <v>0.375</v>
      </c>
      <c r="F490" s="11" t="n">
        <v>45882</v>
      </c>
      <c r="G490" s="12" t="n">
        <v>0.75</v>
      </c>
      <c r="H490" s="10" t="n">
        <v>45874.6679068287</v>
      </c>
      <c r="I490" s="7" t="n">
        <v>3000</v>
      </c>
      <c r="J490" s="0" t="n">
        <f aca="false">IF(AND(D490&gt;=DATE(YEAR(D490),3,15),D490&lt;=DATE(YEAR(D490),6,10)),1,0)</f>
        <v>0</v>
      </c>
      <c r="K490" s="0" t="e">
        <f aca="false">VLOOKUP(D490,Festival_List!$A$2:$B$100,2,0)</f>
        <v>#N/A</v>
      </c>
      <c r="L490" s="0" t="n">
        <f aca="false">ROUND(((F490+G490)-(D490+E490))*24,0)</f>
        <v>9</v>
      </c>
      <c r="M490" s="0" t="n">
        <f aca="false">IF(OR(WEEKDAY(D490)=1,WEEKDAY(D490)=7),1,0)</f>
        <v>0</v>
      </c>
      <c r="N490" s="0" t="str">
        <f aca="false">IF(AND(MONTH(D490)&gt;=3,MONTH(D490)&lt;=6),"Summer",IF(AND(MONTH(D490)&gt;=7,MONTH(D490)&lt;=9),"Monsoon","Winter"))</f>
        <v>Monsoon</v>
      </c>
      <c r="O490" s="0" t="str">
        <f aca="false">IF(AND(L490&gt;=22,L490&lt;=25,E490&gt;=TIME(18,0,0)),"24H Night", IF(AND(L490&gt;=22,L490&lt;=25,E490&lt;TIME(18,0,0)),"24H Day", IF(AND(L490&gt;=11,L490&lt;=13,E490&gt;=TIME(18,0,0)),"12H Night", IF(AND(L490&gt;=11,L490&lt;=13,E490&lt;TIME(18,0,0)),"12H Day", IF(AND(L490&lt;10,E490&gt;=TIME(18,0,0)),"Couple Night", "Couple Day")))))</f>
        <v>Couple Day</v>
      </c>
      <c r="P490" s="0" t="n">
        <f aca="false">WEEKDAY(D490,2)</f>
        <v>3</v>
      </c>
      <c r="Q490" s="0" t="n">
        <f aca="false">MONTH(D490)</f>
        <v>8</v>
      </c>
      <c r="R490" s="0" t="str">
        <f aca="false">"Q"&amp;ROUNDUP(MONTH(D490)/3,0)</f>
        <v>Q3</v>
      </c>
    </row>
    <row r="491" customFormat="false" ht="90.25" hidden="false" customHeight="false" outlineLevel="0" collapsed="false">
      <c r="A491" s="7" t="s">
        <v>1402</v>
      </c>
      <c r="B491" s="7" t="s">
        <v>1403</v>
      </c>
      <c r="C491" s="13" t="s">
        <v>1404</v>
      </c>
      <c r="D491" s="11" t="n">
        <v>45883</v>
      </c>
      <c r="E491" s="12" t="n">
        <v>0.791666666700625</v>
      </c>
      <c r="F491" s="11" t="n">
        <v>45884</v>
      </c>
      <c r="G491" s="12" t="n">
        <v>0.75</v>
      </c>
      <c r="H491" s="10" t="n">
        <v>45880.668440625</v>
      </c>
      <c r="I491" s="7" t="n">
        <v>4500</v>
      </c>
      <c r="J491" s="0" t="n">
        <f aca="false">IF(AND(D491&gt;=DATE(YEAR(D491),3,15),D491&lt;=DATE(YEAR(D491),6,10)),1,0)</f>
        <v>0</v>
      </c>
      <c r="K491" s="0" t="e">
        <f aca="false">VLOOKUP(D491,Festival_List!$A$2:$B$100,2,0)</f>
        <v>#N/A</v>
      </c>
      <c r="L491" s="0" t="n">
        <f aca="false">ROUND(((F491+G491)-(D491+E491))*24,0)</f>
        <v>23</v>
      </c>
      <c r="M491" s="0" t="n">
        <f aca="false">IF(OR(WEEKDAY(D491)=1,WEEKDAY(D491)=7),1,0)</f>
        <v>0</v>
      </c>
      <c r="N491" s="0" t="str">
        <f aca="false">IF(AND(MONTH(D491)&gt;=3,MONTH(D491)&lt;=6),"Summer",IF(AND(MONTH(D491)&gt;=7,MONTH(D491)&lt;=9),"Monsoon","Winter"))</f>
        <v>Monsoon</v>
      </c>
      <c r="O491" s="0" t="str">
        <f aca="false">IF(AND(L491&gt;=22,L491&lt;=25,E491&gt;=TIME(18,0,0)),"24H Night", IF(AND(L491&gt;=22,L491&lt;=25,E491&lt;TIME(18,0,0)),"24H Day", IF(AND(L491&gt;=11,L491&lt;=13,E491&gt;=TIME(18,0,0)),"12H Night", IF(AND(L491&gt;=11,L491&lt;=13,E491&lt;TIME(18,0,0)),"12H Day", IF(AND(L491&lt;10,E491&gt;=TIME(18,0,0)),"Couple Night", "Couple Day")))))</f>
        <v>24H Night</v>
      </c>
      <c r="P491" s="0" t="n">
        <f aca="false">WEEKDAY(D491,2)</f>
        <v>4</v>
      </c>
      <c r="Q491" s="0" t="n">
        <f aca="false">MONTH(D491)</f>
        <v>8</v>
      </c>
      <c r="R491" s="0" t="str">
        <f aca="false">"Q"&amp;ROUNDUP(MONTH(D491)/3,0)</f>
        <v>Q3</v>
      </c>
    </row>
    <row r="492" customFormat="false" ht="90.25" hidden="false" customHeight="false" outlineLevel="0" collapsed="false">
      <c r="A492" s="7" t="s">
        <v>1405</v>
      </c>
      <c r="B492" s="7" t="s">
        <v>1406</v>
      </c>
      <c r="C492" s="13" t="s">
        <v>1407</v>
      </c>
      <c r="D492" s="11" t="n">
        <v>45884</v>
      </c>
      <c r="E492" s="12" t="n">
        <v>0.791666666700625</v>
      </c>
      <c r="F492" s="11" t="n">
        <v>45885</v>
      </c>
      <c r="G492" s="12" t="n">
        <v>0.75</v>
      </c>
      <c r="H492" s="10" t="n">
        <v>45880.4986444445</v>
      </c>
      <c r="I492" s="7" t="n">
        <v>6500</v>
      </c>
      <c r="J492" s="0" t="n">
        <f aca="false">IF(AND(D492&gt;=DATE(YEAR(D492),3,15),D492&lt;=DATE(YEAR(D492),6,10)),1,0)</f>
        <v>0</v>
      </c>
      <c r="K492" s="0" t="str">
        <f aca="false">VLOOKUP(D492,Festival_List!$A$2:$B$100,2,0)</f>
        <v>Independence Day</v>
      </c>
      <c r="L492" s="0" t="n">
        <f aca="false">ROUND(((F492+G492)-(D492+E492))*24,0)</f>
        <v>23</v>
      </c>
      <c r="M492" s="0" t="n">
        <f aca="false">IF(OR(WEEKDAY(D492)=1,WEEKDAY(D492)=7),1,0)</f>
        <v>0</v>
      </c>
      <c r="N492" s="0" t="str">
        <f aca="false">IF(AND(MONTH(D492)&gt;=3,MONTH(D492)&lt;=6),"Summer",IF(AND(MONTH(D492)&gt;=7,MONTH(D492)&lt;=9),"Monsoon","Winter"))</f>
        <v>Monsoon</v>
      </c>
      <c r="O492" s="0" t="str">
        <f aca="false">IF(AND(L492&gt;=22,L492&lt;=25,E492&gt;=TIME(18,0,0)),"24H Night", IF(AND(L492&gt;=22,L492&lt;=25,E492&lt;TIME(18,0,0)),"24H Day", IF(AND(L492&gt;=11,L492&lt;=13,E492&gt;=TIME(18,0,0)),"12H Night", IF(AND(L492&gt;=11,L492&lt;=13,E492&lt;TIME(18,0,0)),"12H Day", IF(AND(L492&lt;10,E492&gt;=TIME(18,0,0)),"Couple Night", "Couple Day")))))</f>
        <v>24H Night</v>
      </c>
      <c r="P492" s="0" t="n">
        <f aca="false">WEEKDAY(D492,2)</f>
        <v>5</v>
      </c>
      <c r="Q492" s="0" t="n">
        <f aca="false">MONTH(D492)</f>
        <v>8</v>
      </c>
      <c r="R492" s="0" t="str">
        <f aca="false">"Q"&amp;ROUNDUP(MONTH(D492)/3,0)</f>
        <v>Q3</v>
      </c>
    </row>
    <row r="493" customFormat="false" ht="102.95" hidden="false" customHeight="false" outlineLevel="0" collapsed="false">
      <c r="A493" s="7" t="s">
        <v>1408</v>
      </c>
      <c r="B493" s="7" t="s">
        <v>1409</v>
      </c>
      <c r="C493" s="13" t="s">
        <v>1410</v>
      </c>
      <c r="D493" s="11" t="n">
        <v>45885</v>
      </c>
      <c r="E493" s="12" t="n">
        <v>0.791666666700625</v>
      </c>
      <c r="F493" s="11" t="n">
        <v>45886</v>
      </c>
      <c r="G493" s="12" t="n">
        <v>0.75</v>
      </c>
      <c r="H493" s="10" t="n">
        <v>45885.5368532407</v>
      </c>
      <c r="I493" s="7" t="n">
        <v>1000</v>
      </c>
      <c r="J493" s="0" t="n">
        <f aca="false">IF(AND(D493&gt;=DATE(YEAR(D493),3,15),D493&lt;=DATE(YEAR(D493),6,10)),1,0)</f>
        <v>0</v>
      </c>
      <c r="K493" s="0" t="e">
        <f aca="false">VLOOKUP(D493,Festival_List!$A$2:$B$100,2,0)</f>
        <v>#N/A</v>
      </c>
      <c r="L493" s="0" t="n">
        <f aca="false">ROUND(((F493+G493)-(D493+E493))*24,0)</f>
        <v>23</v>
      </c>
      <c r="M493" s="0" t="n">
        <f aca="false">IF(OR(WEEKDAY(D493)=1,WEEKDAY(D493)=7),1,0)</f>
        <v>1</v>
      </c>
      <c r="N493" s="0" t="str">
        <f aca="false">IF(AND(MONTH(D493)&gt;=3,MONTH(D493)&lt;=6),"Summer",IF(AND(MONTH(D493)&gt;=7,MONTH(D493)&lt;=9),"Monsoon","Winter"))</f>
        <v>Monsoon</v>
      </c>
      <c r="O493" s="0" t="str">
        <f aca="false">IF(AND(L493&gt;=22,L493&lt;=25,E493&gt;=TIME(18,0,0)),"24H Night", IF(AND(L493&gt;=22,L493&lt;=25,E493&lt;TIME(18,0,0)),"24H Day", IF(AND(L493&gt;=11,L493&lt;=13,E493&gt;=TIME(18,0,0)),"12H Night", IF(AND(L493&gt;=11,L493&lt;=13,E493&lt;TIME(18,0,0)),"12H Day", IF(AND(L493&lt;10,E493&gt;=TIME(18,0,0)),"Couple Night", "Couple Day")))))</f>
        <v>24H Night</v>
      </c>
      <c r="P493" s="0" t="n">
        <f aca="false">WEEKDAY(D493,2)</f>
        <v>6</v>
      </c>
      <c r="Q493" s="0" t="n">
        <f aca="false">MONTH(D493)</f>
        <v>8</v>
      </c>
      <c r="R493" s="0" t="str">
        <f aca="false">"Q"&amp;ROUNDUP(MONTH(D493)/3,0)</f>
        <v>Q3</v>
      </c>
    </row>
    <row r="494" customFormat="false" ht="115.65" hidden="false" customHeight="false" outlineLevel="0" collapsed="false">
      <c r="A494" s="7" t="s">
        <v>1411</v>
      </c>
      <c r="B494" s="7" t="s">
        <v>1412</v>
      </c>
      <c r="C494" s="13" t="s">
        <v>1413</v>
      </c>
      <c r="D494" s="11" t="n">
        <v>45885</v>
      </c>
      <c r="E494" s="12" t="n">
        <v>0.791666666700625</v>
      </c>
      <c r="F494" s="11" t="n">
        <v>45886</v>
      </c>
      <c r="G494" s="12" t="n">
        <v>0.75</v>
      </c>
      <c r="H494" s="10" t="n">
        <v>45885.5345914352</v>
      </c>
      <c r="I494" s="7" t="n">
        <v>5000</v>
      </c>
      <c r="J494" s="0" t="n">
        <f aca="false">IF(AND(D494&gt;=DATE(YEAR(D494),3,15),D494&lt;=DATE(YEAR(D494),6,10)),1,0)</f>
        <v>0</v>
      </c>
      <c r="K494" s="0" t="e">
        <f aca="false">VLOOKUP(D494,Festival_List!$A$2:$B$100,2,0)</f>
        <v>#N/A</v>
      </c>
      <c r="L494" s="0" t="n">
        <f aca="false">ROUND(((F494+G494)-(D494+E494))*24,0)</f>
        <v>23</v>
      </c>
      <c r="M494" s="0" t="n">
        <f aca="false">IF(OR(WEEKDAY(D494)=1,WEEKDAY(D494)=7),1,0)</f>
        <v>1</v>
      </c>
      <c r="N494" s="0" t="str">
        <f aca="false">IF(AND(MONTH(D494)&gt;=3,MONTH(D494)&lt;=6),"Summer",IF(AND(MONTH(D494)&gt;=7,MONTH(D494)&lt;=9),"Monsoon","Winter"))</f>
        <v>Monsoon</v>
      </c>
      <c r="O494" s="0" t="str">
        <f aca="false">IF(AND(L494&gt;=22,L494&lt;=25,E494&gt;=TIME(18,0,0)),"24H Night", IF(AND(L494&gt;=22,L494&lt;=25,E494&lt;TIME(18,0,0)),"24H Day", IF(AND(L494&gt;=11,L494&lt;=13,E494&gt;=TIME(18,0,0)),"12H Night", IF(AND(L494&gt;=11,L494&lt;=13,E494&lt;TIME(18,0,0)),"12H Day", IF(AND(L494&lt;10,E494&gt;=TIME(18,0,0)),"Couple Night", "Couple Day")))))</f>
        <v>24H Night</v>
      </c>
      <c r="P494" s="0" t="n">
        <f aca="false">WEEKDAY(D494,2)</f>
        <v>6</v>
      </c>
      <c r="Q494" s="0" t="n">
        <f aca="false">MONTH(D494)</f>
        <v>8</v>
      </c>
      <c r="R494" s="0" t="str">
        <f aca="false">"Q"&amp;ROUNDUP(MONTH(D494)/3,0)</f>
        <v>Q3</v>
      </c>
    </row>
    <row r="495" customFormat="false" ht="115.65" hidden="false" customHeight="false" outlineLevel="0" collapsed="false">
      <c r="A495" s="7" t="s">
        <v>1414</v>
      </c>
      <c r="B495" s="7" t="s">
        <v>1415</v>
      </c>
      <c r="C495" s="13" t="s">
        <v>1416</v>
      </c>
      <c r="D495" s="11" t="n">
        <v>45887</v>
      </c>
      <c r="E495" s="12" t="n">
        <v>0.333333333299375</v>
      </c>
      <c r="F495" s="11" t="n">
        <v>45888</v>
      </c>
      <c r="G495" s="12" t="n">
        <v>0.333333333299375</v>
      </c>
      <c r="H495" s="10" t="n">
        <v>45891.9401319444</v>
      </c>
      <c r="I495" s="7" t="n">
        <v>4000</v>
      </c>
      <c r="J495" s="0" t="n">
        <f aca="false">IF(AND(D495&gt;=DATE(YEAR(D495),3,15),D495&lt;=DATE(YEAR(D495),6,10)),1,0)</f>
        <v>0</v>
      </c>
      <c r="K495" s="0" t="e">
        <f aca="false">VLOOKUP(D495,Festival_List!$A$2:$B$100,2,0)</f>
        <v>#N/A</v>
      </c>
      <c r="L495" s="0" t="n">
        <f aca="false">ROUND(((F495+G495)-(D495+E495))*24,0)</f>
        <v>24</v>
      </c>
      <c r="M495" s="0" t="n">
        <f aca="false">IF(OR(WEEKDAY(D495)=1,WEEKDAY(D495)=7),1,0)</f>
        <v>0</v>
      </c>
      <c r="N495" s="0" t="str">
        <f aca="false">IF(AND(MONTH(D495)&gt;=3,MONTH(D495)&lt;=6),"Summer",IF(AND(MONTH(D495)&gt;=7,MONTH(D495)&lt;=9),"Monsoon","Winter"))</f>
        <v>Monsoon</v>
      </c>
      <c r="O495" s="0" t="str">
        <f aca="false">IF(AND(L495&gt;=22,L495&lt;=25,E495&gt;=TIME(18,0,0)),"24H Night", IF(AND(L495&gt;=22,L495&lt;=25,E495&lt;TIME(18,0,0)),"24H Day", IF(AND(L495&gt;=11,L495&lt;=13,E495&gt;=TIME(18,0,0)),"12H Night", IF(AND(L495&gt;=11,L495&lt;=13,E495&lt;TIME(18,0,0)),"12H Day", IF(AND(L495&lt;10,E495&gt;=TIME(18,0,0)),"Couple Night", "Couple Day")))))</f>
        <v>24H Day</v>
      </c>
      <c r="P495" s="0" t="n">
        <f aca="false">WEEKDAY(D495,2)</f>
        <v>1</v>
      </c>
      <c r="Q495" s="0" t="n">
        <f aca="false">MONTH(D495)</f>
        <v>8</v>
      </c>
      <c r="R495" s="0" t="str">
        <f aca="false">"Q"&amp;ROUNDUP(MONTH(D495)/3,0)</f>
        <v>Q3</v>
      </c>
    </row>
    <row r="496" customFormat="false" ht="102.95" hidden="false" customHeight="false" outlineLevel="0" collapsed="false">
      <c r="A496" s="7" t="s">
        <v>1417</v>
      </c>
      <c r="B496" s="7" t="s">
        <v>1418</v>
      </c>
      <c r="C496" s="13" t="s">
        <v>1401</v>
      </c>
      <c r="D496" s="11" t="n">
        <v>45890</v>
      </c>
      <c r="E496" s="12" t="n">
        <v>0.458333333299375</v>
      </c>
      <c r="F496" s="11" t="n">
        <v>45890</v>
      </c>
      <c r="G496" s="12" t="n">
        <v>0.791666666700625</v>
      </c>
      <c r="H496" s="10" t="n">
        <v>45889.5870664352</v>
      </c>
      <c r="I496" s="7" t="n">
        <v>3000</v>
      </c>
      <c r="J496" s="0" t="n">
        <f aca="false">IF(AND(D496&gt;=DATE(YEAR(D496),3,15),D496&lt;=DATE(YEAR(D496),6,10)),1,0)</f>
        <v>0</v>
      </c>
      <c r="K496" s="0" t="e">
        <f aca="false">VLOOKUP(D496,Festival_List!$A$2:$B$100,2,0)</f>
        <v>#N/A</v>
      </c>
      <c r="L496" s="0" t="n">
        <f aca="false">ROUND(((F496+G496)-(D496+E496))*24,0)</f>
        <v>8</v>
      </c>
      <c r="M496" s="0" t="n">
        <f aca="false">IF(OR(WEEKDAY(D496)=1,WEEKDAY(D496)=7),1,0)</f>
        <v>0</v>
      </c>
      <c r="N496" s="0" t="str">
        <f aca="false">IF(AND(MONTH(D496)&gt;=3,MONTH(D496)&lt;=6),"Summer",IF(AND(MONTH(D496)&gt;=7,MONTH(D496)&lt;=9),"Monsoon","Winter"))</f>
        <v>Monsoon</v>
      </c>
      <c r="O496" s="0" t="str">
        <f aca="false">IF(AND(L496&gt;=22,L496&lt;=25,E496&gt;=TIME(18,0,0)),"24H Night", IF(AND(L496&gt;=22,L496&lt;=25,E496&lt;TIME(18,0,0)),"24H Day", IF(AND(L496&gt;=11,L496&lt;=13,E496&gt;=TIME(18,0,0)),"12H Night", IF(AND(L496&gt;=11,L496&lt;=13,E496&lt;TIME(18,0,0)),"12H Day", IF(AND(L496&lt;10,E496&gt;=TIME(18,0,0)),"Couple Night", "Couple Day")))))</f>
        <v>Couple Day</v>
      </c>
      <c r="P496" s="0" t="n">
        <f aca="false">WEEKDAY(D496,2)</f>
        <v>4</v>
      </c>
      <c r="Q496" s="0" t="n">
        <f aca="false">MONTH(D496)</f>
        <v>8</v>
      </c>
      <c r="R496" s="0" t="str">
        <f aca="false">"Q"&amp;ROUNDUP(MONTH(D496)/3,0)</f>
        <v>Q3</v>
      </c>
    </row>
    <row r="497" customFormat="false" ht="115.65" hidden="false" customHeight="false" outlineLevel="0" collapsed="false">
      <c r="A497" s="7" t="s">
        <v>1419</v>
      </c>
      <c r="B497" s="7" t="s">
        <v>1420</v>
      </c>
      <c r="C497" s="13" t="s">
        <v>1421</v>
      </c>
      <c r="D497" s="11" t="n">
        <v>45891</v>
      </c>
      <c r="E497" s="12" t="n">
        <v>0.791666666700625</v>
      </c>
      <c r="F497" s="11" t="n">
        <v>45892</v>
      </c>
      <c r="G497" s="12" t="n">
        <v>0.75</v>
      </c>
      <c r="H497" s="10" t="n">
        <v>45891.7817351852</v>
      </c>
      <c r="I497" s="7" t="n">
        <v>3500</v>
      </c>
      <c r="J497" s="0" t="n">
        <f aca="false">IF(AND(D497&gt;=DATE(YEAR(D497),3,15),D497&lt;=DATE(YEAR(D497),6,10)),1,0)</f>
        <v>0</v>
      </c>
      <c r="K497" s="0" t="e">
        <f aca="false">VLOOKUP(D497,Festival_List!$A$2:$B$100,2,0)</f>
        <v>#N/A</v>
      </c>
      <c r="L497" s="0" t="n">
        <f aca="false">ROUND(((F497+G497)-(D497+E497))*24,0)</f>
        <v>23</v>
      </c>
      <c r="M497" s="0" t="n">
        <f aca="false">IF(OR(WEEKDAY(D497)=1,WEEKDAY(D497)=7),1,0)</f>
        <v>0</v>
      </c>
      <c r="N497" s="0" t="str">
        <f aca="false">IF(AND(MONTH(D497)&gt;=3,MONTH(D497)&lt;=6),"Summer",IF(AND(MONTH(D497)&gt;=7,MONTH(D497)&lt;=9),"Monsoon","Winter"))</f>
        <v>Monsoon</v>
      </c>
      <c r="O497" s="0" t="str">
        <f aca="false">IF(AND(L497&gt;=22,L497&lt;=25,E497&gt;=TIME(18,0,0)),"24H Night", IF(AND(L497&gt;=22,L497&lt;=25,E497&lt;TIME(18,0,0)),"24H Day", IF(AND(L497&gt;=11,L497&lt;=13,E497&gt;=TIME(18,0,0)),"12H Night", IF(AND(L497&gt;=11,L497&lt;=13,E497&lt;TIME(18,0,0)),"12H Day", IF(AND(L497&lt;10,E497&gt;=TIME(18,0,0)),"Couple Night", "Couple Day")))))</f>
        <v>24H Night</v>
      </c>
      <c r="P497" s="0" t="n">
        <f aca="false">WEEKDAY(D497,2)</f>
        <v>5</v>
      </c>
      <c r="Q497" s="0" t="n">
        <f aca="false">MONTH(D497)</f>
        <v>8</v>
      </c>
      <c r="R497" s="0" t="str">
        <f aca="false">"Q"&amp;ROUNDUP(MONTH(D497)/3,0)</f>
        <v>Q3</v>
      </c>
    </row>
    <row r="498" customFormat="false" ht="13.8" hidden="false" customHeight="false" outlineLevel="0" collapsed="false">
      <c r="A498" s="7" t="s">
        <v>1422</v>
      </c>
      <c r="B498" s="7" t="s">
        <v>1423</v>
      </c>
      <c r="C498" s="7" t="s">
        <v>1424</v>
      </c>
      <c r="D498" s="11" t="n">
        <v>45892</v>
      </c>
      <c r="E498" s="12" t="n">
        <v>0.458333333299375</v>
      </c>
      <c r="F498" s="11" t="n">
        <v>45892</v>
      </c>
      <c r="G498" s="12" t="n">
        <v>0.666666666700625</v>
      </c>
      <c r="H498" s="10" t="n">
        <v>45891.9368658565</v>
      </c>
      <c r="I498" s="7" t="n">
        <v>500</v>
      </c>
      <c r="J498" s="0" t="n">
        <f aca="false">IF(AND(D498&gt;=DATE(YEAR(D498),3,15),D498&lt;=DATE(YEAR(D498),6,10)),1,0)</f>
        <v>0</v>
      </c>
      <c r="K498" s="0" t="e">
        <f aca="false">VLOOKUP(D498,Festival_List!$A$2:$B$100,2,0)</f>
        <v>#N/A</v>
      </c>
      <c r="L498" s="0" t="n">
        <f aca="false">ROUND(((F498+G498)-(D498+E498))*24,0)</f>
        <v>5</v>
      </c>
      <c r="M498" s="0" t="n">
        <f aca="false">IF(OR(WEEKDAY(D498)=1,WEEKDAY(D498)=7),1,0)</f>
        <v>1</v>
      </c>
      <c r="N498" s="0" t="str">
        <f aca="false">IF(AND(MONTH(D498)&gt;=3,MONTH(D498)&lt;=6),"Summer",IF(AND(MONTH(D498)&gt;=7,MONTH(D498)&lt;=9),"Monsoon","Winter"))</f>
        <v>Monsoon</v>
      </c>
      <c r="O498" s="0" t="str">
        <f aca="false">IF(AND(L498&gt;=22,L498&lt;=25,E498&gt;=TIME(18,0,0)),"24H Night", IF(AND(L498&gt;=22,L498&lt;=25,E498&lt;TIME(18,0,0)),"24H Day", IF(AND(L498&gt;=11,L498&lt;=13,E498&gt;=TIME(18,0,0)),"12H Night", IF(AND(L498&gt;=11,L498&lt;=13,E498&lt;TIME(18,0,0)),"12H Day", IF(AND(L498&lt;10,E498&gt;=TIME(18,0,0)),"Couple Night", "Couple Day")))))</f>
        <v>Couple Day</v>
      </c>
      <c r="P498" s="0" t="n">
        <f aca="false">WEEKDAY(D498,2)</f>
        <v>6</v>
      </c>
      <c r="Q498" s="0" t="n">
        <f aca="false">MONTH(D498)</f>
        <v>8</v>
      </c>
      <c r="R498" s="0" t="str">
        <f aca="false">"Q"&amp;ROUNDUP(MONTH(D498)/3,0)</f>
        <v>Q3</v>
      </c>
    </row>
    <row r="499" customFormat="false" ht="141" hidden="false" customHeight="false" outlineLevel="0" collapsed="false">
      <c r="A499" s="7" t="s">
        <v>1425</v>
      </c>
      <c r="B499" s="7" t="s">
        <v>733</v>
      </c>
      <c r="C499" s="13" t="s">
        <v>1426</v>
      </c>
      <c r="D499" s="11" t="n">
        <v>45892</v>
      </c>
      <c r="E499" s="12" t="n">
        <v>0.791666666700625</v>
      </c>
      <c r="F499" s="11" t="n">
        <v>45893</v>
      </c>
      <c r="G499" s="12" t="n">
        <v>0.75</v>
      </c>
      <c r="H499" s="10" t="n">
        <v>45892.5583386574</v>
      </c>
      <c r="I499" s="7" t="n">
        <v>3500</v>
      </c>
      <c r="J499" s="0" t="n">
        <f aca="false">IF(AND(D499&gt;=DATE(YEAR(D499),3,15),D499&lt;=DATE(YEAR(D499),6,10)),1,0)</f>
        <v>0</v>
      </c>
      <c r="K499" s="0" t="e">
        <f aca="false">VLOOKUP(D499,Festival_List!$A$2:$B$100,2,0)</f>
        <v>#N/A</v>
      </c>
      <c r="L499" s="0" t="n">
        <f aca="false">ROUND(((F499+G499)-(D499+E499))*24,0)</f>
        <v>23</v>
      </c>
      <c r="M499" s="0" t="n">
        <f aca="false">IF(OR(WEEKDAY(D499)=1,WEEKDAY(D499)=7),1,0)</f>
        <v>1</v>
      </c>
      <c r="N499" s="0" t="str">
        <f aca="false">IF(AND(MONTH(D499)&gt;=3,MONTH(D499)&lt;=6),"Summer",IF(AND(MONTH(D499)&gt;=7,MONTH(D499)&lt;=9),"Monsoon","Winter"))</f>
        <v>Monsoon</v>
      </c>
      <c r="O499" s="0" t="str">
        <f aca="false">IF(AND(L499&gt;=22,L499&lt;=25,E499&gt;=TIME(18,0,0)),"24H Night", IF(AND(L499&gt;=22,L499&lt;=25,E499&lt;TIME(18,0,0)),"24H Day", IF(AND(L499&gt;=11,L499&lt;=13,E499&gt;=TIME(18,0,0)),"12H Night", IF(AND(L499&gt;=11,L499&lt;=13,E499&lt;TIME(18,0,0)),"12H Day", IF(AND(L499&lt;10,E499&gt;=TIME(18,0,0)),"Couple Night", "Couple Day")))))</f>
        <v>24H Night</v>
      </c>
      <c r="P499" s="0" t="n">
        <f aca="false">WEEKDAY(D499,2)</f>
        <v>6</v>
      </c>
      <c r="Q499" s="0" t="n">
        <f aca="false">MONTH(D499)</f>
        <v>8</v>
      </c>
      <c r="R499" s="0" t="str">
        <f aca="false">"Q"&amp;ROUNDUP(MONTH(D499)/3,0)</f>
        <v>Q3</v>
      </c>
    </row>
    <row r="500" customFormat="false" ht="77.6" hidden="false" customHeight="false" outlineLevel="0" collapsed="false">
      <c r="A500" s="7" t="s">
        <v>1427</v>
      </c>
      <c r="B500" s="7" t="s">
        <v>1428</v>
      </c>
      <c r="C500" s="13" t="s">
        <v>1429</v>
      </c>
      <c r="D500" s="11" t="n">
        <v>45894</v>
      </c>
      <c r="E500" s="12" t="n">
        <v>0.375</v>
      </c>
      <c r="F500" s="11" t="n">
        <v>45894</v>
      </c>
      <c r="G500" s="12" t="n">
        <v>0.791666666700625</v>
      </c>
      <c r="H500" s="10" t="n">
        <v>45893.7491873843</v>
      </c>
      <c r="I500" s="7" t="n">
        <v>2500</v>
      </c>
      <c r="J500" s="0" t="n">
        <f aca="false">IF(AND(D500&gt;=DATE(YEAR(D500),3,15),D500&lt;=DATE(YEAR(D500),6,10)),1,0)</f>
        <v>0</v>
      </c>
      <c r="K500" s="0" t="e">
        <f aca="false">VLOOKUP(D500,Festival_List!$A$2:$B$100,2,0)</f>
        <v>#N/A</v>
      </c>
      <c r="L500" s="0" t="n">
        <f aca="false">ROUND(((F500+G500)-(D500+E500))*24,0)</f>
        <v>10</v>
      </c>
      <c r="M500" s="0" t="n">
        <f aca="false">IF(OR(WEEKDAY(D500)=1,WEEKDAY(D500)=7),1,0)</f>
        <v>0</v>
      </c>
      <c r="N500" s="0" t="str">
        <f aca="false">IF(AND(MONTH(D500)&gt;=3,MONTH(D500)&lt;=6),"Summer",IF(AND(MONTH(D500)&gt;=7,MONTH(D500)&lt;=9),"Monsoon","Winter"))</f>
        <v>Monsoon</v>
      </c>
      <c r="O500" s="0" t="str">
        <f aca="false">IF(AND(L500&gt;=22,L500&lt;=25,E500&gt;=TIME(18,0,0)),"24H Night", IF(AND(L500&gt;=22,L500&lt;=25,E500&lt;TIME(18,0,0)),"24H Day", IF(AND(L500&gt;=11,L500&lt;=13,E500&gt;=TIME(18,0,0)),"12H Night", IF(AND(L500&gt;=11,L500&lt;=13,E500&lt;TIME(18,0,0)),"12H Day", IF(AND(L500&lt;10,E500&gt;=TIME(18,0,0)),"Couple Night", "Couple Day")))))</f>
        <v>Couple Day</v>
      </c>
      <c r="P500" s="0" t="n">
        <f aca="false">WEEKDAY(D500,2)</f>
        <v>1</v>
      </c>
      <c r="Q500" s="0" t="n">
        <f aca="false">MONTH(D500)</f>
        <v>8</v>
      </c>
      <c r="R500" s="0" t="str">
        <f aca="false">"Q"&amp;ROUNDUP(MONTH(D500)/3,0)</f>
        <v>Q3</v>
      </c>
    </row>
    <row r="501" customFormat="false" ht="90.25" hidden="false" customHeight="false" outlineLevel="0" collapsed="false">
      <c r="A501" s="7" t="s">
        <v>1430</v>
      </c>
      <c r="B501" s="7" t="s">
        <v>1431</v>
      </c>
      <c r="C501" s="13" t="s">
        <v>1432</v>
      </c>
      <c r="D501" s="11" t="n">
        <v>45896</v>
      </c>
      <c r="E501" s="12" t="n">
        <v>0.375</v>
      </c>
      <c r="F501" s="11" t="n">
        <v>45896</v>
      </c>
      <c r="G501" s="12" t="n">
        <v>0.75</v>
      </c>
      <c r="H501" s="10" t="n">
        <v>45895.6361530093</v>
      </c>
      <c r="I501" s="7" t="n">
        <v>1500</v>
      </c>
      <c r="J501" s="0" t="n">
        <f aca="false">IF(AND(D501&gt;=DATE(YEAR(D501),3,15),D501&lt;=DATE(YEAR(D501),6,10)),1,0)</f>
        <v>0</v>
      </c>
      <c r="K501" s="0" t="str">
        <f aca="false">VLOOKUP(D501,Festival_List!$A$2:$B$100,2,0)</f>
        <v>Ganesh Chaturthi</v>
      </c>
      <c r="L501" s="0" t="n">
        <f aca="false">ROUND(((F501+G501)-(D501+E501))*24,0)</f>
        <v>9</v>
      </c>
      <c r="M501" s="0" t="n">
        <f aca="false">IF(OR(WEEKDAY(D501)=1,WEEKDAY(D501)=7),1,0)</f>
        <v>0</v>
      </c>
      <c r="N501" s="0" t="str">
        <f aca="false">IF(AND(MONTH(D501)&gt;=3,MONTH(D501)&lt;=6),"Summer",IF(AND(MONTH(D501)&gt;=7,MONTH(D501)&lt;=9),"Monsoon","Winter"))</f>
        <v>Monsoon</v>
      </c>
      <c r="O501" s="0" t="str">
        <f aca="false">IF(AND(L501&gt;=22,L501&lt;=25,E501&gt;=TIME(18,0,0)),"24H Night", IF(AND(L501&gt;=22,L501&lt;=25,E501&lt;TIME(18,0,0)),"24H Day", IF(AND(L501&gt;=11,L501&lt;=13,E501&gt;=TIME(18,0,0)),"12H Night", IF(AND(L501&gt;=11,L501&lt;=13,E501&lt;TIME(18,0,0)),"12H Day", IF(AND(L501&lt;10,E501&gt;=TIME(18,0,0)),"Couple Night", "Couple Day")))))</f>
        <v>Couple Day</v>
      </c>
      <c r="P501" s="0" t="n">
        <f aca="false">WEEKDAY(D501,2)</f>
        <v>3</v>
      </c>
      <c r="Q501" s="0" t="n">
        <f aca="false">MONTH(D501)</f>
        <v>8</v>
      </c>
      <c r="R501" s="0" t="str">
        <f aca="false">"Q"&amp;ROUNDUP(MONTH(D501)/3,0)</f>
        <v>Q3</v>
      </c>
    </row>
    <row r="502" customFormat="false" ht="141" hidden="false" customHeight="false" outlineLevel="0" collapsed="false">
      <c r="A502" s="7" t="s">
        <v>1433</v>
      </c>
      <c r="B502" s="7" t="s">
        <v>1322</v>
      </c>
      <c r="C502" s="13" t="s">
        <v>1434</v>
      </c>
      <c r="D502" s="11" t="n">
        <v>45896</v>
      </c>
      <c r="E502" s="12" t="n">
        <v>0.791666666700625</v>
      </c>
      <c r="F502" s="11" t="n">
        <v>45897</v>
      </c>
      <c r="G502" s="12" t="n">
        <v>0.75</v>
      </c>
      <c r="H502" s="10" t="n">
        <v>45892.561646412</v>
      </c>
      <c r="I502" s="7" t="n">
        <v>3500</v>
      </c>
      <c r="J502" s="0" t="n">
        <f aca="false">IF(AND(D502&gt;=DATE(YEAR(D502),3,15),D502&lt;=DATE(YEAR(D502),6,10)),1,0)</f>
        <v>0</v>
      </c>
      <c r="K502" s="0" t="str">
        <f aca="false">VLOOKUP(D502,Festival_List!$A$2:$B$100,2,0)</f>
        <v>Ganesh Chaturthi</v>
      </c>
      <c r="L502" s="0" t="n">
        <f aca="false">ROUND(((F502+G502)-(D502+E502))*24,0)</f>
        <v>23</v>
      </c>
      <c r="M502" s="0" t="n">
        <f aca="false">IF(OR(WEEKDAY(D502)=1,WEEKDAY(D502)=7),1,0)</f>
        <v>0</v>
      </c>
      <c r="N502" s="0" t="str">
        <f aca="false">IF(AND(MONTH(D502)&gt;=3,MONTH(D502)&lt;=6),"Summer",IF(AND(MONTH(D502)&gt;=7,MONTH(D502)&lt;=9),"Monsoon","Winter"))</f>
        <v>Monsoon</v>
      </c>
      <c r="O502" s="0" t="str">
        <f aca="false">IF(AND(L502&gt;=22,L502&lt;=25,E502&gt;=TIME(18,0,0)),"24H Night", IF(AND(L502&gt;=22,L502&lt;=25,E502&lt;TIME(18,0,0)),"24H Day", IF(AND(L502&gt;=11,L502&lt;=13,E502&gt;=TIME(18,0,0)),"12H Night", IF(AND(L502&gt;=11,L502&lt;=13,E502&lt;TIME(18,0,0)),"12H Day", IF(AND(L502&lt;10,E502&gt;=TIME(18,0,0)),"Couple Night", "Couple Day")))))</f>
        <v>24H Night</v>
      </c>
      <c r="P502" s="0" t="n">
        <f aca="false">WEEKDAY(D502,2)</f>
        <v>3</v>
      </c>
      <c r="Q502" s="0" t="n">
        <f aca="false">MONTH(D502)</f>
        <v>8</v>
      </c>
      <c r="R502" s="0" t="str">
        <f aca="false">"Q"&amp;ROUNDUP(MONTH(D502)/3,0)</f>
        <v>Q3</v>
      </c>
    </row>
    <row r="503" customFormat="false" ht="166.4" hidden="false" customHeight="false" outlineLevel="0" collapsed="false">
      <c r="A503" s="7" t="s">
        <v>1435</v>
      </c>
      <c r="B503" s="7" t="s">
        <v>420</v>
      </c>
      <c r="C503" s="13" t="s">
        <v>1436</v>
      </c>
      <c r="D503" s="11" t="n">
        <v>45898</v>
      </c>
      <c r="E503" s="12" t="n">
        <v>0.375</v>
      </c>
      <c r="F503" s="11" t="n">
        <v>45898</v>
      </c>
      <c r="G503" s="12" t="n">
        <v>0.75</v>
      </c>
      <c r="H503" s="10" t="n">
        <v>45898.4136185185</v>
      </c>
      <c r="I503" s="7" t="n">
        <v>3500</v>
      </c>
      <c r="J503" s="0" t="n">
        <f aca="false">IF(AND(D503&gt;=DATE(YEAR(D503),3,15),D503&lt;=DATE(YEAR(D503),6,10)),1,0)</f>
        <v>0</v>
      </c>
      <c r="K503" s="0" t="e">
        <f aca="false">VLOOKUP(D503,Festival_List!$A$2:$B$100,2,0)</f>
        <v>#N/A</v>
      </c>
      <c r="L503" s="0" t="n">
        <f aca="false">ROUND(((F503+G503)-(D503+E503))*24,0)</f>
        <v>9</v>
      </c>
      <c r="M503" s="0" t="n">
        <f aca="false">IF(OR(WEEKDAY(D503)=1,WEEKDAY(D503)=7),1,0)</f>
        <v>0</v>
      </c>
      <c r="N503" s="0" t="str">
        <f aca="false">IF(AND(MONTH(D503)&gt;=3,MONTH(D503)&lt;=6),"Summer",IF(AND(MONTH(D503)&gt;=7,MONTH(D503)&lt;=9),"Monsoon","Winter"))</f>
        <v>Monsoon</v>
      </c>
      <c r="O503" s="0" t="str">
        <f aca="false">IF(AND(L503&gt;=22,L503&lt;=25,E503&gt;=TIME(18,0,0)),"24H Night", IF(AND(L503&gt;=22,L503&lt;=25,E503&lt;TIME(18,0,0)),"24H Day", IF(AND(L503&gt;=11,L503&lt;=13,E503&gt;=TIME(18,0,0)),"12H Night", IF(AND(L503&gt;=11,L503&lt;=13,E503&lt;TIME(18,0,0)),"12H Day", IF(AND(L503&lt;10,E503&gt;=TIME(18,0,0)),"Couple Night", "Couple Day")))))</f>
        <v>Couple Day</v>
      </c>
      <c r="P503" s="0" t="n">
        <f aca="false">WEEKDAY(D503,2)</f>
        <v>5</v>
      </c>
      <c r="Q503" s="0" t="n">
        <f aca="false">MONTH(D503)</f>
        <v>8</v>
      </c>
      <c r="R503" s="0" t="str">
        <f aca="false">"Q"&amp;ROUNDUP(MONTH(D503)/3,0)</f>
        <v>Q3</v>
      </c>
    </row>
    <row r="504" customFormat="false" ht="102.95" hidden="false" customHeight="false" outlineLevel="0" collapsed="false">
      <c r="A504" s="7" t="s">
        <v>1437</v>
      </c>
      <c r="B504" s="7" t="s">
        <v>953</v>
      </c>
      <c r="C504" s="13" t="s">
        <v>1438</v>
      </c>
      <c r="D504" s="11" t="n">
        <v>45900</v>
      </c>
      <c r="E504" s="12" t="n">
        <v>0</v>
      </c>
      <c r="F504" s="11" t="n">
        <v>45900</v>
      </c>
      <c r="G504" s="12" t="n">
        <v>0.333333333299375</v>
      </c>
      <c r="H504" s="10" t="n">
        <v>45900.5344986111</v>
      </c>
      <c r="I504" s="7" t="n">
        <v>2500</v>
      </c>
      <c r="J504" s="0" t="n">
        <f aca="false">IF(AND(D504&gt;=DATE(YEAR(D504),3,15),D504&lt;=DATE(YEAR(D504),6,10)),1,0)</f>
        <v>0</v>
      </c>
      <c r="K504" s="0" t="e">
        <f aca="false">VLOOKUP(D504,Festival_List!$A$2:$B$100,2,0)</f>
        <v>#N/A</v>
      </c>
      <c r="L504" s="0" t="n">
        <f aca="false">ROUND(((F504+G504)-(D504+E504))*24,0)</f>
        <v>8</v>
      </c>
      <c r="M504" s="0" t="n">
        <f aca="false">IF(OR(WEEKDAY(D504)=1,WEEKDAY(D504)=7),1,0)</f>
        <v>1</v>
      </c>
      <c r="N504" s="0" t="str">
        <f aca="false">IF(AND(MONTH(D504)&gt;=3,MONTH(D504)&lt;=6),"Summer",IF(AND(MONTH(D504)&gt;=7,MONTH(D504)&lt;=9),"Monsoon","Winter"))</f>
        <v>Monsoon</v>
      </c>
      <c r="O504" s="0" t="str">
        <f aca="false">IF(AND(L504&gt;=22,L504&lt;=25,E504&gt;=TIME(18,0,0)),"24H Night", IF(AND(L504&gt;=22,L504&lt;=25,E504&lt;TIME(18,0,0)),"24H Day", IF(AND(L504&gt;=11,L504&lt;=13,E504&gt;=TIME(18,0,0)),"12H Night", IF(AND(L504&gt;=11,L504&lt;=13,E504&lt;TIME(18,0,0)),"12H Day", IF(AND(L504&lt;10,E504&gt;=TIME(18,0,0)),"Couple Night", "Couple Day")))))</f>
        <v>Couple Day</v>
      </c>
      <c r="P504" s="0" t="n">
        <f aca="false">WEEKDAY(D504,2)</f>
        <v>7</v>
      </c>
      <c r="Q504" s="0" t="n">
        <f aca="false">MONTH(D504)</f>
        <v>8</v>
      </c>
      <c r="R504" s="0" t="str">
        <f aca="false">"Q"&amp;ROUNDUP(MONTH(D504)/3,0)</f>
        <v>Q3</v>
      </c>
    </row>
    <row r="505" customFormat="false" ht="77.6" hidden="false" customHeight="false" outlineLevel="0" collapsed="false">
      <c r="A505" s="7" t="s">
        <v>1439</v>
      </c>
      <c r="B505" s="7" t="s">
        <v>1440</v>
      </c>
      <c r="C505" s="13" t="s">
        <v>1441</v>
      </c>
      <c r="D505" s="11" t="n">
        <v>45903</v>
      </c>
      <c r="E505" s="12" t="n">
        <v>0.416666666700625</v>
      </c>
      <c r="F505" s="11" t="n">
        <v>45903</v>
      </c>
      <c r="G505" s="12" t="n">
        <v>0.75</v>
      </c>
      <c r="H505" s="10" t="n">
        <v>45903.486478125</v>
      </c>
      <c r="I505" s="7" t="n">
        <v>1500</v>
      </c>
      <c r="J505" s="0" t="n">
        <f aca="false">IF(AND(D505&gt;=DATE(YEAR(D505),3,15),D505&lt;=DATE(YEAR(D505),6,10)),1,0)</f>
        <v>0</v>
      </c>
      <c r="K505" s="0" t="e">
        <f aca="false">VLOOKUP(D505,Festival_List!$A$2:$B$100,2,0)</f>
        <v>#N/A</v>
      </c>
      <c r="L505" s="0" t="n">
        <f aca="false">ROUND(((F505+G505)-(D505+E505))*24,0)</f>
        <v>8</v>
      </c>
      <c r="M505" s="0" t="n">
        <f aca="false">IF(OR(WEEKDAY(D505)=1,WEEKDAY(D505)=7),1,0)</f>
        <v>0</v>
      </c>
      <c r="N505" s="0" t="str">
        <f aca="false">IF(AND(MONTH(D505)&gt;=3,MONTH(D505)&lt;=6),"Summer",IF(AND(MONTH(D505)&gt;=7,MONTH(D505)&lt;=9),"Monsoon","Winter"))</f>
        <v>Monsoon</v>
      </c>
      <c r="O505" s="0" t="str">
        <f aca="false">IF(AND(L505&gt;=22,L505&lt;=25,E505&gt;=TIME(18,0,0)),"24H Night", IF(AND(L505&gt;=22,L505&lt;=25,E505&lt;TIME(18,0,0)),"24H Day", IF(AND(L505&gt;=11,L505&lt;=13,E505&gt;=TIME(18,0,0)),"12H Night", IF(AND(L505&gt;=11,L505&lt;=13,E505&lt;TIME(18,0,0)),"12H Day", IF(AND(L505&lt;10,E505&gt;=TIME(18,0,0)),"Couple Night", "Couple Day")))))</f>
        <v>Couple Day</v>
      </c>
      <c r="P505" s="0" t="n">
        <f aca="false">WEEKDAY(D505,2)</f>
        <v>3</v>
      </c>
      <c r="Q505" s="0" t="n">
        <f aca="false">MONTH(D505)</f>
        <v>9</v>
      </c>
      <c r="R505" s="0" t="str">
        <f aca="false">"Q"&amp;ROUNDUP(MONTH(D505)/3,0)</f>
        <v>Q3</v>
      </c>
    </row>
    <row r="506" customFormat="false" ht="102.95" hidden="false" customHeight="false" outlineLevel="0" collapsed="false">
      <c r="A506" s="7" t="s">
        <v>1442</v>
      </c>
      <c r="B506" s="7" t="s">
        <v>1367</v>
      </c>
      <c r="C506" s="13" t="s">
        <v>1443</v>
      </c>
      <c r="D506" s="11" t="n">
        <v>45903</v>
      </c>
      <c r="E506" s="12" t="n">
        <v>0.833333333299375</v>
      </c>
      <c r="F506" s="11" t="n">
        <v>45904</v>
      </c>
      <c r="G506" s="12" t="n">
        <v>0.333333333299375</v>
      </c>
      <c r="H506" s="10" t="n">
        <v>45904.4886813657</v>
      </c>
      <c r="I506" s="7" t="n">
        <v>3200</v>
      </c>
      <c r="J506" s="0" t="n">
        <f aca="false">IF(AND(D506&gt;=DATE(YEAR(D506),3,15),D506&lt;=DATE(YEAR(D506),6,10)),1,0)</f>
        <v>0</v>
      </c>
      <c r="K506" s="0" t="e">
        <f aca="false">VLOOKUP(D506,Festival_List!$A$2:$B$100,2,0)</f>
        <v>#N/A</v>
      </c>
      <c r="L506" s="0" t="n">
        <f aca="false">ROUND(((F506+G506)-(D506+E506))*24,0)</f>
        <v>12</v>
      </c>
      <c r="M506" s="0" t="n">
        <f aca="false">IF(OR(WEEKDAY(D506)=1,WEEKDAY(D506)=7),1,0)</f>
        <v>0</v>
      </c>
      <c r="N506" s="0" t="str">
        <f aca="false">IF(AND(MONTH(D506)&gt;=3,MONTH(D506)&lt;=6),"Summer",IF(AND(MONTH(D506)&gt;=7,MONTH(D506)&lt;=9),"Monsoon","Winter"))</f>
        <v>Monsoon</v>
      </c>
      <c r="O506" s="0" t="str">
        <f aca="false">IF(AND(L506&gt;=22,L506&lt;=25,E506&gt;=TIME(18,0,0)),"24H Night", IF(AND(L506&gt;=22,L506&lt;=25,E506&lt;TIME(18,0,0)),"24H Day", IF(AND(L506&gt;=11,L506&lt;=13,E506&gt;=TIME(18,0,0)),"12H Night", IF(AND(L506&gt;=11,L506&lt;=13,E506&lt;TIME(18,0,0)),"12H Day", IF(AND(L506&lt;10,E506&gt;=TIME(18,0,0)),"Couple Night", "Couple Day")))))</f>
        <v>12H Night</v>
      </c>
      <c r="P506" s="0" t="n">
        <f aca="false">WEEKDAY(D506,2)</f>
        <v>3</v>
      </c>
      <c r="Q506" s="0" t="n">
        <f aca="false">MONTH(D506)</f>
        <v>9</v>
      </c>
      <c r="R506" s="0" t="str">
        <f aca="false">"Q"&amp;ROUNDUP(MONTH(D506)/3,0)</f>
        <v>Q3</v>
      </c>
    </row>
    <row r="507" customFormat="false" ht="115.65" hidden="false" customHeight="false" outlineLevel="0" collapsed="false">
      <c r="A507" s="7" t="s">
        <v>1444</v>
      </c>
      <c r="B507" s="7" t="s">
        <v>1445</v>
      </c>
      <c r="C507" s="13" t="s">
        <v>1446</v>
      </c>
      <c r="D507" s="11" t="n">
        <v>45905</v>
      </c>
      <c r="E507" s="12" t="n">
        <v>0.791666666700625</v>
      </c>
      <c r="F507" s="11" t="n">
        <v>45905</v>
      </c>
      <c r="G507" s="12" t="n">
        <v>0.875</v>
      </c>
      <c r="H507" s="10" t="n">
        <v>45905.8583446759</v>
      </c>
      <c r="I507" s="7" t="n">
        <v>1000</v>
      </c>
      <c r="J507" s="0" t="n">
        <f aca="false">IF(AND(D507&gt;=DATE(YEAR(D507),3,15),D507&lt;=DATE(YEAR(D507),6,10)),1,0)</f>
        <v>0</v>
      </c>
      <c r="K507" s="0" t="e">
        <f aca="false">VLOOKUP(D507,Festival_List!$A$2:$B$100,2,0)</f>
        <v>#N/A</v>
      </c>
      <c r="L507" s="0" t="n">
        <f aca="false">ROUND(((F507+G507)-(D507+E507))*24,0)</f>
        <v>2</v>
      </c>
      <c r="M507" s="0" t="n">
        <f aca="false">IF(OR(WEEKDAY(D507)=1,WEEKDAY(D507)=7),1,0)</f>
        <v>0</v>
      </c>
      <c r="N507" s="0" t="str">
        <f aca="false">IF(AND(MONTH(D507)&gt;=3,MONTH(D507)&lt;=6),"Summer",IF(AND(MONTH(D507)&gt;=7,MONTH(D507)&lt;=9),"Monsoon","Winter"))</f>
        <v>Monsoon</v>
      </c>
      <c r="O507" s="0" t="str">
        <f aca="false">IF(AND(L507&gt;=22,L507&lt;=25,E507&gt;=TIME(18,0,0)),"24H Night", IF(AND(L507&gt;=22,L507&lt;=25,E507&lt;TIME(18,0,0)),"24H Day", IF(AND(L507&gt;=11,L507&lt;=13,E507&gt;=TIME(18,0,0)),"12H Night", IF(AND(L507&gt;=11,L507&lt;=13,E507&lt;TIME(18,0,0)),"12H Day", IF(AND(L507&lt;10,E507&gt;=TIME(18,0,0)),"Couple Night", "Couple Day")))))</f>
        <v>Couple Night</v>
      </c>
      <c r="P507" s="0" t="n">
        <f aca="false">WEEKDAY(D507,2)</f>
        <v>5</v>
      </c>
      <c r="Q507" s="0" t="n">
        <f aca="false">MONTH(D507)</f>
        <v>9</v>
      </c>
      <c r="R507" s="0" t="str">
        <f aca="false">"Q"&amp;ROUNDUP(MONTH(D507)/3,0)</f>
        <v>Q3</v>
      </c>
    </row>
    <row r="508" customFormat="false" ht="115.65" hidden="false" customHeight="false" outlineLevel="0" collapsed="false">
      <c r="A508" s="7" t="s">
        <v>1447</v>
      </c>
      <c r="B508" s="7" t="s">
        <v>1448</v>
      </c>
      <c r="C508" s="13" t="s">
        <v>1449</v>
      </c>
      <c r="D508" s="11" t="n">
        <v>45906</v>
      </c>
      <c r="E508" s="12" t="n">
        <v>0.333333333299375</v>
      </c>
      <c r="F508" s="11" t="n">
        <v>45906</v>
      </c>
      <c r="G508" s="12" t="n">
        <v>0.75</v>
      </c>
      <c r="H508" s="10" t="n">
        <v>45905.9850957176</v>
      </c>
      <c r="I508" s="7" t="n">
        <v>3000</v>
      </c>
      <c r="J508" s="0" t="n">
        <f aca="false">IF(AND(D508&gt;=DATE(YEAR(D508),3,15),D508&lt;=DATE(YEAR(D508),6,10)),1,0)</f>
        <v>0</v>
      </c>
      <c r="K508" s="0" t="e">
        <f aca="false">VLOOKUP(D508,Festival_List!$A$2:$B$100,2,0)</f>
        <v>#N/A</v>
      </c>
      <c r="L508" s="0" t="n">
        <f aca="false">ROUND(((F508+G508)-(D508+E508))*24,0)</f>
        <v>10</v>
      </c>
      <c r="M508" s="0" t="n">
        <f aca="false">IF(OR(WEEKDAY(D508)=1,WEEKDAY(D508)=7),1,0)</f>
        <v>1</v>
      </c>
      <c r="N508" s="0" t="str">
        <f aca="false">IF(AND(MONTH(D508)&gt;=3,MONTH(D508)&lt;=6),"Summer",IF(AND(MONTH(D508)&gt;=7,MONTH(D508)&lt;=9),"Monsoon","Winter"))</f>
        <v>Monsoon</v>
      </c>
      <c r="O508" s="0" t="str">
        <f aca="false">IF(AND(L508&gt;=22,L508&lt;=25,E508&gt;=TIME(18,0,0)),"24H Night", IF(AND(L508&gt;=22,L508&lt;=25,E508&lt;TIME(18,0,0)),"24H Day", IF(AND(L508&gt;=11,L508&lt;=13,E508&gt;=TIME(18,0,0)),"12H Night", IF(AND(L508&gt;=11,L508&lt;=13,E508&lt;TIME(18,0,0)),"12H Day", IF(AND(L508&lt;10,E508&gt;=TIME(18,0,0)),"Couple Night", "Couple Day")))))</f>
        <v>Couple Day</v>
      </c>
      <c r="P508" s="0" t="n">
        <f aca="false">WEEKDAY(D508,2)</f>
        <v>6</v>
      </c>
      <c r="Q508" s="0" t="n">
        <f aca="false">MONTH(D508)</f>
        <v>9</v>
      </c>
      <c r="R508" s="0" t="str">
        <f aca="false">"Q"&amp;ROUNDUP(MONTH(D508)/3,0)</f>
        <v>Q3</v>
      </c>
    </row>
    <row r="509" customFormat="false" ht="64.9" hidden="false" customHeight="false" outlineLevel="0" collapsed="false">
      <c r="A509" s="7" t="s">
        <v>1450</v>
      </c>
      <c r="B509" s="7" t="s">
        <v>1451</v>
      </c>
      <c r="C509" s="13" t="s">
        <v>1452</v>
      </c>
      <c r="D509" s="11" t="n">
        <v>45908</v>
      </c>
      <c r="E509" s="12" t="n">
        <v>0.916666666700625</v>
      </c>
      <c r="F509" s="11" t="n">
        <v>45909</v>
      </c>
      <c r="G509" s="12" t="n">
        <v>0.333333333299375</v>
      </c>
      <c r="H509" s="10" t="n">
        <v>45908.9032019676</v>
      </c>
      <c r="I509" s="7" t="n">
        <v>2200</v>
      </c>
      <c r="J509" s="0" t="n">
        <f aca="false">IF(AND(D509&gt;=DATE(YEAR(D509),3,15),D509&lt;=DATE(YEAR(D509),6,10)),1,0)</f>
        <v>0</v>
      </c>
      <c r="K509" s="0" t="e">
        <f aca="false">VLOOKUP(D509,Festival_List!$A$2:$B$100,2,0)</f>
        <v>#N/A</v>
      </c>
      <c r="L509" s="0" t="n">
        <f aca="false">ROUND(((F509+G509)-(D509+E509))*24,0)</f>
        <v>10</v>
      </c>
      <c r="M509" s="0" t="n">
        <f aca="false">IF(OR(WEEKDAY(D509)=1,WEEKDAY(D509)=7),1,0)</f>
        <v>0</v>
      </c>
      <c r="N509" s="0" t="str">
        <f aca="false">IF(AND(MONTH(D509)&gt;=3,MONTH(D509)&lt;=6),"Summer",IF(AND(MONTH(D509)&gt;=7,MONTH(D509)&lt;=9),"Monsoon","Winter"))</f>
        <v>Monsoon</v>
      </c>
      <c r="O509" s="0" t="str">
        <f aca="false">IF(AND(L509&gt;=22,L509&lt;=25,E509&gt;=TIME(18,0,0)),"24H Night", IF(AND(L509&gt;=22,L509&lt;=25,E509&lt;TIME(18,0,0)),"24H Day", IF(AND(L509&gt;=11,L509&lt;=13,E509&gt;=TIME(18,0,0)),"12H Night", IF(AND(L509&gt;=11,L509&lt;=13,E509&lt;TIME(18,0,0)),"12H Day", IF(AND(L509&lt;10,E509&gt;=TIME(18,0,0)),"Couple Night", "Couple Day")))))</f>
        <v>Couple Day</v>
      </c>
      <c r="P509" s="0" t="n">
        <f aca="false">WEEKDAY(D509,2)</f>
        <v>1</v>
      </c>
      <c r="Q509" s="0" t="n">
        <f aca="false">MONTH(D509)</f>
        <v>9</v>
      </c>
      <c r="R509" s="0" t="str">
        <f aca="false">"Q"&amp;ROUNDUP(MONTH(D509)/3,0)</f>
        <v>Q3</v>
      </c>
    </row>
    <row r="510" customFormat="false" ht="141" hidden="false" customHeight="false" outlineLevel="0" collapsed="false">
      <c r="A510" s="7" t="s">
        <v>1453</v>
      </c>
      <c r="B510" s="7" t="s">
        <v>1454</v>
      </c>
      <c r="C510" s="13" t="s">
        <v>1455</v>
      </c>
      <c r="D510" s="11" t="n">
        <v>45910</v>
      </c>
      <c r="E510" s="12" t="n">
        <v>0.416666666700625</v>
      </c>
      <c r="F510" s="11" t="n">
        <v>45910</v>
      </c>
      <c r="G510" s="12" t="n">
        <v>0.75</v>
      </c>
      <c r="H510" s="10" t="n">
        <v>45909.9074246528</v>
      </c>
      <c r="I510" s="7" t="n">
        <v>1500</v>
      </c>
      <c r="J510" s="0" t="n">
        <f aca="false">IF(AND(D510&gt;=DATE(YEAR(D510),3,15),D510&lt;=DATE(YEAR(D510),6,10)),1,0)</f>
        <v>0</v>
      </c>
      <c r="K510" s="0" t="e">
        <f aca="false">VLOOKUP(D510,Festival_List!$A$2:$B$100,2,0)</f>
        <v>#N/A</v>
      </c>
      <c r="L510" s="0" t="n">
        <f aca="false">ROUND(((F510+G510)-(D510+E510))*24,0)</f>
        <v>8</v>
      </c>
      <c r="M510" s="0" t="n">
        <f aca="false">IF(OR(WEEKDAY(D510)=1,WEEKDAY(D510)=7),1,0)</f>
        <v>0</v>
      </c>
      <c r="N510" s="0" t="str">
        <f aca="false">IF(AND(MONTH(D510)&gt;=3,MONTH(D510)&lt;=6),"Summer",IF(AND(MONTH(D510)&gt;=7,MONTH(D510)&lt;=9),"Monsoon","Winter"))</f>
        <v>Monsoon</v>
      </c>
      <c r="O510" s="0" t="str">
        <f aca="false">IF(AND(L510&gt;=22,L510&lt;=25,E510&gt;=TIME(18,0,0)),"24H Night", IF(AND(L510&gt;=22,L510&lt;=25,E510&lt;TIME(18,0,0)),"24H Day", IF(AND(L510&gt;=11,L510&lt;=13,E510&gt;=TIME(18,0,0)),"12H Night", IF(AND(L510&gt;=11,L510&lt;=13,E510&lt;TIME(18,0,0)),"12H Day", IF(AND(L510&lt;10,E510&gt;=TIME(18,0,0)),"Couple Night", "Couple Day")))))</f>
        <v>Couple Day</v>
      </c>
      <c r="P510" s="0" t="n">
        <f aca="false">WEEKDAY(D510,2)</f>
        <v>3</v>
      </c>
      <c r="Q510" s="0" t="n">
        <f aca="false">MONTH(D510)</f>
        <v>9</v>
      </c>
      <c r="R510" s="0" t="str">
        <f aca="false">"Q"&amp;ROUNDUP(MONTH(D510)/3,0)</f>
        <v>Q3</v>
      </c>
    </row>
    <row r="511" customFormat="false" ht="102.95" hidden="false" customHeight="false" outlineLevel="0" collapsed="false">
      <c r="A511" s="7" t="s">
        <v>1456</v>
      </c>
      <c r="B511" s="7" t="s">
        <v>1457</v>
      </c>
      <c r="C511" s="13" t="s">
        <v>1458</v>
      </c>
      <c r="D511" s="11" t="n">
        <v>45911</v>
      </c>
      <c r="E511" s="12" t="n">
        <v>0.375</v>
      </c>
      <c r="F511" s="11" t="n">
        <v>45911</v>
      </c>
      <c r="G511" s="12" t="n">
        <v>0.75</v>
      </c>
      <c r="H511" s="10" t="n">
        <v>45911.9662306713</v>
      </c>
      <c r="I511" s="7" t="n">
        <v>1500</v>
      </c>
      <c r="J511" s="0" t="n">
        <f aca="false">IF(AND(D511&gt;=DATE(YEAR(D511),3,15),D511&lt;=DATE(YEAR(D511),6,10)),1,0)</f>
        <v>0</v>
      </c>
      <c r="K511" s="0" t="e">
        <f aca="false">VLOOKUP(D511,Festival_List!$A$2:$B$100,2,0)</f>
        <v>#N/A</v>
      </c>
      <c r="L511" s="0" t="n">
        <f aca="false">ROUND(((F511+G511)-(D511+E511))*24,0)</f>
        <v>9</v>
      </c>
      <c r="M511" s="0" t="n">
        <f aca="false">IF(OR(WEEKDAY(D511)=1,WEEKDAY(D511)=7),1,0)</f>
        <v>0</v>
      </c>
      <c r="N511" s="0" t="str">
        <f aca="false">IF(AND(MONTH(D511)&gt;=3,MONTH(D511)&lt;=6),"Summer",IF(AND(MONTH(D511)&gt;=7,MONTH(D511)&lt;=9),"Monsoon","Winter"))</f>
        <v>Monsoon</v>
      </c>
      <c r="O511" s="0" t="str">
        <f aca="false">IF(AND(L511&gt;=22,L511&lt;=25,E511&gt;=TIME(18,0,0)),"24H Night", IF(AND(L511&gt;=22,L511&lt;=25,E511&lt;TIME(18,0,0)),"24H Day", IF(AND(L511&gt;=11,L511&lt;=13,E511&gt;=TIME(18,0,0)),"12H Night", IF(AND(L511&gt;=11,L511&lt;=13,E511&lt;TIME(18,0,0)),"12H Day", IF(AND(L511&lt;10,E511&gt;=TIME(18,0,0)),"Couple Night", "Couple Day")))))</f>
        <v>Couple Day</v>
      </c>
      <c r="P511" s="0" t="n">
        <f aca="false">WEEKDAY(D511,2)</f>
        <v>4</v>
      </c>
      <c r="Q511" s="0" t="n">
        <f aca="false">MONTH(D511)</f>
        <v>9</v>
      </c>
      <c r="R511" s="0" t="str">
        <f aca="false">"Q"&amp;ROUNDUP(MONTH(D511)/3,0)</f>
        <v>Q3</v>
      </c>
    </row>
    <row r="512" customFormat="false" ht="90.25" hidden="false" customHeight="false" outlineLevel="0" collapsed="false">
      <c r="A512" s="7" t="s">
        <v>1459</v>
      </c>
      <c r="B512" s="7" t="s">
        <v>1460</v>
      </c>
      <c r="C512" s="13" t="s">
        <v>1461</v>
      </c>
      <c r="D512" s="11" t="n">
        <v>45911</v>
      </c>
      <c r="E512" s="12" t="n">
        <v>0.833333333299375</v>
      </c>
      <c r="F512" s="11" t="n">
        <v>45912</v>
      </c>
      <c r="G512" s="12" t="n">
        <v>0.333333333299375</v>
      </c>
      <c r="H512" s="10" t="n">
        <v>45911.7473774306</v>
      </c>
      <c r="I512" s="7" t="n">
        <v>2500</v>
      </c>
      <c r="J512" s="0" t="n">
        <f aca="false">IF(AND(D512&gt;=DATE(YEAR(D512),3,15),D512&lt;=DATE(YEAR(D512),6,10)),1,0)</f>
        <v>0</v>
      </c>
      <c r="K512" s="0" t="e">
        <f aca="false">VLOOKUP(D512,Festival_List!$A$2:$B$100,2,0)</f>
        <v>#N/A</v>
      </c>
      <c r="L512" s="0" t="n">
        <f aca="false">ROUND(((F512+G512)-(D512+E512))*24,0)</f>
        <v>12</v>
      </c>
      <c r="M512" s="0" t="n">
        <f aca="false">IF(OR(WEEKDAY(D512)=1,WEEKDAY(D512)=7),1,0)</f>
        <v>0</v>
      </c>
      <c r="N512" s="0" t="str">
        <f aca="false">IF(AND(MONTH(D512)&gt;=3,MONTH(D512)&lt;=6),"Summer",IF(AND(MONTH(D512)&gt;=7,MONTH(D512)&lt;=9),"Monsoon","Winter"))</f>
        <v>Monsoon</v>
      </c>
      <c r="O512" s="0" t="str">
        <f aca="false">IF(AND(L512&gt;=22,L512&lt;=25,E512&gt;=TIME(18,0,0)),"24H Night", IF(AND(L512&gt;=22,L512&lt;=25,E512&lt;TIME(18,0,0)),"24H Day", IF(AND(L512&gt;=11,L512&lt;=13,E512&gt;=TIME(18,0,0)),"12H Night", IF(AND(L512&gt;=11,L512&lt;=13,E512&lt;TIME(18,0,0)),"12H Day", IF(AND(L512&lt;10,E512&gt;=TIME(18,0,0)),"Couple Night", "Couple Day")))))</f>
        <v>12H Night</v>
      </c>
      <c r="P512" s="0" t="n">
        <f aca="false">WEEKDAY(D512,2)</f>
        <v>4</v>
      </c>
      <c r="Q512" s="0" t="n">
        <f aca="false">MONTH(D512)</f>
        <v>9</v>
      </c>
      <c r="R512" s="0" t="str">
        <f aca="false">"Q"&amp;ROUNDUP(MONTH(D512)/3,0)</f>
        <v>Q3</v>
      </c>
    </row>
    <row r="513" customFormat="false" ht="141" hidden="false" customHeight="false" outlineLevel="0" collapsed="false">
      <c r="A513" s="7" t="s">
        <v>1462</v>
      </c>
      <c r="B513" s="7" t="s">
        <v>1463</v>
      </c>
      <c r="C513" s="13" t="s">
        <v>1464</v>
      </c>
      <c r="D513" s="11" t="n">
        <v>45912</v>
      </c>
      <c r="E513" s="12" t="n">
        <v>0.375</v>
      </c>
      <c r="F513" s="11" t="n">
        <v>45912</v>
      </c>
      <c r="G513" s="12" t="n">
        <v>0.75</v>
      </c>
      <c r="H513" s="10" t="n">
        <v>45911.9046167824</v>
      </c>
      <c r="I513" s="7" t="n">
        <v>1500</v>
      </c>
      <c r="J513" s="0" t="n">
        <f aca="false">IF(AND(D513&gt;=DATE(YEAR(D513),3,15),D513&lt;=DATE(YEAR(D513),6,10)),1,0)</f>
        <v>0</v>
      </c>
      <c r="K513" s="0" t="e">
        <f aca="false">VLOOKUP(D513,Festival_List!$A$2:$B$100,2,0)</f>
        <v>#N/A</v>
      </c>
      <c r="L513" s="0" t="n">
        <f aca="false">ROUND(((F513+G513)-(D513+E513))*24,0)</f>
        <v>9</v>
      </c>
      <c r="M513" s="0" t="n">
        <f aca="false">IF(OR(WEEKDAY(D513)=1,WEEKDAY(D513)=7),1,0)</f>
        <v>0</v>
      </c>
      <c r="N513" s="0" t="str">
        <f aca="false">IF(AND(MONTH(D513)&gt;=3,MONTH(D513)&lt;=6),"Summer",IF(AND(MONTH(D513)&gt;=7,MONTH(D513)&lt;=9),"Monsoon","Winter"))</f>
        <v>Monsoon</v>
      </c>
      <c r="O513" s="0" t="str">
        <f aca="false">IF(AND(L513&gt;=22,L513&lt;=25,E513&gt;=TIME(18,0,0)),"24H Night", IF(AND(L513&gt;=22,L513&lt;=25,E513&lt;TIME(18,0,0)),"24H Day", IF(AND(L513&gt;=11,L513&lt;=13,E513&gt;=TIME(18,0,0)),"12H Night", IF(AND(L513&gt;=11,L513&lt;=13,E513&lt;TIME(18,0,0)),"12H Day", IF(AND(L513&lt;10,E513&gt;=TIME(18,0,0)),"Couple Night", "Couple Day")))))</f>
        <v>Couple Day</v>
      </c>
      <c r="P513" s="0" t="n">
        <f aca="false">WEEKDAY(D513,2)</f>
        <v>5</v>
      </c>
      <c r="Q513" s="0" t="n">
        <f aca="false">MONTH(D513)</f>
        <v>9</v>
      </c>
      <c r="R513" s="0" t="str">
        <f aca="false">"Q"&amp;ROUNDUP(MONTH(D513)/3,0)</f>
        <v>Q3</v>
      </c>
    </row>
    <row r="514" customFormat="false" ht="115.65" hidden="false" customHeight="false" outlineLevel="0" collapsed="false">
      <c r="A514" s="7" t="s">
        <v>1465</v>
      </c>
      <c r="B514" s="7" t="s">
        <v>1466</v>
      </c>
      <c r="C514" s="13" t="s">
        <v>1467</v>
      </c>
      <c r="D514" s="11" t="n">
        <v>45913</v>
      </c>
      <c r="E514" s="12" t="n">
        <v>0.416666666700625</v>
      </c>
      <c r="F514" s="11" t="n">
        <v>45913</v>
      </c>
      <c r="G514" s="12" t="n">
        <v>0.708333333299375</v>
      </c>
      <c r="H514" s="10" t="n">
        <v>45913.3882678241</v>
      </c>
      <c r="I514" s="7" t="n">
        <v>2000</v>
      </c>
      <c r="J514" s="0" t="n">
        <f aca="false">IF(AND(D514&gt;=DATE(YEAR(D514),3,15),D514&lt;=DATE(YEAR(D514),6,10)),1,0)</f>
        <v>0</v>
      </c>
      <c r="K514" s="0" t="e">
        <f aca="false">VLOOKUP(D514,Festival_List!$A$2:$B$100,2,0)</f>
        <v>#N/A</v>
      </c>
      <c r="L514" s="0" t="n">
        <f aca="false">ROUND(((F514+G514)-(D514+E514))*24,0)</f>
        <v>7</v>
      </c>
      <c r="M514" s="0" t="n">
        <f aca="false">IF(OR(WEEKDAY(D514)=1,WEEKDAY(D514)=7),1,0)</f>
        <v>1</v>
      </c>
      <c r="N514" s="0" t="str">
        <f aca="false">IF(AND(MONTH(D514)&gt;=3,MONTH(D514)&lt;=6),"Summer",IF(AND(MONTH(D514)&gt;=7,MONTH(D514)&lt;=9),"Monsoon","Winter"))</f>
        <v>Monsoon</v>
      </c>
      <c r="O514" s="0" t="str">
        <f aca="false">IF(AND(L514&gt;=22,L514&lt;=25,E514&gt;=TIME(18,0,0)),"24H Night", IF(AND(L514&gt;=22,L514&lt;=25,E514&lt;TIME(18,0,0)),"24H Day", IF(AND(L514&gt;=11,L514&lt;=13,E514&gt;=TIME(18,0,0)),"12H Night", IF(AND(L514&gt;=11,L514&lt;=13,E514&lt;TIME(18,0,0)),"12H Day", IF(AND(L514&lt;10,E514&gt;=TIME(18,0,0)),"Couple Night", "Couple Day")))))</f>
        <v>Couple Day</v>
      </c>
      <c r="P514" s="0" t="n">
        <f aca="false">WEEKDAY(D514,2)</f>
        <v>6</v>
      </c>
      <c r="Q514" s="0" t="n">
        <f aca="false">MONTH(D514)</f>
        <v>9</v>
      </c>
      <c r="R514" s="0" t="str">
        <f aca="false">"Q"&amp;ROUNDUP(MONTH(D514)/3,0)</f>
        <v>Q3</v>
      </c>
    </row>
    <row r="515" customFormat="false" ht="115.65" hidden="false" customHeight="false" outlineLevel="0" collapsed="false">
      <c r="A515" s="7" t="s">
        <v>1468</v>
      </c>
      <c r="B515" s="7" t="s">
        <v>1469</v>
      </c>
      <c r="C515" s="13" t="s">
        <v>1470</v>
      </c>
      <c r="D515" s="11" t="n">
        <v>45913</v>
      </c>
      <c r="E515" s="12" t="n">
        <v>0.75</v>
      </c>
      <c r="F515" s="11" t="n">
        <v>45914</v>
      </c>
      <c r="G515" s="12" t="n">
        <v>0.75</v>
      </c>
      <c r="H515" s="10" t="n">
        <v>45912.9888935185</v>
      </c>
      <c r="I515" s="7" t="n">
        <v>4000</v>
      </c>
      <c r="J515" s="0" t="n">
        <f aca="false">IF(AND(D515&gt;=DATE(YEAR(D515),3,15),D515&lt;=DATE(YEAR(D515),6,10)),1,0)</f>
        <v>0</v>
      </c>
      <c r="K515" s="0" t="e">
        <f aca="false">VLOOKUP(D515,Festival_List!$A$2:$B$100,2,0)</f>
        <v>#N/A</v>
      </c>
      <c r="L515" s="0" t="n">
        <f aca="false">ROUND(((F515+G515)-(D515+E515))*24,0)</f>
        <v>24</v>
      </c>
      <c r="M515" s="0" t="n">
        <f aca="false">IF(OR(WEEKDAY(D515)=1,WEEKDAY(D515)=7),1,0)</f>
        <v>1</v>
      </c>
      <c r="N515" s="0" t="str">
        <f aca="false">IF(AND(MONTH(D515)&gt;=3,MONTH(D515)&lt;=6),"Summer",IF(AND(MONTH(D515)&gt;=7,MONTH(D515)&lt;=9),"Monsoon","Winter"))</f>
        <v>Monsoon</v>
      </c>
      <c r="O515" s="0" t="str">
        <f aca="false">IF(AND(L515&gt;=22,L515&lt;=25,E515&gt;=TIME(18,0,0)),"24H Night", IF(AND(L515&gt;=22,L515&lt;=25,E515&lt;TIME(18,0,0)),"24H Day", IF(AND(L515&gt;=11,L515&lt;=13,E515&gt;=TIME(18,0,0)),"12H Night", IF(AND(L515&gt;=11,L515&lt;=13,E515&lt;TIME(18,0,0)),"12H Day", IF(AND(L515&lt;10,E515&gt;=TIME(18,0,0)),"Couple Night", "Couple Day")))))</f>
        <v>24H Night</v>
      </c>
      <c r="P515" s="0" t="n">
        <f aca="false">WEEKDAY(D515,2)</f>
        <v>6</v>
      </c>
      <c r="Q515" s="0" t="n">
        <f aca="false">MONTH(D515)</f>
        <v>9</v>
      </c>
      <c r="R515" s="0" t="str">
        <f aca="false">"Q"&amp;ROUNDUP(MONTH(D515)/3,0)</f>
        <v>Q3</v>
      </c>
    </row>
    <row r="516" customFormat="false" ht="90.25" hidden="false" customHeight="false" outlineLevel="0" collapsed="false">
      <c r="A516" s="7" t="s">
        <v>1471</v>
      </c>
      <c r="B516" s="7" t="s">
        <v>1472</v>
      </c>
      <c r="C516" s="13" t="s">
        <v>1311</v>
      </c>
      <c r="D516" s="11" t="n">
        <v>45916</v>
      </c>
      <c r="E516" s="12" t="n">
        <v>0.375</v>
      </c>
      <c r="F516" s="11" t="n">
        <v>45916</v>
      </c>
      <c r="G516" s="12" t="n">
        <v>0.75</v>
      </c>
      <c r="H516" s="10" t="n">
        <v>45915.6452615741</v>
      </c>
      <c r="I516" s="7" t="n">
        <v>2000</v>
      </c>
      <c r="J516" s="0" t="n">
        <f aca="false">IF(AND(D516&gt;=DATE(YEAR(D516),3,15),D516&lt;=DATE(YEAR(D516),6,10)),1,0)</f>
        <v>0</v>
      </c>
      <c r="K516" s="0" t="e">
        <f aca="false">VLOOKUP(D516,Festival_List!$A$2:$B$100,2,0)</f>
        <v>#N/A</v>
      </c>
      <c r="L516" s="0" t="n">
        <f aca="false">ROUND(((F516+G516)-(D516+E516))*24,0)</f>
        <v>9</v>
      </c>
      <c r="M516" s="0" t="n">
        <f aca="false">IF(OR(WEEKDAY(D516)=1,WEEKDAY(D516)=7),1,0)</f>
        <v>0</v>
      </c>
      <c r="N516" s="0" t="str">
        <f aca="false">IF(AND(MONTH(D516)&gt;=3,MONTH(D516)&lt;=6),"Summer",IF(AND(MONTH(D516)&gt;=7,MONTH(D516)&lt;=9),"Monsoon","Winter"))</f>
        <v>Monsoon</v>
      </c>
      <c r="O516" s="0" t="str">
        <f aca="false">IF(AND(L516&gt;=22,L516&lt;=25,E516&gt;=TIME(18,0,0)),"24H Night", IF(AND(L516&gt;=22,L516&lt;=25,E516&lt;TIME(18,0,0)),"24H Day", IF(AND(L516&gt;=11,L516&lt;=13,E516&gt;=TIME(18,0,0)),"12H Night", IF(AND(L516&gt;=11,L516&lt;=13,E516&lt;TIME(18,0,0)),"12H Day", IF(AND(L516&lt;10,E516&gt;=TIME(18,0,0)),"Couple Night", "Couple Day")))))</f>
        <v>Couple Day</v>
      </c>
      <c r="P516" s="0" t="n">
        <f aca="false">WEEKDAY(D516,2)</f>
        <v>2</v>
      </c>
      <c r="Q516" s="0" t="n">
        <f aca="false">MONTH(D516)</f>
        <v>9</v>
      </c>
      <c r="R516" s="0" t="str">
        <f aca="false">"Q"&amp;ROUNDUP(MONTH(D516)/3,0)</f>
        <v>Q3</v>
      </c>
    </row>
    <row r="517" customFormat="false" ht="115.65" hidden="false" customHeight="false" outlineLevel="0" collapsed="false">
      <c r="A517" s="7" t="s">
        <v>1473</v>
      </c>
      <c r="B517" s="7" t="s">
        <v>1474</v>
      </c>
      <c r="C517" s="13" t="s">
        <v>1475</v>
      </c>
      <c r="D517" s="11" t="n">
        <v>45916</v>
      </c>
      <c r="E517" s="12" t="n">
        <v>0.875</v>
      </c>
      <c r="F517" s="11" t="n">
        <v>45917</v>
      </c>
      <c r="G517" s="12" t="n">
        <v>0.333333333299375</v>
      </c>
      <c r="H517" s="10" t="n">
        <v>45916.9310601852</v>
      </c>
      <c r="I517" s="7" t="n">
        <v>2200</v>
      </c>
      <c r="J517" s="0" t="n">
        <f aca="false">IF(AND(D517&gt;=DATE(YEAR(D517),3,15),D517&lt;=DATE(YEAR(D517),6,10)),1,0)</f>
        <v>0</v>
      </c>
      <c r="K517" s="0" t="e">
        <f aca="false">VLOOKUP(D517,Festival_List!$A$2:$B$100,2,0)</f>
        <v>#N/A</v>
      </c>
      <c r="L517" s="0" t="n">
        <f aca="false">ROUND(((F517+G517)-(D517+E517))*24,0)</f>
        <v>11</v>
      </c>
      <c r="M517" s="0" t="n">
        <f aca="false">IF(OR(WEEKDAY(D517)=1,WEEKDAY(D517)=7),1,0)</f>
        <v>0</v>
      </c>
      <c r="N517" s="0" t="str">
        <f aca="false">IF(AND(MONTH(D517)&gt;=3,MONTH(D517)&lt;=6),"Summer",IF(AND(MONTH(D517)&gt;=7,MONTH(D517)&lt;=9),"Monsoon","Winter"))</f>
        <v>Monsoon</v>
      </c>
      <c r="O517" s="0" t="str">
        <f aca="false">IF(AND(L517&gt;=22,L517&lt;=25,E517&gt;=TIME(18,0,0)),"24H Night", IF(AND(L517&gt;=22,L517&lt;=25,E517&lt;TIME(18,0,0)),"24H Day", IF(AND(L517&gt;=11,L517&lt;=13,E517&gt;=TIME(18,0,0)),"12H Night", IF(AND(L517&gt;=11,L517&lt;=13,E517&lt;TIME(18,0,0)),"12H Day", IF(AND(L517&lt;10,E517&gt;=TIME(18,0,0)),"Couple Night", "Couple Day")))))</f>
        <v>12H Night</v>
      </c>
      <c r="P517" s="0" t="n">
        <f aca="false">WEEKDAY(D517,2)</f>
        <v>2</v>
      </c>
      <c r="Q517" s="0" t="n">
        <f aca="false">MONTH(D517)</f>
        <v>9</v>
      </c>
      <c r="R517" s="0" t="str">
        <f aca="false">"Q"&amp;ROUNDUP(MONTH(D517)/3,0)</f>
        <v>Q3</v>
      </c>
    </row>
    <row r="518" customFormat="false" ht="115.65" hidden="false" customHeight="false" outlineLevel="0" collapsed="false">
      <c r="A518" s="7" t="s">
        <v>1476</v>
      </c>
      <c r="B518" s="7" t="s">
        <v>1304</v>
      </c>
      <c r="C518" s="13" t="s">
        <v>1477</v>
      </c>
      <c r="D518" s="11" t="n">
        <v>45917</v>
      </c>
      <c r="E518" s="12" t="n">
        <v>0.375</v>
      </c>
      <c r="F518" s="11" t="n">
        <v>45917</v>
      </c>
      <c r="G518" s="12" t="n">
        <v>0.75</v>
      </c>
      <c r="H518" s="10" t="n">
        <v>45916.8211861111</v>
      </c>
      <c r="I518" s="7" t="n">
        <v>2200</v>
      </c>
      <c r="J518" s="0" t="n">
        <f aca="false">IF(AND(D518&gt;=DATE(YEAR(D518),3,15),D518&lt;=DATE(YEAR(D518),6,10)),1,0)</f>
        <v>0</v>
      </c>
      <c r="K518" s="0" t="e">
        <f aca="false">VLOOKUP(D518,Festival_List!$A$2:$B$100,2,0)</f>
        <v>#N/A</v>
      </c>
      <c r="L518" s="0" t="n">
        <f aca="false">ROUND(((F518+G518)-(D518+E518))*24,0)</f>
        <v>9</v>
      </c>
      <c r="M518" s="0" t="n">
        <f aca="false">IF(OR(WEEKDAY(D518)=1,WEEKDAY(D518)=7),1,0)</f>
        <v>0</v>
      </c>
      <c r="N518" s="0" t="str">
        <f aca="false">IF(AND(MONTH(D518)&gt;=3,MONTH(D518)&lt;=6),"Summer",IF(AND(MONTH(D518)&gt;=7,MONTH(D518)&lt;=9),"Monsoon","Winter"))</f>
        <v>Monsoon</v>
      </c>
      <c r="O518" s="0" t="str">
        <f aca="false">IF(AND(L518&gt;=22,L518&lt;=25,E518&gt;=TIME(18,0,0)),"24H Night", IF(AND(L518&gt;=22,L518&lt;=25,E518&lt;TIME(18,0,0)),"24H Day", IF(AND(L518&gt;=11,L518&lt;=13,E518&gt;=TIME(18,0,0)),"12H Night", IF(AND(L518&gt;=11,L518&lt;=13,E518&lt;TIME(18,0,0)),"12H Day", IF(AND(L518&lt;10,E518&gt;=TIME(18,0,0)),"Couple Night", "Couple Day")))))</f>
        <v>Couple Day</v>
      </c>
      <c r="P518" s="0" t="n">
        <f aca="false">WEEKDAY(D518,2)</f>
        <v>3</v>
      </c>
      <c r="Q518" s="0" t="n">
        <f aca="false">MONTH(D518)</f>
        <v>9</v>
      </c>
      <c r="R518" s="0" t="str">
        <f aca="false">"Q"&amp;ROUNDUP(MONTH(D518)/3,0)</f>
        <v>Q3</v>
      </c>
    </row>
    <row r="519" customFormat="false" ht="90.25" hidden="false" customHeight="false" outlineLevel="0" collapsed="false">
      <c r="A519" s="7" t="s">
        <v>1478</v>
      </c>
      <c r="B519" s="7" t="s">
        <v>1479</v>
      </c>
      <c r="C519" s="13" t="s">
        <v>1480</v>
      </c>
      <c r="D519" s="11" t="n">
        <v>45918</v>
      </c>
      <c r="E519" s="12" t="n">
        <v>0.583333333299375</v>
      </c>
      <c r="F519" s="11" t="n">
        <v>45918</v>
      </c>
      <c r="G519" s="12" t="n">
        <v>0.875</v>
      </c>
      <c r="H519" s="10" t="n">
        <v>45919.8998509259</v>
      </c>
      <c r="I519" s="7" t="n">
        <v>1500</v>
      </c>
      <c r="J519" s="0" t="n">
        <f aca="false">IF(AND(D519&gt;=DATE(YEAR(D519),3,15),D519&lt;=DATE(YEAR(D519),6,10)),1,0)</f>
        <v>0</v>
      </c>
      <c r="K519" s="0" t="e">
        <f aca="false">VLOOKUP(D519,Festival_List!$A$2:$B$100,2,0)</f>
        <v>#N/A</v>
      </c>
      <c r="L519" s="0" t="n">
        <f aca="false">ROUND(((F519+G519)-(D519+E519))*24,0)</f>
        <v>7</v>
      </c>
      <c r="M519" s="0" t="n">
        <f aca="false">IF(OR(WEEKDAY(D519)=1,WEEKDAY(D519)=7),1,0)</f>
        <v>0</v>
      </c>
      <c r="N519" s="0" t="str">
        <f aca="false">IF(AND(MONTH(D519)&gt;=3,MONTH(D519)&lt;=6),"Summer",IF(AND(MONTH(D519)&gt;=7,MONTH(D519)&lt;=9),"Monsoon","Winter"))</f>
        <v>Monsoon</v>
      </c>
      <c r="O519" s="0" t="str">
        <f aca="false">IF(AND(L519&gt;=22,L519&lt;=25,E519&gt;=TIME(18,0,0)),"24H Night", IF(AND(L519&gt;=22,L519&lt;=25,E519&lt;TIME(18,0,0)),"24H Day", IF(AND(L519&gt;=11,L519&lt;=13,E519&gt;=TIME(18,0,0)),"12H Night", IF(AND(L519&gt;=11,L519&lt;=13,E519&lt;TIME(18,0,0)),"12H Day", IF(AND(L519&lt;10,E519&gt;=TIME(18,0,0)),"Couple Night", "Couple Day")))))</f>
        <v>Couple Day</v>
      </c>
      <c r="P519" s="0" t="n">
        <f aca="false">WEEKDAY(D519,2)</f>
        <v>4</v>
      </c>
      <c r="Q519" s="0" t="n">
        <f aca="false">MONTH(D519)</f>
        <v>9</v>
      </c>
      <c r="R519" s="0" t="str">
        <f aca="false">"Q"&amp;ROUNDUP(MONTH(D519)/3,0)</f>
        <v>Q3</v>
      </c>
    </row>
    <row r="520" customFormat="false" ht="141" hidden="false" customHeight="false" outlineLevel="0" collapsed="false">
      <c r="A520" s="7" t="s">
        <v>1481</v>
      </c>
      <c r="B520" s="7" t="s">
        <v>1482</v>
      </c>
      <c r="C520" s="13" t="s">
        <v>1483</v>
      </c>
      <c r="D520" s="11" t="n">
        <v>45920</v>
      </c>
      <c r="E520" s="12" t="n">
        <v>0.791666666700625</v>
      </c>
      <c r="F520" s="11" t="n">
        <v>45921</v>
      </c>
      <c r="G520" s="12" t="n">
        <v>0.75</v>
      </c>
      <c r="H520" s="10" t="n">
        <v>45920.0222635417</v>
      </c>
      <c r="I520" s="7" t="n">
        <v>1000</v>
      </c>
      <c r="J520" s="0" t="n">
        <f aca="false">IF(AND(D520&gt;=DATE(YEAR(D520),3,15),D520&lt;=DATE(YEAR(D520),6,10)),1,0)</f>
        <v>0</v>
      </c>
      <c r="K520" s="0" t="e">
        <f aca="false">VLOOKUP(D520,Festival_List!$A$2:$B$100,2,0)</f>
        <v>#N/A</v>
      </c>
      <c r="L520" s="0" t="n">
        <f aca="false">ROUND(((F520+G520)-(D520+E520))*24,0)</f>
        <v>23</v>
      </c>
      <c r="M520" s="0" t="n">
        <f aca="false">IF(OR(WEEKDAY(D520)=1,WEEKDAY(D520)=7),1,0)</f>
        <v>1</v>
      </c>
      <c r="N520" s="0" t="str">
        <f aca="false">IF(AND(MONTH(D520)&gt;=3,MONTH(D520)&lt;=6),"Summer",IF(AND(MONTH(D520)&gt;=7,MONTH(D520)&lt;=9),"Monsoon","Winter"))</f>
        <v>Monsoon</v>
      </c>
      <c r="O520" s="0" t="str">
        <f aca="false">IF(AND(L520&gt;=22,L520&lt;=25,E520&gt;=TIME(18,0,0)),"24H Night", IF(AND(L520&gt;=22,L520&lt;=25,E520&lt;TIME(18,0,0)),"24H Day", IF(AND(L520&gt;=11,L520&lt;=13,E520&gt;=TIME(18,0,0)),"12H Night", IF(AND(L520&gt;=11,L520&lt;=13,E520&lt;TIME(18,0,0)),"12H Day", IF(AND(L520&lt;10,E520&gt;=TIME(18,0,0)),"Couple Night", "Couple Day")))))</f>
        <v>24H Night</v>
      </c>
      <c r="P520" s="0" t="n">
        <f aca="false">WEEKDAY(D520,2)</f>
        <v>6</v>
      </c>
      <c r="Q520" s="0" t="n">
        <f aca="false">MONTH(D520)</f>
        <v>9</v>
      </c>
      <c r="R520" s="0" t="str">
        <f aca="false">"Q"&amp;ROUNDUP(MONTH(D520)/3,0)</f>
        <v>Q3</v>
      </c>
    </row>
    <row r="521" customFormat="false" ht="115.65" hidden="false" customHeight="false" outlineLevel="0" collapsed="false">
      <c r="A521" s="7" t="s">
        <v>1484</v>
      </c>
      <c r="B521" s="7" t="s">
        <v>1485</v>
      </c>
      <c r="C521" s="13" t="s">
        <v>1486</v>
      </c>
      <c r="D521" s="11" t="n">
        <v>45920</v>
      </c>
      <c r="E521" s="12" t="n">
        <v>0.833333333299375</v>
      </c>
      <c r="F521" s="11" t="n">
        <v>45921</v>
      </c>
      <c r="G521" s="12" t="n">
        <v>0.333333333299375</v>
      </c>
      <c r="H521" s="10" t="n">
        <v>45923.7865759259</v>
      </c>
      <c r="I521" s="7" t="n">
        <v>3000</v>
      </c>
      <c r="J521" s="0" t="n">
        <f aca="false">IF(AND(D521&gt;=DATE(YEAR(D521),3,15),D521&lt;=DATE(YEAR(D521),6,10)),1,0)</f>
        <v>0</v>
      </c>
      <c r="K521" s="0" t="e">
        <f aca="false">VLOOKUP(D521,Festival_List!$A$2:$B$100,2,0)</f>
        <v>#N/A</v>
      </c>
      <c r="L521" s="0" t="n">
        <f aca="false">ROUND(((F521+G521)-(D521+E521))*24,0)</f>
        <v>12</v>
      </c>
      <c r="M521" s="0" t="n">
        <f aca="false">IF(OR(WEEKDAY(D521)=1,WEEKDAY(D521)=7),1,0)</f>
        <v>1</v>
      </c>
      <c r="N521" s="0" t="str">
        <f aca="false">IF(AND(MONTH(D521)&gt;=3,MONTH(D521)&lt;=6),"Summer",IF(AND(MONTH(D521)&gt;=7,MONTH(D521)&lt;=9),"Monsoon","Winter"))</f>
        <v>Monsoon</v>
      </c>
      <c r="O521" s="0" t="str">
        <f aca="false">IF(AND(L521&gt;=22,L521&lt;=25,E521&gt;=TIME(18,0,0)),"24H Night", IF(AND(L521&gt;=22,L521&lt;=25,E521&lt;TIME(18,0,0)),"24H Day", IF(AND(L521&gt;=11,L521&lt;=13,E521&gt;=TIME(18,0,0)),"12H Night", IF(AND(L521&gt;=11,L521&lt;=13,E521&lt;TIME(18,0,0)),"12H Day", IF(AND(L521&lt;10,E521&gt;=TIME(18,0,0)),"Couple Night", "Couple Day")))))</f>
        <v>12H Night</v>
      </c>
      <c r="P521" s="0" t="n">
        <f aca="false">WEEKDAY(D521,2)</f>
        <v>6</v>
      </c>
      <c r="Q521" s="0" t="n">
        <f aca="false">MONTH(D521)</f>
        <v>9</v>
      </c>
      <c r="R521" s="0" t="str">
        <f aca="false">"Q"&amp;ROUNDUP(MONTH(D521)/3,0)</f>
        <v>Q3</v>
      </c>
    </row>
    <row r="522" customFormat="false" ht="128.35" hidden="false" customHeight="false" outlineLevel="0" collapsed="false">
      <c r="A522" s="7" t="s">
        <v>1487</v>
      </c>
      <c r="B522" s="7" t="s">
        <v>1488</v>
      </c>
      <c r="C522" s="13" t="s">
        <v>1489</v>
      </c>
      <c r="D522" s="11" t="n">
        <v>45925</v>
      </c>
      <c r="E522" s="12" t="n">
        <v>0.375</v>
      </c>
      <c r="F522" s="11" t="n">
        <v>45925</v>
      </c>
      <c r="G522" s="12" t="n">
        <v>0.75</v>
      </c>
      <c r="H522" s="10" t="n">
        <v>45913.390453588</v>
      </c>
      <c r="I522" s="7" t="n">
        <v>1500</v>
      </c>
      <c r="J522" s="0" t="n">
        <f aca="false">IF(AND(D522&gt;=DATE(YEAR(D522),3,15),D522&lt;=DATE(YEAR(D522),6,10)),1,0)</f>
        <v>0</v>
      </c>
      <c r="K522" s="0" t="e">
        <f aca="false">VLOOKUP(D522,Festival_List!$A$2:$B$100,2,0)</f>
        <v>#N/A</v>
      </c>
      <c r="L522" s="0" t="n">
        <f aca="false">ROUND(((F522+G522)-(D522+E522))*24,0)</f>
        <v>9</v>
      </c>
      <c r="M522" s="0" t="n">
        <f aca="false">IF(OR(WEEKDAY(D522)=1,WEEKDAY(D522)=7),1,0)</f>
        <v>0</v>
      </c>
      <c r="N522" s="0" t="str">
        <f aca="false">IF(AND(MONTH(D522)&gt;=3,MONTH(D522)&lt;=6),"Summer",IF(AND(MONTH(D522)&gt;=7,MONTH(D522)&lt;=9),"Monsoon","Winter"))</f>
        <v>Monsoon</v>
      </c>
      <c r="O522" s="0" t="str">
        <f aca="false">IF(AND(L522&gt;=22,L522&lt;=25,E522&gt;=TIME(18,0,0)),"24H Night", IF(AND(L522&gt;=22,L522&lt;=25,E522&lt;TIME(18,0,0)),"24H Day", IF(AND(L522&gt;=11,L522&lt;=13,E522&gt;=TIME(18,0,0)),"12H Night", IF(AND(L522&gt;=11,L522&lt;=13,E522&lt;TIME(18,0,0)),"12H Day", IF(AND(L522&lt;10,E522&gt;=TIME(18,0,0)),"Couple Night", "Couple Day")))))</f>
        <v>Couple Day</v>
      </c>
      <c r="P522" s="0" t="n">
        <f aca="false">WEEKDAY(D522,2)</f>
        <v>4</v>
      </c>
      <c r="Q522" s="0" t="n">
        <f aca="false">MONTH(D522)</f>
        <v>9</v>
      </c>
      <c r="R522" s="0" t="str">
        <f aca="false">"Q"&amp;ROUNDUP(MONTH(D522)/3,0)</f>
        <v>Q3</v>
      </c>
    </row>
    <row r="523" customFormat="false" ht="115.65" hidden="false" customHeight="false" outlineLevel="0" collapsed="false">
      <c r="A523" s="7" t="s">
        <v>1490</v>
      </c>
      <c r="B523" s="7" t="s">
        <v>1491</v>
      </c>
      <c r="C523" s="13" t="s">
        <v>1492</v>
      </c>
      <c r="D523" s="11" t="n">
        <v>45926</v>
      </c>
      <c r="E523" s="12" t="n">
        <v>0.625</v>
      </c>
      <c r="F523" s="11" t="n">
        <v>45926</v>
      </c>
      <c r="G523" s="12" t="n">
        <v>0.75</v>
      </c>
      <c r="H523" s="10" t="n">
        <v>45926.6126734954</v>
      </c>
      <c r="I523" s="7" t="n">
        <v>1500</v>
      </c>
      <c r="J523" s="0" t="n">
        <f aca="false">IF(AND(D523&gt;=DATE(YEAR(D523),3,15),D523&lt;=DATE(YEAR(D523),6,10)),1,0)</f>
        <v>0</v>
      </c>
      <c r="K523" s="0" t="e">
        <f aca="false">VLOOKUP(D523,Festival_List!$A$2:$B$100,2,0)</f>
        <v>#N/A</v>
      </c>
      <c r="L523" s="0" t="n">
        <f aca="false">ROUND(((F523+G523)-(D523+E523))*24,0)</f>
        <v>3</v>
      </c>
      <c r="M523" s="0" t="n">
        <f aca="false">IF(OR(WEEKDAY(D523)=1,WEEKDAY(D523)=7),1,0)</f>
        <v>0</v>
      </c>
      <c r="N523" s="0" t="str">
        <f aca="false">IF(AND(MONTH(D523)&gt;=3,MONTH(D523)&lt;=6),"Summer",IF(AND(MONTH(D523)&gt;=7,MONTH(D523)&lt;=9),"Monsoon","Winter"))</f>
        <v>Monsoon</v>
      </c>
      <c r="O523" s="0" t="str">
        <f aca="false">IF(AND(L523&gt;=22,L523&lt;=25,E523&gt;=TIME(18,0,0)),"24H Night", IF(AND(L523&gt;=22,L523&lt;=25,E523&lt;TIME(18,0,0)),"24H Day", IF(AND(L523&gt;=11,L523&lt;=13,E523&gt;=TIME(18,0,0)),"12H Night", IF(AND(L523&gt;=11,L523&lt;=13,E523&lt;TIME(18,0,0)),"12H Day", IF(AND(L523&lt;10,E523&gt;=TIME(18,0,0)),"Couple Night", "Couple Day")))))</f>
        <v>Couple Day</v>
      </c>
      <c r="P523" s="0" t="n">
        <f aca="false">WEEKDAY(D523,2)</f>
        <v>5</v>
      </c>
      <c r="Q523" s="0" t="n">
        <f aca="false">MONTH(D523)</f>
        <v>9</v>
      </c>
      <c r="R523" s="0" t="str">
        <f aca="false">"Q"&amp;ROUNDUP(MONTH(D523)/3,0)</f>
        <v>Q3</v>
      </c>
    </row>
    <row r="524" customFormat="false" ht="102.95" hidden="false" customHeight="false" outlineLevel="0" collapsed="false">
      <c r="A524" s="7" t="s">
        <v>1493</v>
      </c>
      <c r="B524" s="7" t="s">
        <v>1494</v>
      </c>
      <c r="C524" s="13" t="s">
        <v>1495</v>
      </c>
      <c r="D524" s="11" t="n">
        <v>45926</v>
      </c>
      <c r="E524" s="12" t="n">
        <v>0.875</v>
      </c>
      <c r="F524" s="11" t="n">
        <v>45927</v>
      </c>
      <c r="G524" s="12" t="n">
        <v>0.375</v>
      </c>
      <c r="H524" s="10" t="n">
        <v>45926.0097637732</v>
      </c>
      <c r="I524" s="7" t="n">
        <v>2800</v>
      </c>
      <c r="J524" s="0" t="n">
        <f aca="false">IF(AND(D524&gt;=DATE(YEAR(D524),3,15),D524&lt;=DATE(YEAR(D524),6,10)),1,0)</f>
        <v>0</v>
      </c>
      <c r="K524" s="0" t="e">
        <f aca="false">VLOOKUP(D524,Festival_List!$A$2:$B$100,2,0)</f>
        <v>#N/A</v>
      </c>
      <c r="L524" s="0" t="n">
        <f aca="false">ROUND(((F524+G524)-(D524+E524))*24,0)</f>
        <v>12</v>
      </c>
      <c r="M524" s="0" t="n">
        <f aca="false">IF(OR(WEEKDAY(D524)=1,WEEKDAY(D524)=7),1,0)</f>
        <v>0</v>
      </c>
      <c r="N524" s="0" t="str">
        <f aca="false">IF(AND(MONTH(D524)&gt;=3,MONTH(D524)&lt;=6),"Summer",IF(AND(MONTH(D524)&gt;=7,MONTH(D524)&lt;=9),"Monsoon","Winter"))</f>
        <v>Monsoon</v>
      </c>
      <c r="O524" s="0" t="str">
        <f aca="false">IF(AND(L524&gt;=22,L524&lt;=25,E524&gt;=TIME(18,0,0)),"24H Night", IF(AND(L524&gt;=22,L524&lt;=25,E524&lt;TIME(18,0,0)),"24H Day", IF(AND(L524&gt;=11,L524&lt;=13,E524&gt;=TIME(18,0,0)),"12H Night", IF(AND(L524&gt;=11,L524&lt;=13,E524&lt;TIME(18,0,0)),"12H Day", IF(AND(L524&lt;10,E524&gt;=TIME(18,0,0)),"Couple Night", "Couple Day")))))</f>
        <v>12H Night</v>
      </c>
      <c r="P524" s="0" t="n">
        <f aca="false">WEEKDAY(D524,2)</f>
        <v>5</v>
      </c>
      <c r="Q524" s="0" t="n">
        <f aca="false">MONTH(D524)</f>
        <v>9</v>
      </c>
      <c r="R524" s="0" t="str">
        <f aca="false">"Q"&amp;ROUNDUP(MONTH(D524)/3,0)</f>
        <v>Q3</v>
      </c>
    </row>
    <row r="525" customFormat="false" ht="115.65" hidden="false" customHeight="false" outlineLevel="0" collapsed="false">
      <c r="A525" s="7" t="s">
        <v>1496</v>
      </c>
      <c r="B525" s="7" t="s">
        <v>1497</v>
      </c>
      <c r="C525" s="13" t="s">
        <v>1498</v>
      </c>
      <c r="D525" s="11" t="n">
        <v>45932</v>
      </c>
      <c r="E525" s="12" t="n">
        <v>0.375</v>
      </c>
      <c r="F525" s="11" t="n">
        <v>45932</v>
      </c>
      <c r="G525" s="12" t="n">
        <v>0.75</v>
      </c>
      <c r="H525" s="10" t="n">
        <v>45932.0249829861</v>
      </c>
      <c r="I525" s="7" t="n">
        <v>2500</v>
      </c>
      <c r="J525" s="0" t="n">
        <f aca="false">IF(AND(D525&gt;=DATE(YEAR(D525),3,15),D525&lt;=DATE(YEAR(D525),6,10)),1,0)</f>
        <v>0</v>
      </c>
      <c r="K525" s="0" t="e">
        <f aca="false">VLOOKUP(D525,Festival_List!$A$2:$B$100,2,0)</f>
        <v>#N/A</v>
      </c>
      <c r="L525" s="0" t="n">
        <f aca="false">ROUND(((F525+G525)-(D525+E525))*24,0)</f>
        <v>9</v>
      </c>
      <c r="M525" s="0" t="n">
        <f aca="false">IF(OR(WEEKDAY(D525)=1,WEEKDAY(D525)=7),1,0)</f>
        <v>0</v>
      </c>
      <c r="N525" s="0" t="str">
        <f aca="false">IF(AND(MONTH(D525)&gt;=3,MONTH(D525)&lt;=6),"Summer",IF(AND(MONTH(D525)&gt;=7,MONTH(D525)&lt;=9),"Monsoon","Winter"))</f>
        <v>Winter</v>
      </c>
      <c r="O525" s="0" t="str">
        <f aca="false">IF(AND(L525&gt;=22,L525&lt;=25,E525&gt;=TIME(18,0,0)),"24H Night", IF(AND(L525&gt;=22,L525&lt;=25,E525&lt;TIME(18,0,0)),"24H Day", IF(AND(L525&gt;=11,L525&lt;=13,E525&gt;=TIME(18,0,0)),"12H Night", IF(AND(L525&gt;=11,L525&lt;=13,E525&lt;TIME(18,0,0)),"12H Day", IF(AND(L525&lt;10,E525&gt;=TIME(18,0,0)),"Couple Night", "Couple Day")))))</f>
        <v>Couple Day</v>
      </c>
      <c r="P525" s="0" t="n">
        <f aca="false">WEEKDAY(D525,2)</f>
        <v>4</v>
      </c>
      <c r="Q525" s="0" t="n">
        <f aca="false">MONTH(D525)</f>
        <v>10</v>
      </c>
      <c r="R525" s="0" t="str">
        <f aca="false">"Q"&amp;ROUNDUP(MONTH(D525)/3,0)</f>
        <v>Q4</v>
      </c>
    </row>
    <row r="526" customFormat="false" ht="115.65" hidden="false" customHeight="false" outlineLevel="0" collapsed="false">
      <c r="A526" s="7" t="s">
        <v>1499</v>
      </c>
      <c r="B526" s="7" t="s">
        <v>1500</v>
      </c>
      <c r="C526" s="13" t="s">
        <v>1501</v>
      </c>
      <c r="D526" s="11" t="n">
        <v>45933</v>
      </c>
      <c r="E526" s="12" t="n">
        <v>0.375</v>
      </c>
      <c r="F526" s="11" t="n">
        <v>45933</v>
      </c>
      <c r="G526" s="12" t="n">
        <v>0.75</v>
      </c>
      <c r="H526" s="10" t="n">
        <v>45933.7389212963</v>
      </c>
      <c r="I526" s="7" t="n">
        <v>2800</v>
      </c>
      <c r="J526" s="0" t="n">
        <f aca="false">IF(AND(D526&gt;=DATE(YEAR(D526),3,15),D526&lt;=DATE(YEAR(D526),6,10)),1,0)</f>
        <v>0</v>
      </c>
      <c r="K526" s="0" t="e">
        <f aca="false">VLOOKUP(D526,Festival_List!$A$2:$B$100,2,0)</f>
        <v>#N/A</v>
      </c>
      <c r="L526" s="0" t="n">
        <f aca="false">ROUND(((F526+G526)-(D526+E526))*24,0)</f>
        <v>9</v>
      </c>
      <c r="M526" s="0" t="n">
        <f aca="false">IF(OR(WEEKDAY(D526)=1,WEEKDAY(D526)=7),1,0)</f>
        <v>0</v>
      </c>
      <c r="N526" s="0" t="str">
        <f aca="false">IF(AND(MONTH(D526)&gt;=3,MONTH(D526)&lt;=6),"Summer",IF(AND(MONTH(D526)&gt;=7,MONTH(D526)&lt;=9),"Monsoon","Winter"))</f>
        <v>Winter</v>
      </c>
      <c r="O526" s="0" t="str">
        <f aca="false">IF(AND(L526&gt;=22,L526&lt;=25,E526&gt;=TIME(18,0,0)),"24H Night", IF(AND(L526&gt;=22,L526&lt;=25,E526&lt;TIME(18,0,0)),"24H Day", IF(AND(L526&gt;=11,L526&lt;=13,E526&gt;=TIME(18,0,0)),"12H Night", IF(AND(L526&gt;=11,L526&lt;=13,E526&lt;TIME(18,0,0)),"12H Day", IF(AND(L526&lt;10,E526&gt;=TIME(18,0,0)),"Couple Night", "Couple Day")))))</f>
        <v>Couple Day</v>
      </c>
      <c r="P526" s="0" t="n">
        <f aca="false">WEEKDAY(D526,2)</f>
        <v>5</v>
      </c>
      <c r="Q526" s="0" t="n">
        <f aca="false">MONTH(D526)</f>
        <v>10</v>
      </c>
      <c r="R526" s="0" t="str">
        <f aca="false">"Q"&amp;ROUNDUP(MONTH(D526)/3,0)</f>
        <v>Q4</v>
      </c>
    </row>
    <row r="527" customFormat="false" ht="90.25" hidden="false" customHeight="false" outlineLevel="0" collapsed="false">
      <c r="A527" s="7" t="s">
        <v>1502</v>
      </c>
      <c r="B527" s="7" t="s">
        <v>1503</v>
      </c>
      <c r="C527" s="13" t="s">
        <v>1504</v>
      </c>
      <c r="D527" s="11" t="n">
        <v>45934</v>
      </c>
      <c r="E527" s="12" t="n">
        <v>0.416666666700625</v>
      </c>
      <c r="F527" s="11" t="n">
        <v>45934</v>
      </c>
      <c r="G527" s="12" t="n">
        <v>0.75</v>
      </c>
      <c r="H527" s="10" t="n">
        <v>45933.8122466435</v>
      </c>
      <c r="I527" s="7" t="n">
        <v>2500</v>
      </c>
      <c r="J527" s="0" t="n">
        <f aca="false">IF(AND(D527&gt;=DATE(YEAR(D527),3,15),D527&lt;=DATE(YEAR(D527),6,10)),1,0)</f>
        <v>0</v>
      </c>
      <c r="K527" s="0" t="e">
        <f aca="false">VLOOKUP(D527,Festival_List!$A$2:$B$100,2,0)</f>
        <v>#N/A</v>
      </c>
      <c r="L527" s="0" t="n">
        <f aca="false">ROUND(((F527+G527)-(D527+E527))*24,0)</f>
        <v>8</v>
      </c>
      <c r="M527" s="0" t="n">
        <f aca="false">IF(OR(WEEKDAY(D527)=1,WEEKDAY(D527)=7),1,0)</f>
        <v>1</v>
      </c>
      <c r="N527" s="0" t="str">
        <f aca="false">IF(AND(MONTH(D527)&gt;=3,MONTH(D527)&lt;=6),"Summer",IF(AND(MONTH(D527)&gt;=7,MONTH(D527)&lt;=9),"Monsoon","Winter"))</f>
        <v>Winter</v>
      </c>
      <c r="O527" s="0" t="str">
        <f aca="false">IF(AND(L527&gt;=22,L527&lt;=25,E527&gt;=TIME(18,0,0)),"24H Night", IF(AND(L527&gt;=22,L527&lt;=25,E527&lt;TIME(18,0,0)),"24H Day", IF(AND(L527&gt;=11,L527&lt;=13,E527&gt;=TIME(18,0,0)),"12H Night", IF(AND(L527&gt;=11,L527&lt;=13,E527&lt;TIME(18,0,0)),"12H Day", IF(AND(L527&lt;10,E527&gt;=TIME(18,0,0)),"Couple Night", "Couple Day")))))</f>
        <v>Couple Day</v>
      </c>
      <c r="P527" s="0" t="n">
        <f aca="false">WEEKDAY(D527,2)</f>
        <v>6</v>
      </c>
      <c r="Q527" s="0" t="n">
        <f aca="false">MONTH(D527)</f>
        <v>10</v>
      </c>
      <c r="R527" s="0" t="str">
        <f aca="false">"Q"&amp;ROUNDUP(MONTH(D527)/3,0)</f>
        <v>Q4</v>
      </c>
    </row>
    <row r="528" customFormat="false" ht="115.65" hidden="false" customHeight="false" outlineLevel="0" collapsed="false">
      <c r="A528" s="7" t="s">
        <v>1505</v>
      </c>
      <c r="B528" s="7" t="s">
        <v>1506</v>
      </c>
      <c r="C528" s="13" t="s">
        <v>1507</v>
      </c>
      <c r="D528" s="11" t="n">
        <v>45934</v>
      </c>
      <c r="E528" s="12" t="n">
        <v>0.791666666700625</v>
      </c>
      <c r="F528" s="11" t="n">
        <v>45935</v>
      </c>
      <c r="G528" s="12" t="n">
        <v>0.333333333299375</v>
      </c>
      <c r="H528" s="10" t="n">
        <v>45934.6287649306</v>
      </c>
      <c r="I528" s="7" t="n">
        <v>3000</v>
      </c>
      <c r="J528" s="0" t="n">
        <f aca="false">IF(AND(D528&gt;=DATE(YEAR(D528),3,15),D528&lt;=DATE(YEAR(D528),6,10)),1,0)</f>
        <v>0</v>
      </c>
      <c r="K528" s="0" t="e">
        <f aca="false">VLOOKUP(D528,Festival_List!$A$2:$B$100,2,0)</f>
        <v>#N/A</v>
      </c>
      <c r="L528" s="0" t="n">
        <f aca="false">ROUND(((F528+G528)-(D528+E528))*24,0)</f>
        <v>13</v>
      </c>
      <c r="M528" s="0" t="n">
        <f aca="false">IF(OR(WEEKDAY(D528)=1,WEEKDAY(D528)=7),1,0)</f>
        <v>1</v>
      </c>
      <c r="N528" s="0" t="str">
        <f aca="false">IF(AND(MONTH(D528)&gt;=3,MONTH(D528)&lt;=6),"Summer",IF(AND(MONTH(D528)&gt;=7,MONTH(D528)&lt;=9),"Monsoon","Winter"))</f>
        <v>Winter</v>
      </c>
      <c r="O528" s="0" t="str">
        <f aca="false">IF(AND(L528&gt;=22,L528&lt;=25,E528&gt;=TIME(18,0,0)),"24H Night", IF(AND(L528&gt;=22,L528&lt;=25,E528&lt;TIME(18,0,0)),"24H Day", IF(AND(L528&gt;=11,L528&lt;=13,E528&gt;=TIME(18,0,0)),"12H Night", IF(AND(L528&gt;=11,L528&lt;=13,E528&lt;TIME(18,0,0)),"12H Day", IF(AND(L528&lt;10,E528&gt;=TIME(18,0,0)),"Couple Night", "Couple Day")))))</f>
        <v>12H Night</v>
      </c>
      <c r="P528" s="0" t="n">
        <f aca="false">WEEKDAY(D528,2)</f>
        <v>6</v>
      </c>
      <c r="Q528" s="0" t="n">
        <f aca="false">MONTH(D528)</f>
        <v>10</v>
      </c>
      <c r="R528" s="0" t="str">
        <f aca="false">"Q"&amp;ROUNDUP(MONTH(D528)/3,0)</f>
        <v>Q4</v>
      </c>
    </row>
    <row r="529" customFormat="false" ht="102.95" hidden="false" customHeight="false" outlineLevel="0" collapsed="false">
      <c r="A529" s="7" t="s">
        <v>1508</v>
      </c>
      <c r="B529" s="7" t="s">
        <v>1509</v>
      </c>
      <c r="C529" s="13" t="s">
        <v>1510</v>
      </c>
      <c r="D529" s="11" t="n">
        <v>45935</v>
      </c>
      <c r="E529" s="12" t="n">
        <v>0.833333333299375</v>
      </c>
      <c r="F529" s="11" t="n">
        <v>45936</v>
      </c>
      <c r="G529" s="12" t="n">
        <v>0.333333333299375</v>
      </c>
      <c r="H529" s="10" t="n">
        <v>45935.9440689815</v>
      </c>
      <c r="I529" s="7" t="n">
        <v>3500</v>
      </c>
      <c r="J529" s="0" t="n">
        <f aca="false">IF(AND(D529&gt;=DATE(YEAR(D529),3,15),D529&lt;=DATE(YEAR(D529),6,10)),1,0)</f>
        <v>0</v>
      </c>
      <c r="K529" s="0" t="e">
        <f aca="false">VLOOKUP(D529,Festival_List!$A$2:$B$100,2,0)</f>
        <v>#N/A</v>
      </c>
      <c r="L529" s="0" t="n">
        <f aca="false">ROUND(((F529+G529)-(D529+E529))*24,0)</f>
        <v>12</v>
      </c>
      <c r="M529" s="0" t="n">
        <f aca="false">IF(OR(WEEKDAY(D529)=1,WEEKDAY(D529)=7),1,0)</f>
        <v>1</v>
      </c>
      <c r="N529" s="0" t="str">
        <f aca="false">IF(AND(MONTH(D529)&gt;=3,MONTH(D529)&lt;=6),"Summer",IF(AND(MONTH(D529)&gt;=7,MONTH(D529)&lt;=9),"Monsoon","Winter"))</f>
        <v>Winter</v>
      </c>
      <c r="O529" s="0" t="str">
        <f aca="false">IF(AND(L529&gt;=22,L529&lt;=25,E529&gt;=TIME(18,0,0)),"24H Night", IF(AND(L529&gt;=22,L529&lt;=25,E529&lt;TIME(18,0,0)),"24H Day", IF(AND(L529&gt;=11,L529&lt;=13,E529&gt;=TIME(18,0,0)),"12H Night", IF(AND(L529&gt;=11,L529&lt;=13,E529&lt;TIME(18,0,0)),"12H Day", IF(AND(L529&lt;10,E529&gt;=TIME(18,0,0)),"Couple Night", "Couple Day")))))</f>
        <v>12H Night</v>
      </c>
      <c r="P529" s="0" t="n">
        <f aca="false">WEEKDAY(D529,2)</f>
        <v>7</v>
      </c>
      <c r="Q529" s="0" t="n">
        <f aca="false">MONTH(D529)</f>
        <v>10</v>
      </c>
      <c r="R529" s="0" t="str">
        <f aca="false">"Q"&amp;ROUNDUP(MONTH(D529)/3,0)</f>
        <v>Q4</v>
      </c>
    </row>
    <row r="530" customFormat="false" ht="153.7" hidden="false" customHeight="false" outlineLevel="0" collapsed="false">
      <c r="A530" s="7" t="s">
        <v>1511</v>
      </c>
      <c r="B530" s="7" t="s">
        <v>1512</v>
      </c>
      <c r="C530" s="13" t="s">
        <v>1513</v>
      </c>
      <c r="D530" s="11" t="n">
        <v>45936</v>
      </c>
      <c r="E530" s="12" t="n">
        <v>0.375</v>
      </c>
      <c r="F530" s="11" t="n">
        <v>45936</v>
      </c>
      <c r="G530" s="12" t="n">
        <v>0.75</v>
      </c>
      <c r="H530" s="10" t="n">
        <v>45935.8731252315</v>
      </c>
      <c r="I530" s="7" t="n">
        <v>1500</v>
      </c>
      <c r="J530" s="0" t="n">
        <f aca="false">IF(AND(D530&gt;=DATE(YEAR(D530),3,15),D530&lt;=DATE(YEAR(D530),6,10)),1,0)</f>
        <v>0</v>
      </c>
      <c r="K530" s="0" t="e">
        <f aca="false">VLOOKUP(D530,Festival_List!$A$2:$B$100,2,0)</f>
        <v>#N/A</v>
      </c>
      <c r="L530" s="0" t="n">
        <f aca="false">ROUND(((F530+G530)-(D530+E530))*24,0)</f>
        <v>9</v>
      </c>
      <c r="M530" s="0" t="n">
        <f aca="false">IF(OR(WEEKDAY(D530)=1,WEEKDAY(D530)=7),1,0)</f>
        <v>0</v>
      </c>
      <c r="N530" s="0" t="str">
        <f aca="false">IF(AND(MONTH(D530)&gt;=3,MONTH(D530)&lt;=6),"Summer",IF(AND(MONTH(D530)&gt;=7,MONTH(D530)&lt;=9),"Monsoon","Winter"))</f>
        <v>Winter</v>
      </c>
      <c r="O530" s="0" t="str">
        <f aca="false">IF(AND(L530&gt;=22,L530&lt;=25,E530&gt;=TIME(18,0,0)),"24H Night", IF(AND(L530&gt;=22,L530&lt;=25,E530&lt;TIME(18,0,0)),"24H Day", IF(AND(L530&gt;=11,L530&lt;=13,E530&gt;=TIME(18,0,0)),"12H Night", IF(AND(L530&gt;=11,L530&lt;=13,E530&lt;TIME(18,0,0)),"12H Day", IF(AND(L530&lt;10,E530&gt;=TIME(18,0,0)),"Couple Night", "Couple Day")))))</f>
        <v>Couple Day</v>
      </c>
      <c r="P530" s="0" t="n">
        <f aca="false">WEEKDAY(D530,2)</f>
        <v>1</v>
      </c>
      <c r="Q530" s="0" t="n">
        <f aca="false">MONTH(D530)</f>
        <v>10</v>
      </c>
      <c r="R530" s="0" t="str">
        <f aca="false">"Q"&amp;ROUNDUP(MONTH(D530)/3,0)</f>
        <v>Q4</v>
      </c>
    </row>
    <row r="531" customFormat="false" ht="115.65" hidden="false" customHeight="false" outlineLevel="0" collapsed="false">
      <c r="A531" s="7" t="s">
        <v>1514</v>
      </c>
      <c r="B531" s="7" t="s">
        <v>1515</v>
      </c>
      <c r="C531" s="13" t="s">
        <v>1516</v>
      </c>
      <c r="D531" s="11" t="n">
        <v>45938</v>
      </c>
      <c r="E531" s="12" t="n">
        <v>0.375</v>
      </c>
      <c r="F531" s="11" t="n">
        <v>45938</v>
      </c>
      <c r="G531" s="12" t="n">
        <v>0.75</v>
      </c>
      <c r="H531" s="10" t="n">
        <v>45937.7236326389</v>
      </c>
      <c r="I531" s="7" t="n">
        <v>1500</v>
      </c>
      <c r="J531" s="0" t="n">
        <f aca="false">IF(AND(D531&gt;=DATE(YEAR(D531),3,15),D531&lt;=DATE(YEAR(D531),6,10)),1,0)</f>
        <v>0</v>
      </c>
      <c r="K531" s="0" t="e">
        <f aca="false">VLOOKUP(D531,Festival_List!$A$2:$B$100,2,0)</f>
        <v>#N/A</v>
      </c>
      <c r="L531" s="0" t="n">
        <f aca="false">ROUND(((F531+G531)-(D531+E531))*24,0)</f>
        <v>9</v>
      </c>
      <c r="M531" s="0" t="n">
        <f aca="false">IF(OR(WEEKDAY(D531)=1,WEEKDAY(D531)=7),1,0)</f>
        <v>0</v>
      </c>
      <c r="N531" s="0" t="str">
        <f aca="false">IF(AND(MONTH(D531)&gt;=3,MONTH(D531)&lt;=6),"Summer",IF(AND(MONTH(D531)&gt;=7,MONTH(D531)&lt;=9),"Monsoon","Winter"))</f>
        <v>Winter</v>
      </c>
      <c r="O531" s="0" t="str">
        <f aca="false">IF(AND(L531&gt;=22,L531&lt;=25,E531&gt;=TIME(18,0,0)),"24H Night", IF(AND(L531&gt;=22,L531&lt;=25,E531&lt;TIME(18,0,0)),"24H Day", IF(AND(L531&gt;=11,L531&lt;=13,E531&gt;=TIME(18,0,0)),"12H Night", IF(AND(L531&gt;=11,L531&lt;=13,E531&lt;TIME(18,0,0)),"12H Day", IF(AND(L531&lt;10,E531&gt;=TIME(18,0,0)),"Couple Night", "Couple Day")))))</f>
        <v>Couple Day</v>
      </c>
      <c r="P531" s="0" t="n">
        <f aca="false">WEEKDAY(D531,2)</f>
        <v>3</v>
      </c>
      <c r="Q531" s="0" t="n">
        <f aca="false">MONTH(D531)</f>
        <v>10</v>
      </c>
      <c r="R531" s="0" t="str">
        <f aca="false">"Q"&amp;ROUNDUP(MONTH(D531)/3,0)</f>
        <v>Q4</v>
      </c>
    </row>
    <row r="532" customFormat="false" ht="153.7" hidden="false" customHeight="false" outlineLevel="0" collapsed="false">
      <c r="A532" s="7" t="s">
        <v>1517</v>
      </c>
      <c r="B532" s="7" t="s">
        <v>1518</v>
      </c>
      <c r="C532" s="13" t="s">
        <v>1519</v>
      </c>
      <c r="D532" s="11" t="n">
        <v>45940</v>
      </c>
      <c r="E532" s="12" t="n">
        <v>0.791666666700625</v>
      </c>
      <c r="F532" s="11" t="n">
        <v>45941</v>
      </c>
      <c r="G532" s="12" t="n">
        <v>0.333333333299375</v>
      </c>
      <c r="H532" s="10" t="n">
        <v>45939.8748391204</v>
      </c>
      <c r="I532" s="7" t="n">
        <v>2500</v>
      </c>
      <c r="J532" s="0" t="n">
        <f aca="false">IF(AND(D532&gt;=DATE(YEAR(D532),3,15),D532&lt;=DATE(YEAR(D532),6,10)),1,0)</f>
        <v>0</v>
      </c>
      <c r="K532" s="0" t="e">
        <f aca="false">VLOOKUP(D532,Festival_List!$A$2:$B$100,2,0)</f>
        <v>#N/A</v>
      </c>
      <c r="L532" s="0" t="n">
        <f aca="false">ROUND(((F532+G532)-(D532+E532))*24,0)</f>
        <v>13</v>
      </c>
      <c r="M532" s="0" t="n">
        <f aca="false">IF(OR(WEEKDAY(D532)=1,WEEKDAY(D532)=7),1,0)</f>
        <v>0</v>
      </c>
      <c r="N532" s="0" t="str">
        <f aca="false">IF(AND(MONTH(D532)&gt;=3,MONTH(D532)&lt;=6),"Summer",IF(AND(MONTH(D532)&gt;=7,MONTH(D532)&lt;=9),"Monsoon","Winter"))</f>
        <v>Winter</v>
      </c>
      <c r="O532" s="0" t="str">
        <f aca="false">IF(AND(L532&gt;=22,L532&lt;=25,E532&gt;=TIME(18,0,0)),"24H Night", IF(AND(L532&gt;=22,L532&lt;=25,E532&lt;TIME(18,0,0)),"24H Day", IF(AND(L532&gt;=11,L532&lt;=13,E532&gt;=TIME(18,0,0)),"12H Night", IF(AND(L532&gt;=11,L532&lt;=13,E532&lt;TIME(18,0,0)),"12H Day", IF(AND(L532&lt;10,E532&gt;=TIME(18,0,0)),"Couple Night", "Couple Day")))))</f>
        <v>12H Night</v>
      </c>
      <c r="P532" s="0" t="n">
        <f aca="false">WEEKDAY(D532,2)</f>
        <v>5</v>
      </c>
      <c r="Q532" s="0" t="n">
        <f aca="false">MONTH(D532)</f>
        <v>10</v>
      </c>
      <c r="R532" s="0" t="str">
        <f aca="false">"Q"&amp;ROUNDUP(MONTH(D532)/3,0)</f>
        <v>Q4</v>
      </c>
    </row>
    <row r="533" customFormat="false" ht="141" hidden="false" customHeight="false" outlineLevel="0" collapsed="false">
      <c r="A533" s="7" t="s">
        <v>1520</v>
      </c>
      <c r="B533" s="7" t="s">
        <v>864</v>
      </c>
      <c r="C533" s="13" t="s">
        <v>1521</v>
      </c>
      <c r="D533" s="11" t="n">
        <v>45941</v>
      </c>
      <c r="E533" s="12" t="n">
        <v>0.375</v>
      </c>
      <c r="F533" s="11" t="n">
        <v>45941</v>
      </c>
      <c r="G533" s="12" t="n">
        <v>0.75</v>
      </c>
      <c r="H533" s="10" t="n">
        <v>45940.8708361111</v>
      </c>
      <c r="I533" s="7" t="n">
        <v>2000</v>
      </c>
      <c r="J533" s="0" t="n">
        <f aca="false">IF(AND(D533&gt;=DATE(YEAR(D533),3,15),D533&lt;=DATE(YEAR(D533),6,10)),1,0)</f>
        <v>0</v>
      </c>
      <c r="K533" s="0" t="e">
        <f aca="false">VLOOKUP(D533,Festival_List!$A$2:$B$100,2,0)</f>
        <v>#N/A</v>
      </c>
      <c r="L533" s="0" t="n">
        <f aca="false">ROUND(((F533+G533)-(D533+E533))*24,0)</f>
        <v>9</v>
      </c>
      <c r="M533" s="0" t="n">
        <f aca="false">IF(OR(WEEKDAY(D533)=1,WEEKDAY(D533)=7),1,0)</f>
        <v>1</v>
      </c>
      <c r="N533" s="0" t="str">
        <f aca="false">IF(AND(MONTH(D533)&gt;=3,MONTH(D533)&lt;=6),"Summer",IF(AND(MONTH(D533)&gt;=7,MONTH(D533)&lt;=9),"Monsoon","Winter"))</f>
        <v>Winter</v>
      </c>
      <c r="O533" s="0" t="str">
        <f aca="false">IF(AND(L533&gt;=22,L533&lt;=25,E533&gt;=TIME(18,0,0)),"24H Night", IF(AND(L533&gt;=22,L533&lt;=25,E533&lt;TIME(18,0,0)),"24H Day", IF(AND(L533&gt;=11,L533&lt;=13,E533&gt;=TIME(18,0,0)),"12H Night", IF(AND(L533&gt;=11,L533&lt;=13,E533&lt;TIME(18,0,0)),"12H Day", IF(AND(L533&lt;10,E533&gt;=TIME(18,0,0)),"Couple Night", "Couple Day")))))</f>
        <v>Couple Day</v>
      </c>
      <c r="P533" s="0" t="n">
        <f aca="false">WEEKDAY(D533,2)</f>
        <v>6</v>
      </c>
      <c r="Q533" s="0" t="n">
        <f aca="false">MONTH(D533)</f>
        <v>10</v>
      </c>
      <c r="R533" s="0" t="str">
        <f aca="false">"Q"&amp;ROUNDUP(MONTH(D533)/3,0)</f>
        <v>Q4</v>
      </c>
    </row>
    <row r="534" customFormat="false" ht="115.65" hidden="false" customHeight="false" outlineLevel="0" collapsed="false">
      <c r="A534" s="7" t="s">
        <v>1522</v>
      </c>
      <c r="B534" s="7" t="s">
        <v>1523</v>
      </c>
      <c r="C534" s="13" t="s">
        <v>1524</v>
      </c>
      <c r="D534" s="11" t="n">
        <v>45941</v>
      </c>
      <c r="E534" s="12" t="n">
        <v>0.875</v>
      </c>
      <c r="F534" s="11" t="n">
        <v>45942</v>
      </c>
      <c r="G534" s="12" t="n">
        <v>0.354166666700625</v>
      </c>
      <c r="H534" s="10" t="n">
        <v>45941.8224486111</v>
      </c>
      <c r="I534" s="7" t="n">
        <v>2200</v>
      </c>
      <c r="J534" s="0" t="n">
        <f aca="false">IF(AND(D534&gt;=DATE(YEAR(D534),3,15),D534&lt;=DATE(YEAR(D534),6,10)),1,0)</f>
        <v>0</v>
      </c>
      <c r="K534" s="0" t="e">
        <f aca="false">VLOOKUP(D534,Festival_List!$A$2:$B$100,2,0)</f>
        <v>#N/A</v>
      </c>
      <c r="L534" s="0" t="n">
        <f aca="false">ROUND(((F534+G534)-(D534+E534))*24,0)</f>
        <v>12</v>
      </c>
      <c r="M534" s="0" t="n">
        <f aca="false">IF(OR(WEEKDAY(D534)=1,WEEKDAY(D534)=7),1,0)</f>
        <v>1</v>
      </c>
      <c r="N534" s="0" t="str">
        <f aca="false">IF(AND(MONTH(D534)&gt;=3,MONTH(D534)&lt;=6),"Summer",IF(AND(MONTH(D534)&gt;=7,MONTH(D534)&lt;=9),"Monsoon","Winter"))</f>
        <v>Winter</v>
      </c>
      <c r="O534" s="0" t="str">
        <f aca="false">IF(AND(L534&gt;=22,L534&lt;=25,E534&gt;=TIME(18,0,0)),"24H Night", IF(AND(L534&gt;=22,L534&lt;=25,E534&lt;TIME(18,0,0)),"24H Day", IF(AND(L534&gt;=11,L534&lt;=13,E534&gt;=TIME(18,0,0)),"12H Night", IF(AND(L534&gt;=11,L534&lt;=13,E534&lt;TIME(18,0,0)),"12H Day", IF(AND(L534&lt;10,E534&gt;=TIME(18,0,0)),"Couple Night", "Couple Day")))))</f>
        <v>12H Night</v>
      </c>
      <c r="P534" s="0" t="n">
        <f aca="false">WEEKDAY(D534,2)</f>
        <v>6</v>
      </c>
      <c r="Q534" s="0" t="n">
        <f aca="false">MONTH(D534)</f>
        <v>10</v>
      </c>
      <c r="R534" s="0" t="str">
        <f aca="false">"Q"&amp;ROUNDUP(MONTH(D534)/3,0)</f>
        <v>Q4</v>
      </c>
    </row>
    <row r="535" customFormat="false" ht="13.8" hidden="false" customHeight="false" outlineLevel="0" collapsed="false">
      <c r="A535" s="7" t="s">
        <v>1525</v>
      </c>
      <c r="B535" s="7" t="s">
        <v>394</v>
      </c>
      <c r="C535" s="7" t="s">
        <v>1526</v>
      </c>
      <c r="D535" s="11" t="n">
        <v>45942</v>
      </c>
      <c r="E535" s="12" t="n">
        <v>0.375</v>
      </c>
      <c r="F535" s="11" t="n">
        <v>45942</v>
      </c>
      <c r="G535" s="12" t="n">
        <v>0.75</v>
      </c>
      <c r="H535" s="10" t="n">
        <v>45942.4079240741</v>
      </c>
      <c r="I535" s="7" t="n">
        <v>2200</v>
      </c>
      <c r="J535" s="0" t="n">
        <f aca="false">IF(AND(D535&gt;=DATE(YEAR(D535),3,15),D535&lt;=DATE(YEAR(D535),6,10)),1,0)</f>
        <v>0</v>
      </c>
      <c r="K535" s="0" t="e">
        <f aca="false">VLOOKUP(D535,Festival_List!$A$2:$B$100,2,0)</f>
        <v>#N/A</v>
      </c>
      <c r="L535" s="0" t="n">
        <f aca="false">ROUND(((F535+G535)-(D535+E535))*24,0)</f>
        <v>9</v>
      </c>
      <c r="M535" s="0" t="n">
        <f aca="false">IF(OR(WEEKDAY(D535)=1,WEEKDAY(D535)=7),1,0)</f>
        <v>1</v>
      </c>
      <c r="N535" s="0" t="str">
        <f aca="false">IF(AND(MONTH(D535)&gt;=3,MONTH(D535)&lt;=6),"Summer",IF(AND(MONTH(D535)&gt;=7,MONTH(D535)&lt;=9),"Monsoon","Winter"))</f>
        <v>Winter</v>
      </c>
      <c r="O535" s="0" t="str">
        <f aca="false">IF(AND(L535&gt;=22,L535&lt;=25,E535&gt;=TIME(18,0,0)),"24H Night", IF(AND(L535&gt;=22,L535&lt;=25,E535&lt;TIME(18,0,0)),"24H Day", IF(AND(L535&gt;=11,L535&lt;=13,E535&gt;=TIME(18,0,0)),"12H Night", IF(AND(L535&gt;=11,L535&lt;=13,E535&lt;TIME(18,0,0)),"12H Day", IF(AND(L535&lt;10,E535&gt;=TIME(18,0,0)),"Couple Night", "Couple Day")))))</f>
        <v>Couple Day</v>
      </c>
      <c r="P535" s="0" t="n">
        <f aca="false">WEEKDAY(D535,2)</f>
        <v>7</v>
      </c>
      <c r="Q535" s="0" t="n">
        <f aca="false">MONTH(D535)</f>
        <v>10</v>
      </c>
      <c r="R535" s="0" t="str">
        <f aca="false">"Q"&amp;ROUNDUP(MONTH(D535)/3,0)</f>
        <v>Q4</v>
      </c>
    </row>
    <row r="536" customFormat="false" ht="141" hidden="false" customHeight="false" outlineLevel="0" collapsed="false">
      <c r="A536" s="7" t="s">
        <v>1527</v>
      </c>
      <c r="B536" s="7" t="s">
        <v>1528</v>
      </c>
      <c r="C536" s="13" t="s">
        <v>1529</v>
      </c>
      <c r="D536" s="11" t="n">
        <v>45943</v>
      </c>
      <c r="E536" s="12" t="n">
        <v>0.375</v>
      </c>
      <c r="F536" s="11" t="n">
        <v>45943</v>
      </c>
      <c r="G536" s="12" t="n">
        <v>0.75</v>
      </c>
      <c r="H536" s="10" t="n">
        <v>45942.8027842593</v>
      </c>
      <c r="I536" s="7" t="n">
        <v>2000</v>
      </c>
      <c r="J536" s="0" t="n">
        <f aca="false">IF(AND(D536&gt;=DATE(YEAR(D536),3,15),D536&lt;=DATE(YEAR(D536),6,10)),1,0)</f>
        <v>0</v>
      </c>
      <c r="K536" s="0" t="e">
        <f aca="false">VLOOKUP(D536,Festival_List!$A$2:$B$100,2,0)</f>
        <v>#N/A</v>
      </c>
      <c r="L536" s="0" t="n">
        <f aca="false">ROUND(((F536+G536)-(D536+E536))*24,0)</f>
        <v>9</v>
      </c>
      <c r="M536" s="0" t="n">
        <f aca="false">IF(OR(WEEKDAY(D536)=1,WEEKDAY(D536)=7),1,0)</f>
        <v>0</v>
      </c>
      <c r="N536" s="0" t="str">
        <f aca="false">IF(AND(MONTH(D536)&gt;=3,MONTH(D536)&lt;=6),"Summer",IF(AND(MONTH(D536)&gt;=7,MONTH(D536)&lt;=9),"Monsoon","Winter"))</f>
        <v>Winter</v>
      </c>
      <c r="O536" s="0" t="str">
        <f aca="false">IF(AND(L536&gt;=22,L536&lt;=25,E536&gt;=TIME(18,0,0)),"24H Night", IF(AND(L536&gt;=22,L536&lt;=25,E536&lt;TIME(18,0,0)),"24H Day", IF(AND(L536&gt;=11,L536&lt;=13,E536&gt;=TIME(18,0,0)),"12H Night", IF(AND(L536&gt;=11,L536&lt;=13,E536&lt;TIME(18,0,0)),"12H Day", IF(AND(L536&lt;10,E536&gt;=TIME(18,0,0)),"Couple Night", "Couple Day")))))</f>
        <v>Couple Day</v>
      </c>
      <c r="P536" s="0" t="n">
        <f aca="false">WEEKDAY(D536,2)</f>
        <v>1</v>
      </c>
      <c r="Q536" s="0" t="n">
        <f aca="false">MONTH(D536)</f>
        <v>10</v>
      </c>
      <c r="R536" s="0" t="str">
        <f aca="false">"Q"&amp;ROUNDUP(MONTH(D536)/3,0)</f>
        <v>Q4</v>
      </c>
    </row>
    <row r="537" customFormat="false" ht="102.95" hidden="false" customHeight="false" outlineLevel="0" collapsed="false">
      <c r="A537" s="7" t="s">
        <v>1530</v>
      </c>
      <c r="B537" s="7" t="s">
        <v>1531</v>
      </c>
      <c r="C537" s="13" t="s">
        <v>1532</v>
      </c>
      <c r="D537" s="11" t="n">
        <v>45944</v>
      </c>
      <c r="E537" s="12" t="n">
        <v>0.375</v>
      </c>
      <c r="F537" s="11" t="n">
        <v>45944</v>
      </c>
      <c r="G537" s="12" t="n">
        <v>0.75</v>
      </c>
      <c r="H537" s="10" t="n">
        <v>45943.965453125</v>
      </c>
      <c r="I537" s="7" t="n">
        <v>1500</v>
      </c>
      <c r="J537" s="0" t="n">
        <f aca="false">IF(AND(D537&gt;=DATE(YEAR(D537),3,15),D537&lt;=DATE(YEAR(D537),6,10)),1,0)</f>
        <v>0</v>
      </c>
      <c r="K537" s="0" t="e">
        <f aca="false">VLOOKUP(D537,Festival_List!$A$2:$B$100,2,0)</f>
        <v>#N/A</v>
      </c>
      <c r="L537" s="0" t="n">
        <f aca="false">ROUND(((F537+G537)-(D537+E537))*24,0)</f>
        <v>9</v>
      </c>
      <c r="M537" s="0" t="n">
        <f aca="false">IF(OR(WEEKDAY(D537)=1,WEEKDAY(D537)=7),1,0)</f>
        <v>0</v>
      </c>
      <c r="N537" s="0" t="str">
        <f aca="false">IF(AND(MONTH(D537)&gt;=3,MONTH(D537)&lt;=6),"Summer",IF(AND(MONTH(D537)&gt;=7,MONTH(D537)&lt;=9),"Monsoon","Winter"))</f>
        <v>Winter</v>
      </c>
      <c r="O537" s="0" t="str">
        <f aca="false">IF(AND(L537&gt;=22,L537&lt;=25,E537&gt;=TIME(18,0,0)),"24H Night", IF(AND(L537&gt;=22,L537&lt;=25,E537&lt;TIME(18,0,0)),"24H Day", IF(AND(L537&gt;=11,L537&lt;=13,E537&gt;=TIME(18,0,0)),"12H Night", IF(AND(L537&gt;=11,L537&lt;=13,E537&lt;TIME(18,0,0)),"12H Day", IF(AND(L537&lt;10,E537&gt;=TIME(18,0,0)),"Couple Night", "Couple Day")))))</f>
        <v>Couple Day</v>
      </c>
      <c r="P537" s="0" t="n">
        <f aca="false">WEEKDAY(D537,2)</f>
        <v>2</v>
      </c>
      <c r="Q537" s="0" t="n">
        <f aca="false">MONTH(D537)</f>
        <v>10</v>
      </c>
      <c r="R537" s="0" t="str">
        <f aca="false">"Q"&amp;ROUNDUP(MONTH(D537)/3,0)</f>
        <v>Q4</v>
      </c>
    </row>
    <row r="538" customFormat="false" ht="115.65" hidden="false" customHeight="false" outlineLevel="0" collapsed="false">
      <c r="A538" s="7" t="s">
        <v>1533</v>
      </c>
      <c r="B538" s="7" t="s">
        <v>1325</v>
      </c>
      <c r="C538" s="13" t="s">
        <v>1534</v>
      </c>
      <c r="D538" s="11" t="n">
        <v>45945</v>
      </c>
      <c r="E538" s="12" t="n">
        <v>0.375</v>
      </c>
      <c r="F538" s="11" t="n">
        <v>45945</v>
      </c>
      <c r="G538" s="12" t="n">
        <v>0.75</v>
      </c>
      <c r="H538" s="10" t="n">
        <v>45944.5933326389</v>
      </c>
      <c r="I538" s="7" t="n">
        <v>2300</v>
      </c>
      <c r="J538" s="0" t="n">
        <f aca="false">IF(AND(D538&gt;=DATE(YEAR(D538),3,15),D538&lt;=DATE(YEAR(D538),6,10)),1,0)</f>
        <v>0</v>
      </c>
      <c r="K538" s="0" t="e">
        <f aca="false">VLOOKUP(D538,Festival_List!$A$2:$B$100,2,0)</f>
        <v>#N/A</v>
      </c>
      <c r="L538" s="0" t="n">
        <f aca="false">ROUND(((F538+G538)-(D538+E538))*24,0)</f>
        <v>9</v>
      </c>
      <c r="M538" s="0" t="n">
        <f aca="false">IF(OR(WEEKDAY(D538)=1,WEEKDAY(D538)=7),1,0)</f>
        <v>0</v>
      </c>
      <c r="N538" s="0" t="str">
        <f aca="false">IF(AND(MONTH(D538)&gt;=3,MONTH(D538)&lt;=6),"Summer",IF(AND(MONTH(D538)&gt;=7,MONTH(D538)&lt;=9),"Monsoon","Winter"))</f>
        <v>Winter</v>
      </c>
      <c r="O538" s="0" t="str">
        <f aca="false">IF(AND(L538&gt;=22,L538&lt;=25,E538&gt;=TIME(18,0,0)),"24H Night", IF(AND(L538&gt;=22,L538&lt;=25,E538&lt;TIME(18,0,0)),"24H Day", IF(AND(L538&gt;=11,L538&lt;=13,E538&gt;=TIME(18,0,0)),"12H Night", IF(AND(L538&gt;=11,L538&lt;=13,E538&lt;TIME(18,0,0)),"12H Day", IF(AND(L538&lt;10,E538&gt;=TIME(18,0,0)),"Couple Night", "Couple Day")))))</f>
        <v>Couple Day</v>
      </c>
      <c r="P538" s="0" t="n">
        <f aca="false">WEEKDAY(D538,2)</f>
        <v>3</v>
      </c>
      <c r="Q538" s="0" t="n">
        <f aca="false">MONTH(D538)</f>
        <v>10</v>
      </c>
      <c r="R538" s="0" t="str">
        <f aca="false">"Q"&amp;ROUNDUP(MONTH(D538)/3,0)</f>
        <v>Q4</v>
      </c>
    </row>
    <row r="539" customFormat="false" ht="115.65" hidden="false" customHeight="false" outlineLevel="0" collapsed="false">
      <c r="A539" s="7" t="s">
        <v>1535</v>
      </c>
      <c r="B539" s="7" t="s">
        <v>1536</v>
      </c>
      <c r="C539" s="13" t="s">
        <v>1537</v>
      </c>
      <c r="D539" s="11" t="n">
        <v>45946</v>
      </c>
      <c r="E539" s="12" t="n">
        <v>0.375</v>
      </c>
      <c r="F539" s="11" t="n">
        <v>45946</v>
      </c>
      <c r="G539" s="12" t="n">
        <v>0.75</v>
      </c>
      <c r="H539" s="10" t="n">
        <v>45945.7297275463</v>
      </c>
      <c r="I539" s="7" t="n">
        <v>2000</v>
      </c>
      <c r="J539" s="0" t="n">
        <f aca="false">IF(AND(D539&gt;=DATE(YEAR(D539),3,15),D539&lt;=DATE(YEAR(D539),6,10)),1,0)</f>
        <v>0</v>
      </c>
      <c r="K539" s="0" t="e">
        <f aca="false">VLOOKUP(D539,Festival_List!$A$2:$B$100,2,0)</f>
        <v>#N/A</v>
      </c>
      <c r="L539" s="0" t="n">
        <f aca="false">ROUND(((F539+G539)-(D539+E539))*24,0)</f>
        <v>9</v>
      </c>
      <c r="M539" s="0" t="n">
        <f aca="false">IF(OR(WEEKDAY(D539)=1,WEEKDAY(D539)=7),1,0)</f>
        <v>0</v>
      </c>
      <c r="N539" s="0" t="str">
        <f aca="false">IF(AND(MONTH(D539)&gt;=3,MONTH(D539)&lt;=6),"Summer",IF(AND(MONTH(D539)&gt;=7,MONTH(D539)&lt;=9),"Monsoon","Winter"))</f>
        <v>Winter</v>
      </c>
      <c r="O539" s="0" t="str">
        <f aca="false">IF(AND(L539&gt;=22,L539&lt;=25,E539&gt;=TIME(18,0,0)),"24H Night", IF(AND(L539&gt;=22,L539&lt;=25,E539&lt;TIME(18,0,0)),"24H Day", IF(AND(L539&gt;=11,L539&lt;=13,E539&gt;=TIME(18,0,0)),"12H Night", IF(AND(L539&gt;=11,L539&lt;=13,E539&lt;TIME(18,0,0)),"12H Day", IF(AND(L539&lt;10,E539&gt;=TIME(18,0,0)),"Couple Night", "Couple Day")))))</f>
        <v>Couple Day</v>
      </c>
      <c r="P539" s="0" t="n">
        <f aca="false">WEEKDAY(D539,2)</f>
        <v>4</v>
      </c>
      <c r="Q539" s="0" t="n">
        <f aca="false">MONTH(D539)</f>
        <v>10</v>
      </c>
      <c r="R539" s="0" t="str">
        <f aca="false">"Q"&amp;ROUNDUP(MONTH(D539)/3,0)</f>
        <v>Q4</v>
      </c>
    </row>
    <row r="540" customFormat="false" ht="115.65" hidden="false" customHeight="false" outlineLevel="0" collapsed="false">
      <c r="A540" s="7" t="s">
        <v>1538</v>
      </c>
      <c r="B540" s="7" t="s">
        <v>1539</v>
      </c>
      <c r="C540" s="13" t="s">
        <v>1540</v>
      </c>
      <c r="D540" s="11" t="n">
        <v>45947</v>
      </c>
      <c r="E540" s="12" t="n">
        <v>0.375</v>
      </c>
      <c r="F540" s="11" t="n">
        <v>45947</v>
      </c>
      <c r="G540" s="12" t="n">
        <v>0.75</v>
      </c>
      <c r="H540" s="10" t="n">
        <v>45946.9227577546</v>
      </c>
      <c r="I540" s="7" t="n">
        <v>2600</v>
      </c>
      <c r="J540" s="0" t="n">
        <f aca="false">IF(AND(D540&gt;=DATE(YEAR(D540),3,15),D540&lt;=DATE(YEAR(D540),6,10)),1,0)</f>
        <v>0</v>
      </c>
      <c r="K540" s="0" t="e">
        <f aca="false">VLOOKUP(D540,Festival_List!$A$2:$B$100,2,0)</f>
        <v>#N/A</v>
      </c>
      <c r="L540" s="0" t="n">
        <f aca="false">ROUND(((F540+G540)-(D540+E540))*24,0)</f>
        <v>9</v>
      </c>
      <c r="M540" s="0" t="n">
        <f aca="false">IF(OR(WEEKDAY(D540)=1,WEEKDAY(D540)=7),1,0)</f>
        <v>0</v>
      </c>
      <c r="N540" s="0" t="str">
        <f aca="false">IF(AND(MONTH(D540)&gt;=3,MONTH(D540)&lt;=6),"Summer",IF(AND(MONTH(D540)&gt;=7,MONTH(D540)&lt;=9),"Monsoon","Winter"))</f>
        <v>Winter</v>
      </c>
      <c r="O540" s="0" t="str">
        <f aca="false">IF(AND(L540&gt;=22,L540&lt;=25,E540&gt;=TIME(18,0,0)),"24H Night", IF(AND(L540&gt;=22,L540&lt;=25,E540&lt;TIME(18,0,0)),"24H Day", IF(AND(L540&gt;=11,L540&lt;=13,E540&gt;=TIME(18,0,0)),"12H Night", IF(AND(L540&gt;=11,L540&lt;=13,E540&lt;TIME(18,0,0)),"12H Day", IF(AND(L540&lt;10,E540&gt;=TIME(18,0,0)),"Couple Night", "Couple Day")))))</f>
        <v>Couple Day</v>
      </c>
      <c r="P540" s="0" t="n">
        <f aca="false">WEEKDAY(D540,2)</f>
        <v>5</v>
      </c>
      <c r="Q540" s="0" t="n">
        <f aca="false">MONTH(D540)</f>
        <v>10</v>
      </c>
      <c r="R540" s="0" t="str">
        <f aca="false">"Q"&amp;ROUNDUP(MONTH(D540)/3,0)</f>
        <v>Q4</v>
      </c>
    </row>
    <row r="541" customFormat="false" ht="90.25" hidden="false" customHeight="false" outlineLevel="0" collapsed="false">
      <c r="A541" s="7" t="s">
        <v>1541</v>
      </c>
      <c r="B541" s="7" t="s">
        <v>697</v>
      </c>
      <c r="C541" s="13" t="s">
        <v>1542</v>
      </c>
      <c r="D541" s="11" t="n">
        <v>45947</v>
      </c>
      <c r="E541" s="12" t="n">
        <v>0.791666666700625</v>
      </c>
      <c r="F541" s="11" t="n">
        <v>45948</v>
      </c>
      <c r="G541" s="12" t="n">
        <v>0.333333333299375</v>
      </c>
      <c r="H541" s="10" t="n">
        <v>45947.8285171296</v>
      </c>
      <c r="I541" s="7" t="n">
        <v>2500</v>
      </c>
      <c r="J541" s="0" t="n">
        <f aca="false">IF(AND(D541&gt;=DATE(YEAR(D541),3,15),D541&lt;=DATE(YEAR(D541),6,10)),1,0)</f>
        <v>0</v>
      </c>
      <c r="K541" s="0" t="e">
        <f aca="false">VLOOKUP(D541,Festival_List!$A$2:$B$100,2,0)</f>
        <v>#N/A</v>
      </c>
      <c r="L541" s="0" t="n">
        <f aca="false">ROUND(((F541+G541)-(D541+E541))*24,0)</f>
        <v>13</v>
      </c>
      <c r="M541" s="0" t="n">
        <f aca="false">IF(OR(WEEKDAY(D541)=1,WEEKDAY(D541)=7),1,0)</f>
        <v>0</v>
      </c>
      <c r="N541" s="0" t="str">
        <f aca="false">IF(AND(MONTH(D541)&gt;=3,MONTH(D541)&lt;=6),"Summer",IF(AND(MONTH(D541)&gt;=7,MONTH(D541)&lt;=9),"Monsoon","Winter"))</f>
        <v>Winter</v>
      </c>
      <c r="O541" s="0" t="str">
        <f aca="false">IF(AND(L541&gt;=22,L541&lt;=25,E541&gt;=TIME(18,0,0)),"24H Night", IF(AND(L541&gt;=22,L541&lt;=25,E541&lt;TIME(18,0,0)),"24H Day", IF(AND(L541&gt;=11,L541&lt;=13,E541&gt;=TIME(18,0,0)),"12H Night", IF(AND(L541&gt;=11,L541&lt;=13,E541&lt;TIME(18,0,0)),"12H Day", IF(AND(L541&lt;10,E541&gt;=TIME(18,0,0)),"Couple Night", "Couple Day")))))</f>
        <v>12H Night</v>
      </c>
      <c r="P541" s="0" t="n">
        <f aca="false">WEEKDAY(D541,2)</f>
        <v>5</v>
      </c>
      <c r="Q541" s="0" t="n">
        <f aca="false">MONTH(D541)</f>
        <v>10</v>
      </c>
      <c r="R541" s="0" t="str">
        <f aca="false">"Q"&amp;ROUNDUP(MONTH(D541)/3,0)</f>
        <v>Q4</v>
      </c>
    </row>
    <row r="542" customFormat="false" ht="115.65" hidden="false" customHeight="false" outlineLevel="0" collapsed="false">
      <c r="A542" s="7" t="s">
        <v>1543</v>
      </c>
      <c r="B542" s="7" t="s">
        <v>1544</v>
      </c>
      <c r="C542" s="13" t="s">
        <v>1545</v>
      </c>
      <c r="D542" s="11" t="n">
        <v>45948</v>
      </c>
      <c r="E542" s="12" t="n">
        <v>0.375</v>
      </c>
      <c r="F542" s="11" t="n">
        <v>45948</v>
      </c>
      <c r="G542" s="12" t="n">
        <v>0.75</v>
      </c>
      <c r="H542" s="10" t="n">
        <v>45947.9608236111</v>
      </c>
      <c r="I542" s="7" t="n">
        <v>1500</v>
      </c>
      <c r="J542" s="0" t="n">
        <f aca="false">IF(AND(D542&gt;=DATE(YEAR(D542),3,15),D542&lt;=DATE(YEAR(D542),6,10)),1,0)</f>
        <v>0</v>
      </c>
      <c r="K542" s="0" t="e">
        <f aca="false">VLOOKUP(D542,Festival_List!$A$2:$B$100,2,0)</f>
        <v>#N/A</v>
      </c>
      <c r="L542" s="0" t="n">
        <f aca="false">ROUND(((F542+G542)-(D542+E542))*24,0)</f>
        <v>9</v>
      </c>
      <c r="M542" s="0" t="n">
        <f aca="false">IF(OR(WEEKDAY(D542)=1,WEEKDAY(D542)=7),1,0)</f>
        <v>1</v>
      </c>
      <c r="N542" s="0" t="str">
        <f aca="false">IF(AND(MONTH(D542)&gt;=3,MONTH(D542)&lt;=6),"Summer",IF(AND(MONTH(D542)&gt;=7,MONTH(D542)&lt;=9),"Monsoon","Winter"))</f>
        <v>Winter</v>
      </c>
      <c r="O542" s="0" t="str">
        <f aca="false">IF(AND(L542&gt;=22,L542&lt;=25,E542&gt;=TIME(18,0,0)),"24H Night", IF(AND(L542&gt;=22,L542&lt;=25,E542&lt;TIME(18,0,0)),"24H Day", IF(AND(L542&gt;=11,L542&lt;=13,E542&gt;=TIME(18,0,0)),"12H Night", IF(AND(L542&gt;=11,L542&lt;=13,E542&lt;TIME(18,0,0)),"12H Day", IF(AND(L542&lt;10,E542&gt;=TIME(18,0,0)),"Couple Night", "Couple Day")))))</f>
        <v>Couple Day</v>
      </c>
      <c r="P542" s="0" t="n">
        <f aca="false">WEEKDAY(D542,2)</f>
        <v>6</v>
      </c>
      <c r="Q542" s="0" t="n">
        <f aca="false">MONTH(D542)</f>
        <v>10</v>
      </c>
      <c r="R542" s="0" t="str">
        <f aca="false">"Q"&amp;ROUNDUP(MONTH(D542)/3,0)</f>
        <v>Q4</v>
      </c>
    </row>
    <row r="543" customFormat="false" ht="115.65" hidden="false" customHeight="false" outlineLevel="0" collapsed="false">
      <c r="A543" s="7" t="s">
        <v>1546</v>
      </c>
      <c r="B543" s="7" t="s">
        <v>1547</v>
      </c>
      <c r="C543" s="13" t="s">
        <v>1548</v>
      </c>
      <c r="D543" s="11" t="n">
        <v>45949</v>
      </c>
      <c r="E543" s="12" t="n">
        <v>0.333333333299375</v>
      </c>
      <c r="F543" s="11" t="n">
        <v>45949</v>
      </c>
      <c r="G543" s="12" t="n">
        <v>0.75</v>
      </c>
      <c r="H543" s="10" t="n">
        <v>45948.9057336806</v>
      </c>
      <c r="I543" s="7" t="n">
        <v>3700</v>
      </c>
      <c r="J543" s="0" t="n">
        <f aca="false">IF(AND(D543&gt;=DATE(YEAR(D543),3,15),D543&lt;=DATE(YEAR(D543),6,10)),1,0)</f>
        <v>0</v>
      </c>
      <c r="K543" s="0" t="e">
        <f aca="false">VLOOKUP(D543,Festival_List!$A$2:$B$100,2,0)</f>
        <v>#N/A</v>
      </c>
      <c r="L543" s="0" t="n">
        <f aca="false">ROUND(((F543+G543)-(D543+E543))*24,0)</f>
        <v>10</v>
      </c>
      <c r="M543" s="0" t="n">
        <f aca="false">IF(OR(WEEKDAY(D543)=1,WEEKDAY(D543)=7),1,0)</f>
        <v>1</v>
      </c>
      <c r="N543" s="0" t="str">
        <f aca="false">IF(AND(MONTH(D543)&gt;=3,MONTH(D543)&lt;=6),"Summer",IF(AND(MONTH(D543)&gt;=7,MONTH(D543)&lt;=9),"Monsoon","Winter"))</f>
        <v>Winter</v>
      </c>
      <c r="O543" s="0" t="str">
        <f aca="false">IF(AND(L543&gt;=22,L543&lt;=25,E543&gt;=TIME(18,0,0)),"24H Night", IF(AND(L543&gt;=22,L543&lt;=25,E543&lt;TIME(18,0,0)),"24H Day", IF(AND(L543&gt;=11,L543&lt;=13,E543&gt;=TIME(18,0,0)),"12H Night", IF(AND(L543&gt;=11,L543&lt;=13,E543&lt;TIME(18,0,0)),"12H Day", IF(AND(L543&lt;10,E543&gt;=TIME(18,0,0)),"Couple Night", "Couple Day")))))</f>
        <v>Couple Day</v>
      </c>
      <c r="P543" s="0" t="n">
        <f aca="false">WEEKDAY(D543,2)</f>
        <v>7</v>
      </c>
      <c r="Q543" s="0" t="n">
        <f aca="false">MONTH(D543)</f>
        <v>10</v>
      </c>
      <c r="R543" s="0" t="str">
        <f aca="false">"Q"&amp;ROUNDUP(MONTH(D543)/3,0)</f>
        <v>Q4</v>
      </c>
    </row>
    <row r="544" customFormat="false" ht="115.65" hidden="false" customHeight="false" outlineLevel="0" collapsed="false">
      <c r="A544" s="7" t="s">
        <v>1549</v>
      </c>
      <c r="B544" s="7" t="s">
        <v>1550</v>
      </c>
      <c r="C544" s="13" t="s">
        <v>1551</v>
      </c>
      <c r="D544" s="11" t="n">
        <v>45951</v>
      </c>
      <c r="E544" s="12" t="n">
        <v>0.458333333299375</v>
      </c>
      <c r="F544" s="11" t="n">
        <v>45951</v>
      </c>
      <c r="G544" s="12" t="n">
        <v>0.833333333299375</v>
      </c>
      <c r="H544" s="10" t="n">
        <v>45950.5582655093</v>
      </c>
      <c r="I544" s="7" t="n">
        <v>4000</v>
      </c>
      <c r="J544" s="0" t="n">
        <f aca="false">IF(AND(D544&gt;=DATE(YEAR(D544),3,15),D544&lt;=DATE(YEAR(D544),6,10)),1,0)</f>
        <v>0</v>
      </c>
      <c r="K544" s="0" t="str">
        <f aca="false">VLOOKUP(D544,Festival_List!$A$2:$B$100,2,0)</f>
        <v>Bestu Varas</v>
      </c>
      <c r="L544" s="0" t="n">
        <f aca="false">ROUND(((F544+G544)-(D544+E544))*24,0)</f>
        <v>9</v>
      </c>
      <c r="M544" s="0" t="n">
        <f aca="false">IF(OR(WEEKDAY(D544)=1,WEEKDAY(D544)=7),1,0)</f>
        <v>0</v>
      </c>
      <c r="N544" s="0" t="str">
        <f aca="false">IF(AND(MONTH(D544)&gt;=3,MONTH(D544)&lt;=6),"Summer",IF(AND(MONTH(D544)&gt;=7,MONTH(D544)&lt;=9),"Monsoon","Winter"))</f>
        <v>Winter</v>
      </c>
      <c r="O544" s="0" t="str">
        <f aca="false">IF(AND(L544&gt;=22,L544&lt;=25,E544&gt;=TIME(18,0,0)),"24H Night", IF(AND(L544&gt;=22,L544&lt;=25,E544&lt;TIME(18,0,0)),"24H Day", IF(AND(L544&gt;=11,L544&lt;=13,E544&gt;=TIME(18,0,0)),"12H Night", IF(AND(L544&gt;=11,L544&lt;=13,E544&lt;TIME(18,0,0)),"12H Day", IF(AND(L544&lt;10,E544&gt;=TIME(18,0,0)),"Couple Night", "Couple Day")))))</f>
        <v>Couple Day</v>
      </c>
      <c r="P544" s="0" t="n">
        <f aca="false">WEEKDAY(D544,2)</f>
        <v>2</v>
      </c>
      <c r="Q544" s="0" t="n">
        <f aca="false">MONTH(D544)</f>
        <v>10</v>
      </c>
      <c r="R544" s="0" t="str">
        <f aca="false">"Q"&amp;ROUNDUP(MONTH(D544)/3,0)</f>
        <v>Q4</v>
      </c>
    </row>
    <row r="545" customFormat="false" ht="26.85" hidden="false" customHeight="false" outlineLevel="0" collapsed="false">
      <c r="A545" s="7" t="s">
        <v>1552</v>
      </c>
      <c r="B545" s="7" t="s">
        <v>1553</v>
      </c>
      <c r="C545" s="13" t="s">
        <v>1554</v>
      </c>
      <c r="D545" s="11" t="n">
        <v>45952</v>
      </c>
      <c r="E545" s="12" t="n">
        <v>0.333333333299375</v>
      </c>
      <c r="F545" s="11" t="n">
        <v>45952</v>
      </c>
      <c r="G545" s="12" t="n">
        <v>0.75</v>
      </c>
      <c r="H545" s="10" t="n">
        <v>45952.0253518519</v>
      </c>
      <c r="I545" s="7" t="n">
        <v>1000</v>
      </c>
      <c r="J545" s="0" t="n">
        <f aca="false">IF(AND(D545&gt;=DATE(YEAR(D545),3,15),D545&lt;=DATE(YEAR(D545),6,10)),1,0)</f>
        <v>0</v>
      </c>
      <c r="K545" s="0" t="e">
        <f aca="false">VLOOKUP(D545,Festival_List!$A$2:$B$100,2,0)</f>
        <v>#N/A</v>
      </c>
      <c r="L545" s="0" t="n">
        <f aca="false">ROUND(((F545+G545)-(D545+E545))*24,0)</f>
        <v>10</v>
      </c>
      <c r="M545" s="0" t="n">
        <f aca="false">IF(OR(WEEKDAY(D545)=1,WEEKDAY(D545)=7),1,0)</f>
        <v>0</v>
      </c>
      <c r="N545" s="0" t="str">
        <f aca="false">IF(AND(MONTH(D545)&gt;=3,MONTH(D545)&lt;=6),"Summer",IF(AND(MONTH(D545)&gt;=7,MONTH(D545)&lt;=9),"Monsoon","Winter"))</f>
        <v>Winter</v>
      </c>
      <c r="O545" s="0" t="str">
        <f aca="false">IF(AND(L545&gt;=22,L545&lt;=25,E545&gt;=TIME(18,0,0)),"24H Night", IF(AND(L545&gt;=22,L545&lt;=25,E545&lt;TIME(18,0,0)),"24H Day", IF(AND(L545&gt;=11,L545&lt;=13,E545&gt;=TIME(18,0,0)),"12H Night", IF(AND(L545&gt;=11,L545&lt;=13,E545&lt;TIME(18,0,0)),"12H Day", IF(AND(L545&lt;10,E545&gt;=TIME(18,0,0)),"Couple Night", "Couple Day")))))</f>
        <v>Couple Day</v>
      </c>
      <c r="P545" s="0" t="n">
        <f aca="false">WEEKDAY(D545,2)</f>
        <v>3</v>
      </c>
      <c r="Q545" s="0" t="n">
        <f aca="false">MONTH(D545)</f>
        <v>10</v>
      </c>
      <c r="R545" s="0" t="str">
        <f aca="false">"Q"&amp;ROUNDUP(MONTH(D545)/3,0)</f>
        <v>Q4</v>
      </c>
    </row>
    <row r="546" customFormat="false" ht="153.7" hidden="false" customHeight="false" outlineLevel="0" collapsed="false">
      <c r="A546" s="7" t="s">
        <v>1555</v>
      </c>
      <c r="B546" s="7" t="s">
        <v>1556</v>
      </c>
      <c r="C546" s="13" t="s">
        <v>1557</v>
      </c>
      <c r="D546" s="11" t="n">
        <v>45952</v>
      </c>
      <c r="E546" s="12" t="n">
        <v>0.791666666700625</v>
      </c>
      <c r="F546" s="11" t="n">
        <v>45953</v>
      </c>
      <c r="G546" s="12" t="n">
        <v>0.75</v>
      </c>
      <c r="H546" s="10" t="n">
        <v>45951.6724990741</v>
      </c>
      <c r="I546" s="7" t="n">
        <v>6000</v>
      </c>
      <c r="J546" s="0" t="n">
        <f aca="false">IF(AND(D546&gt;=DATE(YEAR(D546),3,15),D546&lt;=DATE(YEAR(D546),6,10)),1,0)</f>
        <v>0</v>
      </c>
      <c r="K546" s="0" t="e">
        <f aca="false">VLOOKUP(D546,Festival_List!$A$2:$B$100,2,0)</f>
        <v>#N/A</v>
      </c>
      <c r="L546" s="0" t="n">
        <f aca="false">ROUND(((F546+G546)-(D546+E546))*24,0)</f>
        <v>23</v>
      </c>
      <c r="M546" s="0" t="n">
        <f aca="false">IF(OR(WEEKDAY(D546)=1,WEEKDAY(D546)=7),1,0)</f>
        <v>0</v>
      </c>
      <c r="N546" s="0" t="str">
        <f aca="false">IF(AND(MONTH(D546)&gt;=3,MONTH(D546)&lt;=6),"Summer",IF(AND(MONTH(D546)&gt;=7,MONTH(D546)&lt;=9),"Monsoon","Winter"))</f>
        <v>Winter</v>
      </c>
      <c r="O546" s="0" t="str">
        <f aca="false">IF(AND(L546&gt;=22,L546&lt;=25,E546&gt;=TIME(18,0,0)),"24H Night", IF(AND(L546&gt;=22,L546&lt;=25,E546&lt;TIME(18,0,0)),"24H Day", IF(AND(L546&gt;=11,L546&lt;=13,E546&gt;=TIME(18,0,0)),"12H Night", IF(AND(L546&gt;=11,L546&lt;=13,E546&lt;TIME(18,0,0)),"12H Day", IF(AND(L546&lt;10,E546&gt;=TIME(18,0,0)),"Couple Night", "Couple Day")))))</f>
        <v>24H Night</v>
      </c>
      <c r="P546" s="0" t="n">
        <f aca="false">WEEKDAY(D546,2)</f>
        <v>3</v>
      </c>
      <c r="Q546" s="0" t="n">
        <f aca="false">MONTH(D546)</f>
        <v>10</v>
      </c>
      <c r="R546" s="0" t="str">
        <f aca="false">"Q"&amp;ROUNDUP(MONTH(D546)/3,0)</f>
        <v>Q4</v>
      </c>
    </row>
    <row r="547" customFormat="false" ht="141" hidden="false" customHeight="false" outlineLevel="0" collapsed="false">
      <c r="A547" s="7" t="s">
        <v>1558</v>
      </c>
      <c r="B547" s="7" t="s">
        <v>582</v>
      </c>
      <c r="C547" s="13" t="s">
        <v>1559</v>
      </c>
      <c r="D547" s="11" t="n">
        <v>45953</v>
      </c>
      <c r="E547" s="12" t="n">
        <v>0.791666666700625</v>
      </c>
      <c r="F547" s="11" t="n">
        <v>45954</v>
      </c>
      <c r="G547" s="12" t="n">
        <v>0.333333333299375</v>
      </c>
      <c r="H547" s="10" t="n">
        <v>45952.9840275463</v>
      </c>
      <c r="I547" s="7" t="n">
        <v>3000</v>
      </c>
      <c r="J547" s="0" t="n">
        <f aca="false">IF(AND(D547&gt;=DATE(YEAR(D547),3,15),D547&lt;=DATE(YEAR(D547),6,10)),1,0)</f>
        <v>0</v>
      </c>
      <c r="K547" s="0" t="e">
        <f aca="false">VLOOKUP(D547,Festival_List!$A$2:$B$100,2,0)</f>
        <v>#N/A</v>
      </c>
      <c r="L547" s="0" t="n">
        <f aca="false">ROUND(((F547+G547)-(D547+E547))*24,0)</f>
        <v>13</v>
      </c>
      <c r="M547" s="0" t="n">
        <f aca="false">IF(OR(WEEKDAY(D547)=1,WEEKDAY(D547)=7),1,0)</f>
        <v>0</v>
      </c>
      <c r="N547" s="0" t="str">
        <f aca="false">IF(AND(MONTH(D547)&gt;=3,MONTH(D547)&lt;=6),"Summer",IF(AND(MONTH(D547)&gt;=7,MONTH(D547)&lt;=9),"Monsoon","Winter"))</f>
        <v>Winter</v>
      </c>
      <c r="O547" s="0" t="str">
        <f aca="false">IF(AND(L547&gt;=22,L547&lt;=25,E547&gt;=TIME(18,0,0)),"24H Night", IF(AND(L547&gt;=22,L547&lt;=25,E547&lt;TIME(18,0,0)),"24H Day", IF(AND(L547&gt;=11,L547&lt;=13,E547&gt;=TIME(18,0,0)),"12H Night", IF(AND(L547&gt;=11,L547&lt;=13,E547&lt;TIME(18,0,0)),"12H Day", IF(AND(L547&lt;10,E547&gt;=TIME(18,0,0)),"Couple Night", "Couple Day")))))</f>
        <v>12H Night</v>
      </c>
      <c r="P547" s="0" t="n">
        <f aca="false">WEEKDAY(D547,2)</f>
        <v>4</v>
      </c>
      <c r="Q547" s="0" t="n">
        <f aca="false">MONTH(D547)</f>
        <v>10</v>
      </c>
      <c r="R547" s="0" t="str">
        <f aca="false">"Q"&amp;ROUNDUP(MONTH(D547)/3,0)</f>
        <v>Q4</v>
      </c>
    </row>
    <row r="548" customFormat="false" ht="115.65" hidden="false" customHeight="false" outlineLevel="0" collapsed="false">
      <c r="A548" s="7" t="s">
        <v>1560</v>
      </c>
      <c r="B548" s="7" t="s">
        <v>1561</v>
      </c>
      <c r="C548" s="13" t="s">
        <v>1562</v>
      </c>
      <c r="D548" s="11" t="n">
        <v>45954</v>
      </c>
      <c r="E548" s="12" t="n">
        <v>0.375</v>
      </c>
      <c r="F548" s="11" t="n">
        <v>45954</v>
      </c>
      <c r="G548" s="12" t="n">
        <v>0.75</v>
      </c>
      <c r="H548" s="10" t="n">
        <v>45941.9024787037</v>
      </c>
      <c r="I548" s="7" t="n">
        <v>3500</v>
      </c>
      <c r="J548" s="0" t="n">
        <f aca="false">IF(AND(D548&gt;=DATE(YEAR(D548),3,15),D548&lt;=DATE(YEAR(D548),6,10)),1,0)</f>
        <v>0</v>
      </c>
      <c r="K548" s="0" t="e">
        <f aca="false">VLOOKUP(D548,Festival_List!$A$2:$B$100,2,0)</f>
        <v>#N/A</v>
      </c>
      <c r="L548" s="0" t="n">
        <f aca="false">ROUND(((F548+G548)-(D548+E548))*24,0)</f>
        <v>9</v>
      </c>
      <c r="M548" s="0" t="n">
        <f aca="false">IF(OR(WEEKDAY(D548)=1,WEEKDAY(D548)=7),1,0)</f>
        <v>0</v>
      </c>
      <c r="N548" s="0" t="str">
        <f aca="false">IF(AND(MONTH(D548)&gt;=3,MONTH(D548)&lt;=6),"Summer",IF(AND(MONTH(D548)&gt;=7,MONTH(D548)&lt;=9),"Monsoon","Winter"))</f>
        <v>Winter</v>
      </c>
      <c r="O548" s="0" t="str">
        <f aca="false">IF(AND(L548&gt;=22,L548&lt;=25,E548&gt;=TIME(18,0,0)),"24H Night", IF(AND(L548&gt;=22,L548&lt;=25,E548&lt;TIME(18,0,0)),"24H Day", IF(AND(L548&gt;=11,L548&lt;=13,E548&gt;=TIME(18,0,0)),"12H Night", IF(AND(L548&gt;=11,L548&lt;=13,E548&lt;TIME(18,0,0)),"12H Day", IF(AND(L548&lt;10,E548&gt;=TIME(18,0,0)),"Couple Night", "Couple Day")))))</f>
        <v>Couple Day</v>
      </c>
      <c r="P548" s="0" t="n">
        <f aca="false">WEEKDAY(D548,2)</f>
        <v>5</v>
      </c>
      <c r="Q548" s="0" t="n">
        <f aca="false">MONTH(D548)</f>
        <v>10</v>
      </c>
      <c r="R548" s="0" t="str">
        <f aca="false">"Q"&amp;ROUNDUP(MONTH(D548)/3,0)</f>
        <v>Q4</v>
      </c>
    </row>
    <row r="549" customFormat="false" ht="115.65" hidden="false" customHeight="false" outlineLevel="0" collapsed="false">
      <c r="A549" s="7" t="s">
        <v>1563</v>
      </c>
      <c r="B549" s="7" t="s">
        <v>1564</v>
      </c>
      <c r="C549" s="13" t="s">
        <v>1565</v>
      </c>
      <c r="D549" s="11" t="n">
        <v>45954</v>
      </c>
      <c r="E549" s="12" t="n">
        <v>0.791666666700625</v>
      </c>
      <c r="F549" s="11" t="n">
        <v>45956</v>
      </c>
      <c r="G549" s="12" t="n">
        <v>0.75</v>
      </c>
      <c r="H549" s="10" t="n">
        <v>45937.731724537</v>
      </c>
      <c r="I549" s="7" t="n">
        <v>10500</v>
      </c>
      <c r="J549" s="0" t="n">
        <f aca="false">IF(AND(D549&gt;=DATE(YEAR(D549),3,15),D549&lt;=DATE(YEAR(D549),6,10)),1,0)</f>
        <v>0</v>
      </c>
      <c r="K549" s="0" t="e">
        <f aca="false">VLOOKUP(D549,Festival_List!$A$2:$B$100,2,0)</f>
        <v>#N/A</v>
      </c>
      <c r="L549" s="0" t="n">
        <f aca="false">ROUND(((F549+G549)-(D549+E549))*24,0)</f>
        <v>47</v>
      </c>
      <c r="M549" s="0" t="n">
        <f aca="false">IF(OR(WEEKDAY(D549)=1,WEEKDAY(D549)=7),1,0)</f>
        <v>0</v>
      </c>
      <c r="N549" s="0" t="str">
        <f aca="false">IF(AND(MONTH(D549)&gt;=3,MONTH(D549)&lt;=6),"Summer",IF(AND(MONTH(D549)&gt;=7,MONTH(D549)&lt;=9),"Monsoon","Winter"))</f>
        <v>Winter</v>
      </c>
      <c r="O549" s="0" t="str">
        <f aca="false">IF(AND(L549&gt;=22,L549&lt;=25,E549&gt;=TIME(18,0,0)),"24H Night", IF(AND(L549&gt;=22,L549&lt;=25,E549&lt;TIME(18,0,0)),"24H Day", IF(AND(L549&gt;=11,L549&lt;=13,E549&gt;=TIME(18,0,0)),"12H Night", IF(AND(L549&gt;=11,L549&lt;=13,E549&lt;TIME(18,0,0)),"12H Day", IF(AND(L549&lt;10,E549&gt;=TIME(18,0,0)),"Couple Night", "Couple Day")))))</f>
        <v>Couple Day</v>
      </c>
      <c r="P549" s="0" t="n">
        <f aca="false">WEEKDAY(D549,2)</f>
        <v>5</v>
      </c>
      <c r="Q549" s="0" t="n">
        <f aca="false">MONTH(D549)</f>
        <v>10</v>
      </c>
      <c r="R549" s="0" t="str">
        <f aca="false">"Q"&amp;ROUNDUP(MONTH(D549)/3,0)</f>
        <v>Q4</v>
      </c>
    </row>
    <row r="550" customFormat="false" ht="141" hidden="false" customHeight="false" outlineLevel="0" collapsed="false">
      <c r="A550" s="7" t="s">
        <v>1566</v>
      </c>
      <c r="B550" s="7" t="s">
        <v>1567</v>
      </c>
      <c r="C550" s="13" t="s">
        <v>1568</v>
      </c>
      <c r="D550" s="11" t="n">
        <v>45956</v>
      </c>
      <c r="E550" s="12" t="n">
        <v>0.791666666700625</v>
      </c>
      <c r="F550" s="11" t="n">
        <v>45957</v>
      </c>
      <c r="G550" s="12" t="n">
        <v>0.333333333299375</v>
      </c>
      <c r="H550" s="10" t="n">
        <v>45956.6296363426</v>
      </c>
      <c r="I550" s="7" t="n">
        <v>3000</v>
      </c>
      <c r="J550" s="0" t="n">
        <f aca="false">IF(AND(D550&gt;=DATE(YEAR(D550),3,15),D550&lt;=DATE(YEAR(D550),6,10)),1,0)</f>
        <v>0</v>
      </c>
      <c r="K550" s="0" t="e">
        <f aca="false">VLOOKUP(D550,Festival_List!$A$2:$B$100,2,0)</f>
        <v>#N/A</v>
      </c>
      <c r="L550" s="0" t="n">
        <f aca="false">ROUND(((F550+G550)-(D550+E550))*24,0)</f>
        <v>13</v>
      </c>
      <c r="M550" s="0" t="n">
        <f aca="false">IF(OR(WEEKDAY(D550)=1,WEEKDAY(D550)=7),1,0)</f>
        <v>1</v>
      </c>
      <c r="N550" s="0" t="str">
        <f aca="false">IF(AND(MONTH(D550)&gt;=3,MONTH(D550)&lt;=6),"Summer",IF(AND(MONTH(D550)&gt;=7,MONTH(D550)&lt;=9),"Monsoon","Winter"))</f>
        <v>Winter</v>
      </c>
      <c r="O550" s="0" t="str">
        <f aca="false">IF(AND(L550&gt;=22,L550&lt;=25,E550&gt;=TIME(18,0,0)),"24H Night", IF(AND(L550&gt;=22,L550&lt;=25,E550&lt;TIME(18,0,0)),"24H Day", IF(AND(L550&gt;=11,L550&lt;=13,E550&gt;=TIME(18,0,0)),"12H Night", IF(AND(L550&gt;=11,L550&lt;=13,E550&lt;TIME(18,0,0)),"12H Day", IF(AND(L550&lt;10,E550&gt;=TIME(18,0,0)),"Couple Night", "Couple Day")))))</f>
        <v>12H Night</v>
      </c>
      <c r="P550" s="0" t="n">
        <f aca="false">WEEKDAY(D550,2)</f>
        <v>7</v>
      </c>
      <c r="Q550" s="0" t="n">
        <f aca="false">MONTH(D550)</f>
        <v>10</v>
      </c>
      <c r="R550" s="0" t="str">
        <f aca="false">"Q"&amp;ROUNDUP(MONTH(D550)/3,0)</f>
        <v>Q4</v>
      </c>
    </row>
    <row r="551" customFormat="false" ht="115.65" hidden="false" customHeight="false" outlineLevel="0" collapsed="false">
      <c r="A551" s="7" t="s">
        <v>1569</v>
      </c>
      <c r="B551" s="7" t="s">
        <v>1570</v>
      </c>
      <c r="C551" s="13" t="s">
        <v>1571</v>
      </c>
      <c r="D551" s="11" t="n">
        <v>45958</v>
      </c>
      <c r="E551" s="12" t="n">
        <v>0.375</v>
      </c>
      <c r="F551" s="11" t="n">
        <v>45958</v>
      </c>
      <c r="G551" s="12" t="n">
        <v>0.75</v>
      </c>
      <c r="H551" s="10" t="n">
        <v>45957.6728543982</v>
      </c>
      <c r="I551" s="7" t="n">
        <v>2000</v>
      </c>
      <c r="J551" s="0" t="n">
        <f aca="false">IF(AND(D551&gt;=DATE(YEAR(D551),3,15),D551&lt;=DATE(YEAR(D551),6,10)),1,0)</f>
        <v>0</v>
      </c>
      <c r="K551" s="0" t="e">
        <f aca="false">VLOOKUP(D551,Festival_List!$A$2:$B$100,2,0)</f>
        <v>#N/A</v>
      </c>
      <c r="L551" s="0" t="n">
        <f aca="false">ROUND(((F551+G551)-(D551+E551))*24,0)</f>
        <v>9</v>
      </c>
      <c r="M551" s="0" t="n">
        <f aca="false">IF(OR(WEEKDAY(D551)=1,WEEKDAY(D551)=7),1,0)</f>
        <v>0</v>
      </c>
      <c r="N551" s="0" t="str">
        <f aca="false">IF(AND(MONTH(D551)&gt;=3,MONTH(D551)&lt;=6),"Summer",IF(AND(MONTH(D551)&gt;=7,MONTH(D551)&lt;=9),"Monsoon","Winter"))</f>
        <v>Winter</v>
      </c>
      <c r="O551" s="0" t="str">
        <f aca="false">IF(AND(L551&gt;=22,L551&lt;=25,E551&gt;=TIME(18,0,0)),"24H Night", IF(AND(L551&gt;=22,L551&lt;=25,E551&lt;TIME(18,0,0)),"24H Day", IF(AND(L551&gt;=11,L551&lt;=13,E551&gt;=TIME(18,0,0)),"12H Night", IF(AND(L551&gt;=11,L551&lt;=13,E551&lt;TIME(18,0,0)),"12H Day", IF(AND(L551&lt;10,E551&gt;=TIME(18,0,0)),"Couple Night", "Couple Day")))))</f>
        <v>Couple Day</v>
      </c>
      <c r="P551" s="0" t="n">
        <f aca="false">WEEKDAY(D551,2)</f>
        <v>2</v>
      </c>
      <c r="Q551" s="0" t="n">
        <f aca="false">MONTH(D551)</f>
        <v>10</v>
      </c>
      <c r="R551" s="0" t="str">
        <f aca="false">"Q"&amp;ROUNDUP(MONTH(D551)/3,0)</f>
        <v>Q4</v>
      </c>
    </row>
    <row r="552" customFormat="false" ht="128.35" hidden="false" customHeight="false" outlineLevel="0" collapsed="false">
      <c r="A552" s="7" t="s">
        <v>1572</v>
      </c>
      <c r="B552" s="7" t="s">
        <v>913</v>
      </c>
      <c r="C552" s="13" t="s">
        <v>1573</v>
      </c>
      <c r="D552" s="11" t="n">
        <v>45958</v>
      </c>
      <c r="E552" s="12" t="n">
        <v>0.791666666700625</v>
      </c>
      <c r="F552" s="11" t="n">
        <v>45959</v>
      </c>
      <c r="G552" s="12" t="n">
        <v>0.333333333299375</v>
      </c>
      <c r="H552" s="10" t="n">
        <v>45959.4198502315</v>
      </c>
      <c r="I552" s="7" t="n">
        <v>3000</v>
      </c>
      <c r="J552" s="0" t="n">
        <f aca="false">IF(AND(D552&gt;=DATE(YEAR(D552),3,15),D552&lt;=DATE(YEAR(D552),6,10)),1,0)</f>
        <v>0</v>
      </c>
      <c r="K552" s="0" t="e">
        <f aca="false">VLOOKUP(D552,Festival_List!$A$2:$B$100,2,0)</f>
        <v>#N/A</v>
      </c>
      <c r="L552" s="0" t="n">
        <f aca="false">ROUND(((F552+G552)-(D552+E552))*24,0)</f>
        <v>13</v>
      </c>
      <c r="M552" s="0" t="n">
        <f aca="false">IF(OR(WEEKDAY(D552)=1,WEEKDAY(D552)=7),1,0)</f>
        <v>0</v>
      </c>
      <c r="N552" s="0" t="str">
        <f aca="false">IF(AND(MONTH(D552)&gt;=3,MONTH(D552)&lt;=6),"Summer",IF(AND(MONTH(D552)&gt;=7,MONTH(D552)&lt;=9),"Monsoon","Winter"))</f>
        <v>Winter</v>
      </c>
      <c r="O552" s="0" t="str">
        <f aca="false">IF(AND(L552&gt;=22,L552&lt;=25,E552&gt;=TIME(18,0,0)),"24H Night", IF(AND(L552&gt;=22,L552&lt;=25,E552&lt;TIME(18,0,0)),"24H Day", IF(AND(L552&gt;=11,L552&lt;=13,E552&gt;=TIME(18,0,0)),"12H Night", IF(AND(L552&gt;=11,L552&lt;=13,E552&lt;TIME(18,0,0)),"12H Day", IF(AND(L552&lt;10,E552&gt;=TIME(18,0,0)),"Couple Night", "Couple Day")))))</f>
        <v>12H Night</v>
      </c>
      <c r="P552" s="0" t="n">
        <f aca="false">WEEKDAY(D552,2)</f>
        <v>2</v>
      </c>
      <c r="Q552" s="0" t="n">
        <f aca="false">MONTH(D552)</f>
        <v>10</v>
      </c>
      <c r="R552" s="0" t="str">
        <f aca="false">"Q"&amp;ROUNDUP(MONTH(D552)/3,0)</f>
        <v>Q4</v>
      </c>
    </row>
    <row r="553" customFormat="false" ht="141" hidden="false" customHeight="false" outlineLevel="0" collapsed="false">
      <c r="A553" s="7" t="s">
        <v>1574</v>
      </c>
      <c r="B553" s="7" t="s">
        <v>660</v>
      </c>
      <c r="C553" s="13" t="s">
        <v>1575</v>
      </c>
      <c r="D553" s="11" t="n">
        <v>45959</v>
      </c>
      <c r="E553" s="12" t="n">
        <v>0.791666666700625</v>
      </c>
      <c r="F553" s="11" t="n">
        <v>45960</v>
      </c>
      <c r="G553" s="12" t="n">
        <v>0.333333333299375</v>
      </c>
      <c r="H553" s="10" t="n">
        <v>45959.790347338</v>
      </c>
      <c r="I553" s="7" t="n">
        <v>2500</v>
      </c>
      <c r="J553" s="0" t="n">
        <f aca="false">IF(AND(D553&gt;=DATE(YEAR(D553),3,15),D553&lt;=DATE(YEAR(D553),6,10)),1,0)</f>
        <v>0</v>
      </c>
      <c r="K553" s="0" t="e">
        <f aca="false">VLOOKUP(D553,Festival_List!$A$2:$B$100,2,0)</f>
        <v>#N/A</v>
      </c>
      <c r="L553" s="0" t="n">
        <f aca="false">ROUND(((F553+G553)-(D553+E553))*24,0)</f>
        <v>13</v>
      </c>
      <c r="M553" s="0" t="n">
        <f aca="false">IF(OR(WEEKDAY(D553)=1,WEEKDAY(D553)=7),1,0)</f>
        <v>0</v>
      </c>
      <c r="N553" s="0" t="str">
        <f aca="false">IF(AND(MONTH(D553)&gt;=3,MONTH(D553)&lt;=6),"Summer",IF(AND(MONTH(D553)&gt;=7,MONTH(D553)&lt;=9),"Monsoon","Winter"))</f>
        <v>Winter</v>
      </c>
      <c r="O553" s="0" t="str">
        <f aca="false">IF(AND(L553&gt;=22,L553&lt;=25,E553&gt;=TIME(18,0,0)),"24H Night", IF(AND(L553&gt;=22,L553&lt;=25,E553&lt;TIME(18,0,0)),"24H Day", IF(AND(L553&gt;=11,L553&lt;=13,E553&gt;=TIME(18,0,0)),"12H Night", IF(AND(L553&gt;=11,L553&lt;=13,E553&lt;TIME(18,0,0)),"12H Day", IF(AND(L553&lt;10,E553&gt;=TIME(18,0,0)),"Couple Night", "Couple Day")))))</f>
        <v>12H Night</v>
      </c>
      <c r="P553" s="0" t="n">
        <f aca="false">WEEKDAY(D553,2)</f>
        <v>3</v>
      </c>
      <c r="Q553" s="0" t="n">
        <f aca="false">MONTH(D553)</f>
        <v>10</v>
      </c>
      <c r="R553" s="0" t="str">
        <f aca="false">"Q"&amp;ROUNDUP(MONTH(D553)/3,0)</f>
        <v>Q4</v>
      </c>
    </row>
    <row r="554" customFormat="false" ht="141" hidden="false" customHeight="false" outlineLevel="0" collapsed="false">
      <c r="A554" s="7" t="s">
        <v>1576</v>
      </c>
      <c r="B554" s="7" t="s">
        <v>1577</v>
      </c>
      <c r="C554" s="13" t="s">
        <v>1578</v>
      </c>
      <c r="D554" s="11" t="n">
        <v>45961</v>
      </c>
      <c r="E554" s="12" t="n">
        <v>0.875</v>
      </c>
      <c r="F554" s="11" t="n">
        <v>45962</v>
      </c>
      <c r="G554" s="12" t="n">
        <v>0.375</v>
      </c>
      <c r="H554" s="10" t="n">
        <v>45961.030319213</v>
      </c>
      <c r="I554" s="7" t="n">
        <v>3000</v>
      </c>
      <c r="J554" s="0" t="n">
        <f aca="false">IF(AND(D554&gt;=DATE(YEAR(D554),3,15),D554&lt;=DATE(YEAR(D554),6,10)),1,0)</f>
        <v>0</v>
      </c>
      <c r="K554" s="0" t="e">
        <f aca="false">VLOOKUP(D554,Festival_List!$A$2:$B$100,2,0)</f>
        <v>#N/A</v>
      </c>
      <c r="L554" s="0" t="n">
        <f aca="false">ROUND(((F554+G554)-(D554+E554))*24,0)</f>
        <v>12</v>
      </c>
      <c r="M554" s="0" t="n">
        <f aca="false">IF(OR(WEEKDAY(D554)=1,WEEKDAY(D554)=7),1,0)</f>
        <v>0</v>
      </c>
      <c r="N554" s="0" t="str">
        <f aca="false">IF(AND(MONTH(D554)&gt;=3,MONTH(D554)&lt;=6),"Summer",IF(AND(MONTH(D554)&gt;=7,MONTH(D554)&lt;=9),"Monsoon","Winter"))</f>
        <v>Winter</v>
      </c>
      <c r="O554" s="0" t="str">
        <f aca="false">IF(AND(L554&gt;=22,L554&lt;=25,E554&gt;=TIME(18,0,0)),"24H Night", IF(AND(L554&gt;=22,L554&lt;=25,E554&lt;TIME(18,0,0)),"24H Day", IF(AND(L554&gt;=11,L554&lt;=13,E554&gt;=TIME(18,0,0)),"12H Night", IF(AND(L554&gt;=11,L554&lt;=13,E554&lt;TIME(18,0,0)),"12H Day", IF(AND(L554&lt;10,E554&gt;=TIME(18,0,0)),"Couple Night", "Couple Day")))))</f>
        <v>12H Night</v>
      </c>
      <c r="P554" s="0" t="n">
        <f aca="false">WEEKDAY(D554,2)</f>
        <v>5</v>
      </c>
      <c r="Q554" s="0" t="n">
        <f aca="false">MONTH(D554)</f>
        <v>10</v>
      </c>
      <c r="R554" s="0" t="str">
        <f aca="false">"Q"&amp;ROUNDUP(MONTH(D554)/3,0)</f>
        <v>Q4</v>
      </c>
    </row>
    <row r="555" customFormat="false" ht="102.95" hidden="false" customHeight="false" outlineLevel="0" collapsed="false">
      <c r="A555" s="7" t="s">
        <v>1579</v>
      </c>
      <c r="B555" s="7" t="s">
        <v>1580</v>
      </c>
      <c r="C555" s="13" t="s">
        <v>1581</v>
      </c>
      <c r="D555" s="11" t="n">
        <v>45962</v>
      </c>
      <c r="E555" s="12" t="n">
        <v>0.791666666700625</v>
      </c>
      <c r="F555" s="11" t="n">
        <v>45963</v>
      </c>
      <c r="G555" s="12" t="n">
        <v>0.75</v>
      </c>
      <c r="H555" s="10" t="n">
        <v>45957.6822881944</v>
      </c>
      <c r="I555" s="7" t="n">
        <v>6000</v>
      </c>
      <c r="J555" s="0" t="n">
        <f aca="false">IF(AND(D555&gt;=DATE(YEAR(D555),3,15),D555&lt;=DATE(YEAR(D555),6,10)),1,0)</f>
        <v>0</v>
      </c>
      <c r="K555" s="0" t="e">
        <f aca="false">VLOOKUP(D555,Festival_List!$A$2:$B$100,2,0)</f>
        <v>#N/A</v>
      </c>
      <c r="L555" s="0" t="n">
        <f aca="false">ROUND(((F555+G555)-(D555+E555))*24,0)</f>
        <v>23</v>
      </c>
      <c r="M555" s="0" t="n">
        <f aca="false">IF(OR(WEEKDAY(D555)=1,WEEKDAY(D555)=7),1,0)</f>
        <v>1</v>
      </c>
      <c r="N555" s="0" t="str">
        <f aca="false">IF(AND(MONTH(D555)&gt;=3,MONTH(D555)&lt;=6),"Summer",IF(AND(MONTH(D555)&gt;=7,MONTH(D555)&lt;=9),"Monsoon","Winter"))</f>
        <v>Winter</v>
      </c>
      <c r="O555" s="0" t="str">
        <f aca="false">IF(AND(L555&gt;=22,L555&lt;=25,E555&gt;=TIME(18,0,0)),"24H Night", IF(AND(L555&gt;=22,L555&lt;=25,E555&lt;TIME(18,0,0)),"24H Day", IF(AND(L555&gt;=11,L555&lt;=13,E555&gt;=TIME(18,0,0)),"12H Night", IF(AND(L555&gt;=11,L555&lt;=13,E555&lt;TIME(18,0,0)),"12H Day", IF(AND(L555&lt;10,E555&gt;=TIME(18,0,0)),"Couple Night", "Couple Day")))))</f>
        <v>24H Night</v>
      </c>
      <c r="P555" s="0" t="n">
        <f aca="false">WEEKDAY(D555,2)</f>
        <v>6</v>
      </c>
      <c r="Q555" s="0" t="n">
        <f aca="false">MONTH(D555)</f>
        <v>11</v>
      </c>
      <c r="R555" s="0" t="str">
        <f aca="false">"Q"&amp;ROUNDUP(MONTH(D555)/3,0)</f>
        <v>Q4</v>
      </c>
    </row>
    <row r="556" customFormat="false" ht="128.35" hidden="false" customHeight="false" outlineLevel="0" collapsed="false">
      <c r="A556" s="7" t="s">
        <v>1582</v>
      </c>
      <c r="B556" s="7" t="s">
        <v>1583</v>
      </c>
      <c r="C556" s="13" t="s">
        <v>1584</v>
      </c>
      <c r="D556" s="11" t="n">
        <v>45965</v>
      </c>
      <c r="E556" s="12" t="n">
        <v>0.375</v>
      </c>
      <c r="F556" s="11" t="n">
        <v>45966</v>
      </c>
      <c r="G556" s="12" t="n">
        <v>0.333333333299375</v>
      </c>
      <c r="H556" s="10" t="n">
        <v>45960.5607256944</v>
      </c>
      <c r="I556" s="7" t="n">
        <v>4000</v>
      </c>
      <c r="J556" s="0" t="n">
        <f aca="false">IF(AND(D556&gt;=DATE(YEAR(D556),3,15),D556&lt;=DATE(YEAR(D556),6,10)),1,0)</f>
        <v>0</v>
      </c>
      <c r="K556" s="0" t="e">
        <f aca="false">VLOOKUP(D556,Festival_List!$A$2:$B$100,2,0)</f>
        <v>#N/A</v>
      </c>
      <c r="L556" s="0" t="n">
        <f aca="false">ROUND(((F556+G556)-(D556+E556))*24,0)</f>
        <v>23</v>
      </c>
      <c r="M556" s="0" t="n">
        <f aca="false">IF(OR(WEEKDAY(D556)=1,WEEKDAY(D556)=7),1,0)</f>
        <v>0</v>
      </c>
      <c r="N556" s="0" t="str">
        <f aca="false">IF(AND(MONTH(D556)&gt;=3,MONTH(D556)&lt;=6),"Summer",IF(AND(MONTH(D556)&gt;=7,MONTH(D556)&lt;=9),"Monsoon","Winter"))</f>
        <v>Winter</v>
      </c>
      <c r="O556" s="0" t="str">
        <f aca="false">IF(AND(L556&gt;=22,L556&lt;=25,E556&gt;=TIME(18,0,0)),"24H Night", IF(AND(L556&gt;=22,L556&lt;=25,E556&lt;TIME(18,0,0)),"24H Day", IF(AND(L556&gt;=11,L556&lt;=13,E556&gt;=TIME(18,0,0)),"12H Night", IF(AND(L556&gt;=11,L556&lt;=13,E556&lt;TIME(18,0,0)),"12H Day", IF(AND(L556&lt;10,E556&gt;=TIME(18,0,0)),"Couple Night", "Couple Day")))))</f>
        <v>24H Day</v>
      </c>
      <c r="P556" s="0" t="n">
        <f aca="false">WEEKDAY(D556,2)</f>
        <v>2</v>
      </c>
      <c r="Q556" s="0" t="n">
        <f aca="false">MONTH(D556)</f>
        <v>11</v>
      </c>
      <c r="R556" s="0" t="str">
        <f aca="false">"Q"&amp;ROUNDUP(MONTH(D556)/3,0)</f>
        <v>Q4</v>
      </c>
    </row>
    <row r="557" customFormat="false" ht="115.65" hidden="false" customHeight="false" outlineLevel="0" collapsed="false">
      <c r="A557" s="7" t="s">
        <v>1585</v>
      </c>
      <c r="B557" s="7" t="s">
        <v>1586</v>
      </c>
      <c r="C557" s="13" t="s">
        <v>1587</v>
      </c>
      <c r="D557" s="11" t="n">
        <v>45967</v>
      </c>
      <c r="E557" s="12" t="n">
        <v>0.375</v>
      </c>
      <c r="F557" s="11" t="n">
        <v>45967</v>
      </c>
      <c r="G557" s="12" t="n">
        <v>0.75</v>
      </c>
      <c r="H557" s="10" t="n">
        <v>45962.4970804398</v>
      </c>
      <c r="I557" s="7" t="n">
        <v>3000</v>
      </c>
      <c r="J557" s="0" t="n">
        <f aca="false">IF(AND(D557&gt;=DATE(YEAR(D557),3,15),D557&lt;=DATE(YEAR(D557),6,10)),1,0)</f>
        <v>0</v>
      </c>
      <c r="K557" s="0" t="e">
        <f aca="false">VLOOKUP(D557,Festival_List!$A$2:$B$100,2,0)</f>
        <v>#N/A</v>
      </c>
      <c r="L557" s="0" t="n">
        <f aca="false">ROUND(((F557+G557)-(D557+E557))*24,0)</f>
        <v>9</v>
      </c>
      <c r="M557" s="0" t="n">
        <f aca="false">IF(OR(WEEKDAY(D557)=1,WEEKDAY(D557)=7),1,0)</f>
        <v>0</v>
      </c>
      <c r="N557" s="0" t="str">
        <f aca="false">IF(AND(MONTH(D557)&gt;=3,MONTH(D557)&lt;=6),"Summer",IF(AND(MONTH(D557)&gt;=7,MONTH(D557)&lt;=9),"Monsoon","Winter"))</f>
        <v>Winter</v>
      </c>
      <c r="O557" s="0" t="str">
        <f aca="false">IF(AND(L557&gt;=22,L557&lt;=25,E557&gt;=TIME(18,0,0)),"24H Night", IF(AND(L557&gt;=22,L557&lt;=25,E557&lt;TIME(18,0,0)),"24H Day", IF(AND(L557&gt;=11,L557&lt;=13,E557&gt;=TIME(18,0,0)),"12H Night", IF(AND(L557&gt;=11,L557&lt;=13,E557&lt;TIME(18,0,0)),"12H Day", IF(AND(L557&lt;10,E557&gt;=TIME(18,0,0)),"Couple Night", "Couple Day")))))</f>
        <v>Couple Day</v>
      </c>
      <c r="P557" s="0" t="n">
        <f aca="false">WEEKDAY(D557,2)</f>
        <v>4</v>
      </c>
      <c r="Q557" s="0" t="n">
        <f aca="false">MONTH(D557)</f>
        <v>11</v>
      </c>
      <c r="R557" s="0" t="str">
        <f aca="false">"Q"&amp;ROUNDUP(MONTH(D557)/3,0)</f>
        <v>Q4</v>
      </c>
    </row>
    <row r="558" customFormat="false" ht="115.65" hidden="false" customHeight="false" outlineLevel="0" collapsed="false">
      <c r="A558" s="7" t="s">
        <v>1588</v>
      </c>
      <c r="B558" s="7" t="s">
        <v>1589</v>
      </c>
      <c r="C558" s="13" t="s">
        <v>1590</v>
      </c>
      <c r="D558" s="11" t="n">
        <v>45967</v>
      </c>
      <c r="E558" s="12" t="n">
        <v>0.791666666700625</v>
      </c>
      <c r="F558" s="11" t="n">
        <v>45968</v>
      </c>
      <c r="G558" s="12" t="n">
        <v>0.75</v>
      </c>
      <c r="H558" s="10" t="n">
        <v>45966.9429354167</v>
      </c>
      <c r="I558" s="7" t="n">
        <v>3500</v>
      </c>
      <c r="J558" s="0" t="n">
        <f aca="false">IF(AND(D558&gt;=DATE(YEAR(D558),3,15),D558&lt;=DATE(YEAR(D558),6,10)),1,0)</f>
        <v>0</v>
      </c>
      <c r="K558" s="0" t="e">
        <f aca="false">VLOOKUP(D558,Festival_List!$A$2:$B$100,2,0)</f>
        <v>#N/A</v>
      </c>
      <c r="L558" s="0" t="n">
        <f aca="false">ROUND(((F558+G558)-(D558+E558))*24,0)</f>
        <v>23</v>
      </c>
      <c r="M558" s="0" t="n">
        <f aca="false">IF(OR(WEEKDAY(D558)=1,WEEKDAY(D558)=7),1,0)</f>
        <v>0</v>
      </c>
      <c r="N558" s="0" t="str">
        <f aca="false">IF(AND(MONTH(D558)&gt;=3,MONTH(D558)&lt;=6),"Summer",IF(AND(MONTH(D558)&gt;=7,MONTH(D558)&lt;=9),"Monsoon","Winter"))</f>
        <v>Winter</v>
      </c>
      <c r="O558" s="0" t="str">
        <f aca="false">IF(AND(L558&gt;=22,L558&lt;=25,E558&gt;=TIME(18,0,0)),"24H Night", IF(AND(L558&gt;=22,L558&lt;=25,E558&lt;TIME(18,0,0)),"24H Day", IF(AND(L558&gt;=11,L558&lt;=13,E558&gt;=TIME(18,0,0)),"12H Night", IF(AND(L558&gt;=11,L558&lt;=13,E558&lt;TIME(18,0,0)),"12H Day", IF(AND(L558&lt;10,E558&gt;=TIME(18,0,0)),"Couple Night", "Couple Day")))))</f>
        <v>24H Night</v>
      </c>
      <c r="P558" s="0" t="n">
        <f aca="false">WEEKDAY(D558,2)</f>
        <v>4</v>
      </c>
      <c r="Q558" s="0" t="n">
        <f aca="false">MONTH(D558)</f>
        <v>11</v>
      </c>
      <c r="R558" s="0" t="str">
        <f aca="false">"Q"&amp;ROUNDUP(MONTH(D558)/3,0)</f>
        <v>Q4</v>
      </c>
    </row>
    <row r="559" customFormat="false" ht="115.65" hidden="false" customHeight="false" outlineLevel="0" collapsed="false">
      <c r="A559" s="7" t="s">
        <v>1591</v>
      </c>
      <c r="B559" s="7" t="s">
        <v>1592</v>
      </c>
      <c r="C559" s="13" t="s">
        <v>1593</v>
      </c>
      <c r="D559" s="11" t="n">
        <v>45968</v>
      </c>
      <c r="E559" s="12" t="n">
        <v>0.791666666700625</v>
      </c>
      <c r="F559" s="11" t="n">
        <v>45969</v>
      </c>
      <c r="G559" s="12" t="n">
        <v>0.75</v>
      </c>
      <c r="H559" s="10" t="n">
        <v>45962.7202833334</v>
      </c>
      <c r="I559" s="7" t="n">
        <v>3500</v>
      </c>
      <c r="J559" s="0" t="n">
        <f aca="false">IF(AND(D559&gt;=DATE(YEAR(D559),3,15),D559&lt;=DATE(YEAR(D559),6,10)),1,0)</f>
        <v>0</v>
      </c>
      <c r="K559" s="0" t="e">
        <f aca="false">VLOOKUP(D559,Festival_List!$A$2:$B$100,2,0)</f>
        <v>#N/A</v>
      </c>
      <c r="L559" s="0" t="n">
        <f aca="false">ROUND(((F559+G559)-(D559+E559))*24,0)</f>
        <v>23</v>
      </c>
      <c r="M559" s="0" t="n">
        <f aca="false">IF(OR(WEEKDAY(D559)=1,WEEKDAY(D559)=7),1,0)</f>
        <v>0</v>
      </c>
      <c r="N559" s="0" t="str">
        <f aca="false">IF(AND(MONTH(D559)&gt;=3,MONTH(D559)&lt;=6),"Summer",IF(AND(MONTH(D559)&gt;=7,MONTH(D559)&lt;=9),"Monsoon","Winter"))</f>
        <v>Winter</v>
      </c>
      <c r="O559" s="0" t="str">
        <f aca="false">IF(AND(L559&gt;=22,L559&lt;=25,E559&gt;=TIME(18,0,0)),"24H Night", IF(AND(L559&gt;=22,L559&lt;=25,E559&lt;TIME(18,0,0)),"24H Day", IF(AND(L559&gt;=11,L559&lt;=13,E559&gt;=TIME(18,0,0)),"12H Night", IF(AND(L559&gt;=11,L559&lt;=13,E559&lt;TIME(18,0,0)),"12H Day", IF(AND(L559&lt;10,E559&gt;=TIME(18,0,0)),"Couple Night", "Couple Day")))))</f>
        <v>24H Night</v>
      </c>
      <c r="P559" s="0" t="n">
        <f aca="false">WEEKDAY(D559,2)</f>
        <v>5</v>
      </c>
      <c r="Q559" s="0" t="n">
        <f aca="false">MONTH(D559)</f>
        <v>11</v>
      </c>
      <c r="R559" s="0" t="str">
        <f aca="false">"Q"&amp;ROUNDUP(MONTH(D559)/3,0)</f>
        <v>Q4</v>
      </c>
    </row>
    <row r="560" customFormat="false" ht="115.65" hidden="false" customHeight="false" outlineLevel="0" collapsed="false">
      <c r="A560" s="7" t="s">
        <v>1594</v>
      </c>
      <c r="B560" s="7" t="s">
        <v>1595</v>
      </c>
      <c r="C560" s="13" t="s">
        <v>1596</v>
      </c>
      <c r="D560" s="11" t="n">
        <v>45969</v>
      </c>
      <c r="E560" s="12" t="n">
        <v>0.791666666700625</v>
      </c>
      <c r="F560" s="11" t="n">
        <v>45970</v>
      </c>
      <c r="G560" s="12" t="n">
        <v>0.75</v>
      </c>
      <c r="H560" s="10" t="n">
        <v>45967.6434777778</v>
      </c>
      <c r="I560" s="7" t="n">
        <v>1000</v>
      </c>
      <c r="J560" s="0" t="n">
        <f aca="false">IF(AND(D560&gt;=DATE(YEAR(D560),3,15),D560&lt;=DATE(YEAR(D560),6,10)),1,0)</f>
        <v>0</v>
      </c>
      <c r="K560" s="0" t="e">
        <f aca="false">VLOOKUP(D560,Festival_List!$A$2:$B$100,2,0)</f>
        <v>#N/A</v>
      </c>
      <c r="L560" s="0" t="n">
        <f aca="false">ROUND(((F560+G560)-(D560+E560))*24,0)</f>
        <v>23</v>
      </c>
      <c r="M560" s="0" t="n">
        <f aca="false">IF(OR(WEEKDAY(D560)=1,WEEKDAY(D560)=7),1,0)</f>
        <v>1</v>
      </c>
      <c r="N560" s="0" t="str">
        <f aca="false">IF(AND(MONTH(D560)&gt;=3,MONTH(D560)&lt;=6),"Summer",IF(AND(MONTH(D560)&gt;=7,MONTH(D560)&lt;=9),"Monsoon","Winter"))</f>
        <v>Winter</v>
      </c>
      <c r="O560" s="0" t="str">
        <f aca="false">IF(AND(L560&gt;=22,L560&lt;=25,E560&gt;=TIME(18,0,0)),"24H Night", IF(AND(L560&gt;=22,L560&lt;=25,E560&lt;TIME(18,0,0)),"24H Day", IF(AND(L560&gt;=11,L560&lt;=13,E560&gt;=TIME(18,0,0)),"12H Night", IF(AND(L560&gt;=11,L560&lt;=13,E560&lt;TIME(18,0,0)),"12H Day", IF(AND(L560&lt;10,E560&gt;=TIME(18,0,0)),"Couple Night", "Couple Day")))))</f>
        <v>24H Night</v>
      </c>
      <c r="P560" s="0" t="n">
        <f aca="false">WEEKDAY(D560,2)</f>
        <v>6</v>
      </c>
      <c r="Q560" s="0" t="n">
        <f aca="false">MONTH(D560)</f>
        <v>11</v>
      </c>
      <c r="R560" s="0" t="str">
        <f aca="false">"Q"&amp;ROUNDUP(MONTH(D560)/3,0)</f>
        <v>Q4</v>
      </c>
    </row>
    <row r="561" customFormat="false" ht="115.65" hidden="false" customHeight="false" outlineLevel="0" collapsed="false">
      <c r="A561" s="7" t="s">
        <v>1597</v>
      </c>
      <c r="B561" s="7" t="s">
        <v>1598</v>
      </c>
      <c r="C561" s="13" t="s">
        <v>1599</v>
      </c>
      <c r="D561" s="11" t="n">
        <v>45969</v>
      </c>
      <c r="E561" s="12" t="n">
        <v>0.791666666700625</v>
      </c>
      <c r="F561" s="11" t="n">
        <v>45970</v>
      </c>
      <c r="G561" s="12" t="n">
        <v>0.75</v>
      </c>
      <c r="H561" s="10" t="n">
        <v>45959.6871319445</v>
      </c>
      <c r="I561" s="7" t="n">
        <v>5500</v>
      </c>
      <c r="J561" s="0" t="n">
        <f aca="false">IF(AND(D561&gt;=DATE(YEAR(D561),3,15),D561&lt;=DATE(YEAR(D561),6,10)),1,0)</f>
        <v>0</v>
      </c>
      <c r="K561" s="0" t="e">
        <f aca="false">VLOOKUP(D561,Festival_List!$A$2:$B$100,2,0)</f>
        <v>#N/A</v>
      </c>
      <c r="L561" s="0" t="n">
        <f aca="false">ROUND(((F561+G561)-(D561+E561))*24,0)</f>
        <v>23</v>
      </c>
      <c r="M561" s="0" t="n">
        <f aca="false">IF(OR(WEEKDAY(D561)=1,WEEKDAY(D561)=7),1,0)</f>
        <v>1</v>
      </c>
      <c r="N561" s="0" t="str">
        <f aca="false">IF(AND(MONTH(D561)&gt;=3,MONTH(D561)&lt;=6),"Summer",IF(AND(MONTH(D561)&gt;=7,MONTH(D561)&lt;=9),"Monsoon","Winter"))</f>
        <v>Winter</v>
      </c>
      <c r="O561" s="0" t="str">
        <f aca="false">IF(AND(L561&gt;=22,L561&lt;=25,E561&gt;=TIME(18,0,0)),"24H Night", IF(AND(L561&gt;=22,L561&lt;=25,E561&lt;TIME(18,0,0)),"24H Day", IF(AND(L561&gt;=11,L561&lt;=13,E561&gt;=TIME(18,0,0)),"12H Night", IF(AND(L561&gt;=11,L561&lt;=13,E561&lt;TIME(18,0,0)),"12H Day", IF(AND(L561&lt;10,E561&gt;=TIME(18,0,0)),"Couple Night", "Couple Day")))))</f>
        <v>24H Night</v>
      </c>
      <c r="P561" s="0" t="n">
        <f aca="false">WEEKDAY(D561,2)</f>
        <v>6</v>
      </c>
      <c r="Q561" s="0" t="n">
        <f aca="false">MONTH(D561)</f>
        <v>11</v>
      </c>
      <c r="R561" s="0" t="str">
        <f aca="false">"Q"&amp;ROUNDUP(MONTH(D561)/3,0)</f>
        <v>Q4</v>
      </c>
    </row>
    <row r="562" customFormat="false" ht="128.35" hidden="false" customHeight="false" outlineLevel="0" collapsed="false">
      <c r="A562" s="7" t="s">
        <v>1600</v>
      </c>
      <c r="B562" s="7" t="s">
        <v>1601</v>
      </c>
      <c r="C562" s="13" t="s">
        <v>1602</v>
      </c>
      <c r="D562" s="11" t="n">
        <v>45973</v>
      </c>
      <c r="E562" s="12" t="n">
        <v>0.375</v>
      </c>
      <c r="F562" s="11" t="n">
        <v>45973</v>
      </c>
      <c r="G562" s="12" t="n">
        <v>0.75</v>
      </c>
      <c r="H562" s="10" t="n">
        <v>45973.9471085648</v>
      </c>
      <c r="I562" s="7" t="n">
        <v>700</v>
      </c>
      <c r="J562" s="0" t="n">
        <f aca="false">IF(AND(D562&gt;=DATE(YEAR(D562),3,15),D562&lt;=DATE(YEAR(D562),6,10)),1,0)</f>
        <v>0</v>
      </c>
      <c r="K562" s="0" t="e">
        <f aca="false">VLOOKUP(D562,Festival_List!$A$2:$B$100,2,0)</f>
        <v>#N/A</v>
      </c>
      <c r="L562" s="0" t="n">
        <f aca="false">ROUND(((F562+G562)-(D562+E562))*24,0)</f>
        <v>9</v>
      </c>
      <c r="M562" s="0" t="n">
        <f aca="false">IF(OR(WEEKDAY(D562)=1,WEEKDAY(D562)=7),1,0)</f>
        <v>0</v>
      </c>
      <c r="N562" s="0" t="str">
        <f aca="false">IF(AND(MONTH(D562)&gt;=3,MONTH(D562)&lt;=6),"Summer",IF(AND(MONTH(D562)&gt;=7,MONTH(D562)&lt;=9),"Monsoon","Winter"))</f>
        <v>Winter</v>
      </c>
      <c r="O562" s="0" t="str">
        <f aca="false">IF(AND(L562&gt;=22,L562&lt;=25,E562&gt;=TIME(18,0,0)),"24H Night", IF(AND(L562&gt;=22,L562&lt;=25,E562&lt;TIME(18,0,0)),"24H Day", IF(AND(L562&gt;=11,L562&lt;=13,E562&gt;=TIME(18,0,0)),"12H Night", IF(AND(L562&gt;=11,L562&lt;=13,E562&lt;TIME(18,0,0)),"12H Day", IF(AND(L562&lt;10,E562&gt;=TIME(18,0,0)),"Couple Night", "Couple Day")))))</f>
        <v>Couple Day</v>
      </c>
      <c r="P562" s="0" t="n">
        <f aca="false">WEEKDAY(D562,2)</f>
        <v>3</v>
      </c>
      <c r="Q562" s="0" t="n">
        <f aca="false">MONTH(D562)</f>
        <v>11</v>
      </c>
      <c r="R562" s="0" t="str">
        <f aca="false">"Q"&amp;ROUNDUP(MONTH(D562)/3,0)</f>
        <v>Q4</v>
      </c>
    </row>
    <row r="563" customFormat="false" ht="141" hidden="false" customHeight="false" outlineLevel="0" collapsed="false">
      <c r="A563" s="7" t="s">
        <v>1603</v>
      </c>
      <c r="B563" s="7" t="s">
        <v>254</v>
      </c>
      <c r="C563" s="13" t="s">
        <v>1604</v>
      </c>
      <c r="D563" s="11" t="n">
        <v>45981</v>
      </c>
      <c r="E563" s="12" t="n">
        <v>0.375</v>
      </c>
      <c r="F563" s="11" t="n">
        <v>45981</v>
      </c>
      <c r="G563" s="12" t="n">
        <v>0.75</v>
      </c>
      <c r="H563" s="10" t="n">
        <v>45977.8898230324</v>
      </c>
      <c r="I563" s="7" t="n">
        <v>2500</v>
      </c>
      <c r="J563" s="0" t="n">
        <f aca="false">IF(AND(D563&gt;=DATE(YEAR(D563),3,15),D563&lt;=DATE(YEAR(D563),6,10)),1,0)</f>
        <v>0</v>
      </c>
      <c r="K563" s="0" t="e">
        <f aca="false">VLOOKUP(D563,Festival_List!$A$2:$B$100,2,0)</f>
        <v>#N/A</v>
      </c>
      <c r="L563" s="0" t="n">
        <f aca="false">ROUND(((F563+G563)-(D563+E563))*24,0)</f>
        <v>9</v>
      </c>
      <c r="M563" s="0" t="n">
        <f aca="false">IF(OR(WEEKDAY(D563)=1,WEEKDAY(D563)=7),1,0)</f>
        <v>0</v>
      </c>
      <c r="N563" s="0" t="str">
        <f aca="false">IF(AND(MONTH(D563)&gt;=3,MONTH(D563)&lt;=6),"Summer",IF(AND(MONTH(D563)&gt;=7,MONTH(D563)&lt;=9),"Monsoon","Winter"))</f>
        <v>Winter</v>
      </c>
      <c r="O563" s="0" t="str">
        <f aca="false">IF(AND(L563&gt;=22,L563&lt;=25,E563&gt;=TIME(18,0,0)),"24H Night", IF(AND(L563&gt;=22,L563&lt;=25,E563&lt;TIME(18,0,0)),"24H Day", IF(AND(L563&gt;=11,L563&lt;=13,E563&gt;=TIME(18,0,0)),"12H Night", IF(AND(L563&gt;=11,L563&lt;=13,E563&lt;TIME(18,0,0)),"12H Day", IF(AND(L563&lt;10,E563&gt;=TIME(18,0,0)),"Couple Night", "Couple Day")))))</f>
        <v>Couple Day</v>
      </c>
      <c r="P563" s="0" t="n">
        <f aca="false">WEEKDAY(D563,2)</f>
        <v>4</v>
      </c>
      <c r="Q563" s="0" t="n">
        <f aca="false">MONTH(D563)</f>
        <v>11</v>
      </c>
      <c r="R563" s="0" t="str">
        <f aca="false">"Q"&amp;ROUNDUP(MONTH(D563)/3,0)</f>
        <v>Q4</v>
      </c>
    </row>
    <row r="564" customFormat="false" ht="115.65" hidden="false" customHeight="false" outlineLevel="0" collapsed="false">
      <c r="A564" s="7" t="s">
        <v>1605</v>
      </c>
      <c r="B564" s="7" t="s">
        <v>1606</v>
      </c>
      <c r="C564" s="13" t="s">
        <v>1607</v>
      </c>
      <c r="D564" s="11" t="n">
        <v>45982</v>
      </c>
      <c r="E564" s="12" t="n">
        <v>0.375</v>
      </c>
      <c r="F564" s="11" t="n">
        <v>45982</v>
      </c>
      <c r="G564" s="12" t="n">
        <v>0.75</v>
      </c>
      <c r="H564" s="10" t="n">
        <v>45981.5015326389</v>
      </c>
      <c r="I564" s="7" t="n">
        <v>2000</v>
      </c>
      <c r="J564" s="0" t="n">
        <f aca="false">IF(AND(D564&gt;=DATE(YEAR(D564),3,15),D564&lt;=DATE(YEAR(D564),6,10)),1,0)</f>
        <v>0</v>
      </c>
      <c r="K564" s="0" t="e">
        <f aca="false">VLOOKUP(D564,Festival_List!$A$2:$B$100,2,0)</f>
        <v>#N/A</v>
      </c>
      <c r="L564" s="0" t="n">
        <f aca="false">ROUND(((F564+G564)-(D564+E564))*24,0)</f>
        <v>9</v>
      </c>
      <c r="M564" s="0" t="n">
        <f aca="false">IF(OR(WEEKDAY(D564)=1,WEEKDAY(D564)=7),1,0)</f>
        <v>0</v>
      </c>
      <c r="N564" s="0" t="str">
        <f aca="false">IF(AND(MONTH(D564)&gt;=3,MONTH(D564)&lt;=6),"Summer",IF(AND(MONTH(D564)&gt;=7,MONTH(D564)&lt;=9),"Monsoon","Winter"))</f>
        <v>Winter</v>
      </c>
      <c r="O564" s="0" t="str">
        <f aca="false">IF(AND(L564&gt;=22,L564&lt;=25,E564&gt;=TIME(18,0,0)),"24H Night", IF(AND(L564&gt;=22,L564&lt;=25,E564&lt;TIME(18,0,0)),"24H Day", IF(AND(L564&gt;=11,L564&lt;=13,E564&gt;=TIME(18,0,0)),"12H Night", IF(AND(L564&gt;=11,L564&lt;=13,E564&lt;TIME(18,0,0)),"12H Day", IF(AND(L564&lt;10,E564&gt;=TIME(18,0,0)),"Couple Night", "Couple Day")))))</f>
        <v>Couple Day</v>
      </c>
      <c r="P564" s="0" t="n">
        <f aca="false">WEEKDAY(D564,2)</f>
        <v>5</v>
      </c>
      <c r="Q564" s="0" t="n">
        <f aca="false">MONTH(D564)</f>
        <v>11</v>
      </c>
      <c r="R564" s="0" t="str">
        <f aca="false">"Q"&amp;ROUNDUP(MONTH(D564)/3,0)</f>
        <v>Q4</v>
      </c>
    </row>
    <row r="565" customFormat="false" ht="102.95" hidden="false" customHeight="false" outlineLevel="0" collapsed="false">
      <c r="A565" s="7" t="s">
        <v>1608</v>
      </c>
      <c r="B565" s="7" t="s">
        <v>1071</v>
      </c>
      <c r="C565" s="13" t="s">
        <v>1609</v>
      </c>
      <c r="D565" s="11" t="n">
        <v>45982</v>
      </c>
      <c r="E565" s="12" t="n">
        <v>0.875</v>
      </c>
      <c r="F565" s="11" t="n">
        <v>45983</v>
      </c>
      <c r="G565" s="12" t="n">
        <v>0.333333333299375</v>
      </c>
      <c r="H565" s="10" t="n">
        <v>45982.9880127315</v>
      </c>
      <c r="I565" s="7" t="n">
        <v>2000</v>
      </c>
      <c r="J565" s="0" t="n">
        <f aca="false">IF(AND(D565&gt;=DATE(YEAR(D565),3,15),D565&lt;=DATE(YEAR(D565),6,10)),1,0)</f>
        <v>0</v>
      </c>
      <c r="K565" s="0" t="e">
        <f aca="false">VLOOKUP(D565,Festival_List!$A$2:$B$100,2,0)</f>
        <v>#N/A</v>
      </c>
      <c r="L565" s="0" t="n">
        <f aca="false">ROUND(((F565+G565)-(D565+E565))*24,0)</f>
        <v>11</v>
      </c>
      <c r="M565" s="0" t="n">
        <f aca="false">IF(OR(WEEKDAY(D565)=1,WEEKDAY(D565)=7),1,0)</f>
        <v>0</v>
      </c>
      <c r="N565" s="0" t="str">
        <f aca="false">IF(AND(MONTH(D565)&gt;=3,MONTH(D565)&lt;=6),"Summer",IF(AND(MONTH(D565)&gt;=7,MONTH(D565)&lt;=9),"Monsoon","Winter"))</f>
        <v>Winter</v>
      </c>
      <c r="O565" s="0" t="str">
        <f aca="false">IF(AND(L565&gt;=22,L565&lt;=25,E565&gt;=TIME(18,0,0)),"24H Night", IF(AND(L565&gt;=22,L565&lt;=25,E565&lt;TIME(18,0,0)),"24H Day", IF(AND(L565&gt;=11,L565&lt;=13,E565&gt;=TIME(18,0,0)),"12H Night", IF(AND(L565&gt;=11,L565&lt;=13,E565&lt;TIME(18,0,0)),"12H Day", IF(AND(L565&lt;10,E565&gt;=TIME(18,0,0)),"Couple Night", "Couple Day")))))</f>
        <v>12H Night</v>
      </c>
      <c r="P565" s="0" t="n">
        <f aca="false">WEEKDAY(D565,2)</f>
        <v>5</v>
      </c>
      <c r="Q565" s="0" t="n">
        <f aca="false">MONTH(D565)</f>
        <v>11</v>
      </c>
      <c r="R565" s="0" t="str">
        <f aca="false">"Q"&amp;ROUNDUP(MONTH(D565)/3,0)</f>
        <v>Q4</v>
      </c>
    </row>
    <row r="566" customFormat="false" ht="115.65" hidden="false" customHeight="false" outlineLevel="0" collapsed="false">
      <c r="A566" s="7" t="s">
        <v>1610</v>
      </c>
      <c r="B566" s="7" t="s">
        <v>1611</v>
      </c>
      <c r="C566" s="13" t="s">
        <v>1467</v>
      </c>
      <c r="D566" s="11" t="n">
        <v>45983</v>
      </c>
      <c r="E566" s="12" t="n">
        <v>0.375</v>
      </c>
      <c r="F566" s="11" t="n">
        <v>45983</v>
      </c>
      <c r="G566" s="12" t="n">
        <v>0.75</v>
      </c>
      <c r="H566" s="10" t="n">
        <v>45982.7220780093</v>
      </c>
      <c r="I566" s="7" t="n">
        <v>2000</v>
      </c>
      <c r="J566" s="0" t="n">
        <f aca="false">IF(AND(D566&gt;=DATE(YEAR(D566),3,15),D566&lt;=DATE(YEAR(D566),6,10)),1,0)</f>
        <v>0</v>
      </c>
      <c r="K566" s="0" t="e">
        <f aca="false">VLOOKUP(D566,Festival_List!$A$2:$B$100,2,0)</f>
        <v>#N/A</v>
      </c>
      <c r="L566" s="0" t="n">
        <f aca="false">ROUND(((F566+G566)-(D566+E566))*24,0)</f>
        <v>9</v>
      </c>
      <c r="M566" s="0" t="n">
        <f aca="false">IF(OR(WEEKDAY(D566)=1,WEEKDAY(D566)=7),1,0)</f>
        <v>1</v>
      </c>
      <c r="N566" s="0" t="str">
        <f aca="false">IF(AND(MONTH(D566)&gt;=3,MONTH(D566)&lt;=6),"Summer",IF(AND(MONTH(D566)&gt;=7,MONTH(D566)&lt;=9),"Monsoon","Winter"))</f>
        <v>Winter</v>
      </c>
      <c r="O566" s="0" t="str">
        <f aca="false">IF(AND(L566&gt;=22,L566&lt;=25,E566&gt;=TIME(18,0,0)),"24H Night", IF(AND(L566&gt;=22,L566&lt;=25,E566&lt;TIME(18,0,0)),"24H Day", IF(AND(L566&gt;=11,L566&lt;=13,E566&gt;=TIME(18,0,0)),"12H Night", IF(AND(L566&gt;=11,L566&lt;=13,E566&lt;TIME(18,0,0)),"12H Day", IF(AND(L566&lt;10,E566&gt;=TIME(18,0,0)),"Couple Night", "Couple Day")))))</f>
        <v>Couple Day</v>
      </c>
      <c r="P566" s="0" t="n">
        <f aca="false">WEEKDAY(D566,2)</f>
        <v>6</v>
      </c>
      <c r="Q566" s="0" t="n">
        <f aca="false">MONTH(D566)</f>
        <v>11</v>
      </c>
      <c r="R566" s="0" t="str">
        <f aca="false">"Q"&amp;ROUNDUP(MONTH(D566)/3,0)</f>
        <v>Q4</v>
      </c>
    </row>
    <row r="567" customFormat="false" ht="115.65" hidden="false" customHeight="false" outlineLevel="0" collapsed="false">
      <c r="A567" s="7" t="s">
        <v>1612</v>
      </c>
      <c r="B567" s="7" t="s">
        <v>1613</v>
      </c>
      <c r="C567" s="13" t="s">
        <v>1614</v>
      </c>
      <c r="D567" s="11" t="n">
        <v>45983</v>
      </c>
      <c r="E567" s="12" t="n">
        <v>0.791666666700625</v>
      </c>
      <c r="F567" s="11" t="n">
        <v>45984</v>
      </c>
      <c r="G567" s="12" t="n">
        <v>0.75</v>
      </c>
      <c r="H567" s="10" t="n">
        <v>45981.7334295139</v>
      </c>
      <c r="I567" s="7" t="n">
        <v>5500</v>
      </c>
      <c r="J567" s="0" t="n">
        <f aca="false">IF(AND(D567&gt;=DATE(YEAR(D567),3,15),D567&lt;=DATE(YEAR(D567),6,10)),1,0)</f>
        <v>0</v>
      </c>
      <c r="K567" s="0" t="e">
        <f aca="false">VLOOKUP(D567,Festival_List!$A$2:$B$100,2,0)</f>
        <v>#N/A</v>
      </c>
      <c r="L567" s="0" t="n">
        <f aca="false">ROUND(((F567+G567)-(D567+E567))*24,0)</f>
        <v>23</v>
      </c>
      <c r="M567" s="0" t="n">
        <f aca="false">IF(OR(WEEKDAY(D567)=1,WEEKDAY(D567)=7),1,0)</f>
        <v>1</v>
      </c>
      <c r="N567" s="0" t="str">
        <f aca="false">IF(AND(MONTH(D567)&gt;=3,MONTH(D567)&lt;=6),"Summer",IF(AND(MONTH(D567)&gt;=7,MONTH(D567)&lt;=9),"Monsoon","Winter"))</f>
        <v>Winter</v>
      </c>
      <c r="O567" s="0" t="str">
        <f aca="false">IF(AND(L567&gt;=22,L567&lt;=25,E567&gt;=TIME(18,0,0)),"24H Night", IF(AND(L567&gt;=22,L567&lt;=25,E567&lt;TIME(18,0,0)),"24H Day", IF(AND(L567&gt;=11,L567&lt;=13,E567&gt;=TIME(18,0,0)),"12H Night", IF(AND(L567&gt;=11,L567&lt;=13,E567&lt;TIME(18,0,0)),"12H Day", IF(AND(L567&lt;10,E567&gt;=TIME(18,0,0)),"Couple Night", "Couple Day")))))</f>
        <v>24H Night</v>
      </c>
      <c r="P567" s="0" t="n">
        <f aca="false">WEEKDAY(D567,2)</f>
        <v>6</v>
      </c>
      <c r="Q567" s="0" t="n">
        <f aca="false">MONTH(D567)</f>
        <v>11</v>
      </c>
      <c r="R567" s="0" t="str">
        <f aca="false">"Q"&amp;ROUNDUP(MONTH(D567)/3,0)</f>
        <v>Q4</v>
      </c>
    </row>
    <row r="568" customFormat="false" ht="77.6" hidden="false" customHeight="false" outlineLevel="0" collapsed="false">
      <c r="A568" s="7" t="s">
        <v>1615</v>
      </c>
      <c r="B568" s="7" t="s">
        <v>1616</v>
      </c>
      <c r="C568" s="13" t="s">
        <v>1617</v>
      </c>
      <c r="D568" s="11" t="n">
        <v>45986</v>
      </c>
      <c r="E568" s="12" t="n">
        <v>0.541666666700625</v>
      </c>
      <c r="F568" s="11" t="n">
        <v>45986</v>
      </c>
      <c r="G568" s="12" t="n">
        <v>0.75</v>
      </c>
      <c r="H568" s="10" t="n">
        <v>45986.6651666667</v>
      </c>
      <c r="I568" s="7" t="n">
        <v>1500</v>
      </c>
      <c r="J568" s="0" t="n">
        <f aca="false">IF(AND(D568&gt;=DATE(YEAR(D568),3,15),D568&lt;=DATE(YEAR(D568),6,10)),1,0)</f>
        <v>0</v>
      </c>
      <c r="K568" s="0" t="e">
        <f aca="false">VLOOKUP(D568,Festival_List!$A$2:$B$100,2,0)</f>
        <v>#N/A</v>
      </c>
      <c r="L568" s="0" t="n">
        <f aca="false">ROUND(((F568+G568)-(D568+E568))*24,0)</f>
        <v>5</v>
      </c>
      <c r="M568" s="0" t="n">
        <f aca="false">IF(OR(WEEKDAY(D568)=1,WEEKDAY(D568)=7),1,0)</f>
        <v>0</v>
      </c>
      <c r="N568" s="0" t="str">
        <f aca="false">IF(AND(MONTH(D568)&gt;=3,MONTH(D568)&lt;=6),"Summer",IF(AND(MONTH(D568)&gt;=7,MONTH(D568)&lt;=9),"Monsoon","Winter"))</f>
        <v>Winter</v>
      </c>
      <c r="O568" s="0" t="str">
        <f aca="false">IF(AND(L568&gt;=22,L568&lt;=25,E568&gt;=TIME(18,0,0)),"24H Night", IF(AND(L568&gt;=22,L568&lt;=25,E568&lt;TIME(18,0,0)),"24H Day", IF(AND(L568&gt;=11,L568&lt;=13,E568&gt;=TIME(18,0,0)),"12H Night", IF(AND(L568&gt;=11,L568&lt;=13,E568&lt;TIME(18,0,0)),"12H Day", IF(AND(L568&lt;10,E568&gt;=TIME(18,0,0)),"Couple Night", "Couple Day")))))</f>
        <v>Couple Day</v>
      </c>
      <c r="P568" s="0" t="n">
        <f aca="false">WEEKDAY(D568,2)</f>
        <v>2</v>
      </c>
      <c r="Q568" s="0" t="n">
        <f aca="false">MONTH(D568)</f>
        <v>11</v>
      </c>
      <c r="R568" s="0" t="str">
        <f aca="false">"Q"&amp;ROUNDUP(MONTH(D568)/3,0)</f>
        <v>Q4</v>
      </c>
    </row>
    <row r="569" customFormat="false" ht="141" hidden="false" customHeight="false" outlineLevel="0" collapsed="false">
      <c r="A569" s="7" t="s">
        <v>1618</v>
      </c>
      <c r="B569" s="7" t="s">
        <v>1544</v>
      </c>
      <c r="C569" s="13" t="s">
        <v>1619</v>
      </c>
      <c r="D569" s="11" t="n">
        <v>45987</v>
      </c>
      <c r="E569" s="12" t="n">
        <v>0.375</v>
      </c>
      <c r="F569" s="11" t="n">
        <v>45987</v>
      </c>
      <c r="G569" s="12" t="n">
        <v>0.75</v>
      </c>
      <c r="H569" s="10" t="n">
        <v>45986.639974537</v>
      </c>
      <c r="I569" s="7" t="n">
        <v>1500</v>
      </c>
      <c r="J569" s="0" t="n">
        <f aca="false">IF(AND(D569&gt;=DATE(YEAR(D569),3,15),D569&lt;=DATE(YEAR(D569),6,10)),1,0)</f>
        <v>0</v>
      </c>
      <c r="K569" s="0" t="e">
        <f aca="false">VLOOKUP(D569,Festival_List!$A$2:$B$100,2,0)</f>
        <v>#N/A</v>
      </c>
      <c r="L569" s="0" t="n">
        <f aca="false">ROUND(((F569+G569)-(D569+E569))*24,0)</f>
        <v>9</v>
      </c>
      <c r="M569" s="0" t="n">
        <f aca="false">IF(OR(WEEKDAY(D569)=1,WEEKDAY(D569)=7),1,0)</f>
        <v>0</v>
      </c>
      <c r="N569" s="0" t="str">
        <f aca="false">IF(AND(MONTH(D569)&gt;=3,MONTH(D569)&lt;=6),"Summer",IF(AND(MONTH(D569)&gt;=7,MONTH(D569)&lt;=9),"Monsoon","Winter"))</f>
        <v>Winter</v>
      </c>
      <c r="O569" s="0" t="str">
        <f aca="false">IF(AND(L569&gt;=22,L569&lt;=25,E569&gt;=TIME(18,0,0)),"24H Night", IF(AND(L569&gt;=22,L569&lt;=25,E569&lt;TIME(18,0,0)),"24H Day", IF(AND(L569&gt;=11,L569&lt;=13,E569&gt;=TIME(18,0,0)),"12H Night", IF(AND(L569&gt;=11,L569&lt;=13,E569&lt;TIME(18,0,0)),"12H Day", IF(AND(L569&lt;10,E569&gt;=TIME(18,0,0)),"Couple Night", "Couple Day")))))</f>
        <v>Couple Day</v>
      </c>
      <c r="P569" s="0" t="n">
        <f aca="false">WEEKDAY(D569,2)</f>
        <v>3</v>
      </c>
      <c r="Q569" s="0" t="n">
        <f aca="false">MONTH(D569)</f>
        <v>11</v>
      </c>
      <c r="R569" s="0" t="str">
        <f aca="false">"Q"&amp;ROUNDUP(MONTH(D569)/3,0)</f>
        <v>Q4</v>
      </c>
    </row>
    <row r="570" customFormat="false" ht="115.65" hidden="false" customHeight="false" outlineLevel="0" collapsed="false">
      <c r="A570" s="7" t="s">
        <v>1620</v>
      </c>
      <c r="B570" s="7" t="s">
        <v>1621</v>
      </c>
      <c r="C570" s="13" t="s">
        <v>1622</v>
      </c>
      <c r="D570" s="11" t="n">
        <v>45988</v>
      </c>
      <c r="E570" s="12" t="n">
        <v>0.375</v>
      </c>
      <c r="F570" s="11" t="n">
        <v>45988</v>
      </c>
      <c r="G570" s="12" t="n">
        <v>0.708333333299375</v>
      </c>
      <c r="H570" s="10" t="n">
        <v>45987.8819228009</v>
      </c>
      <c r="I570" s="7" t="n">
        <v>1500</v>
      </c>
      <c r="J570" s="0" t="n">
        <f aca="false">IF(AND(D570&gt;=DATE(YEAR(D570),3,15),D570&lt;=DATE(YEAR(D570),6,10)),1,0)</f>
        <v>0</v>
      </c>
      <c r="K570" s="0" t="e">
        <f aca="false">VLOOKUP(D570,Festival_List!$A$2:$B$100,2,0)</f>
        <v>#N/A</v>
      </c>
      <c r="L570" s="0" t="n">
        <f aca="false">ROUND(((F570+G570)-(D570+E570))*24,0)</f>
        <v>8</v>
      </c>
      <c r="M570" s="0" t="n">
        <f aca="false">IF(OR(WEEKDAY(D570)=1,WEEKDAY(D570)=7),1,0)</f>
        <v>0</v>
      </c>
      <c r="N570" s="0" t="str">
        <f aca="false">IF(AND(MONTH(D570)&gt;=3,MONTH(D570)&lt;=6),"Summer",IF(AND(MONTH(D570)&gt;=7,MONTH(D570)&lt;=9),"Monsoon","Winter"))</f>
        <v>Winter</v>
      </c>
      <c r="O570" s="0" t="str">
        <f aca="false">IF(AND(L570&gt;=22,L570&lt;=25,E570&gt;=TIME(18,0,0)),"24H Night", IF(AND(L570&gt;=22,L570&lt;=25,E570&lt;TIME(18,0,0)),"24H Day", IF(AND(L570&gt;=11,L570&lt;=13,E570&gt;=TIME(18,0,0)),"12H Night", IF(AND(L570&gt;=11,L570&lt;=13,E570&lt;TIME(18,0,0)),"12H Day", IF(AND(L570&lt;10,E570&gt;=TIME(18,0,0)),"Couple Night", "Couple Day")))))</f>
        <v>Couple Day</v>
      </c>
      <c r="P570" s="0" t="n">
        <f aca="false">WEEKDAY(D570,2)</f>
        <v>4</v>
      </c>
      <c r="Q570" s="0" t="n">
        <f aca="false">MONTH(D570)</f>
        <v>11</v>
      </c>
      <c r="R570" s="0" t="str">
        <f aca="false">"Q"&amp;ROUNDUP(MONTH(D570)/3,0)</f>
        <v>Q4</v>
      </c>
    </row>
    <row r="571" customFormat="false" ht="115.65" hidden="false" customHeight="false" outlineLevel="0" collapsed="false">
      <c r="A571" s="7" t="s">
        <v>1623</v>
      </c>
      <c r="B571" s="7" t="s">
        <v>1624</v>
      </c>
      <c r="C571" s="13" t="s">
        <v>1625</v>
      </c>
      <c r="D571" s="11" t="n">
        <v>45990</v>
      </c>
      <c r="E571" s="12" t="n">
        <v>0.791666666700625</v>
      </c>
      <c r="F571" s="11" t="n">
        <v>45991</v>
      </c>
      <c r="G571" s="12" t="n">
        <v>0.333333333299375</v>
      </c>
      <c r="H571" s="10" t="n">
        <v>45987.9727175926</v>
      </c>
      <c r="I571" s="7" t="n">
        <v>3000</v>
      </c>
      <c r="J571" s="0" t="n">
        <f aca="false">IF(AND(D571&gt;=DATE(YEAR(D571),3,15),D571&lt;=DATE(YEAR(D571),6,10)),1,0)</f>
        <v>0</v>
      </c>
      <c r="K571" s="0" t="e">
        <f aca="false">VLOOKUP(D571,Festival_List!$A$2:$B$100,2,0)</f>
        <v>#N/A</v>
      </c>
      <c r="L571" s="0" t="n">
        <f aca="false">ROUND(((F571+G571)-(D571+E571))*24,0)</f>
        <v>13</v>
      </c>
      <c r="M571" s="0" t="n">
        <f aca="false">IF(OR(WEEKDAY(D571)=1,WEEKDAY(D571)=7),1,0)</f>
        <v>1</v>
      </c>
      <c r="N571" s="0" t="str">
        <f aca="false">IF(AND(MONTH(D571)&gt;=3,MONTH(D571)&lt;=6),"Summer",IF(AND(MONTH(D571)&gt;=7,MONTH(D571)&lt;=9),"Monsoon","Winter"))</f>
        <v>Winter</v>
      </c>
      <c r="O571" s="0" t="str">
        <f aca="false">IF(AND(L571&gt;=22,L571&lt;=25,E571&gt;=TIME(18,0,0)),"24H Night", IF(AND(L571&gt;=22,L571&lt;=25,E571&lt;TIME(18,0,0)),"24H Day", IF(AND(L571&gt;=11,L571&lt;=13,E571&gt;=TIME(18,0,0)),"12H Night", IF(AND(L571&gt;=11,L571&lt;=13,E571&lt;TIME(18,0,0)),"12H Day", IF(AND(L571&lt;10,E571&gt;=TIME(18,0,0)),"Couple Night", "Couple Day")))))</f>
        <v>12H Night</v>
      </c>
      <c r="P571" s="0" t="n">
        <f aca="false">WEEKDAY(D571,2)</f>
        <v>6</v>
      </c>
      <c r="Q571" s="0" t="n">
        <f aca="false">MONTH(D571)</f>
        <v>11</v>
      </c>
      <c r="R571" s="0" t="str">
        <f aca="false">"Q"&amp;ROUNDUP(MONTH(D571)/3,0)</f>
        <v>Q4</v>
      </c>
    </row>
    <row r="572" customFormat="false" ht="115.65" hidden="false" customHeight="false" outlineLevel="0" collapsed="false">
      <c r="A572" s="7" t="s">
        <v>1626</v>
      </c>
      <c r="B572" s="7" t="s">
        <v>1627</v>
      </c>
      <c r="C572" s="13" t="s">
        <v>1628</v>
      </c>
      <c r="D572" s="11" t="n">
        <v>45991</v>
      </c>
      <c r="E572" s="12" t="n">
        <v>0.791666666700625</v>
      </c>
      <c r="F572" s="11" t="n">
        <v>45992</v>
      </c>
      <c r="G572" s="12" t="n">
        <v>0.333333333299375</v>
      </c>
      <c r="H572" s="10" t="n">
        <v>45988.9119729167</v>
      </c>
      <c r="I572" s="7" t="n">
        <v>2500</v>
      </c>
      <c r="J572" s="0" t="n">
        <f aca="false">IF(AND(D572&gt;=DATE(YEAR(D572),3,15),D572&lt;=DATE(YEAR(D572),6,10)),1,0)</f>
        <v>0</v>
      </c>
      <c r="K572" s="0" t="e">
        <f aca="false">VLOOKUP(D572,Festival_List!$A$2:$B$100,2,0)</f>
        <v>#N/A</v>
      </c>
      <c r="L572" s="0" t="n">
        <f aca="false">ROUND(((F572+G572)-(D572+E572))*24,0)</f>
        <v>13</v>
      </c>
      <c r="M572" s="0" t="n">
        <f aca="false">IF(OR(WEEKDAY(D572)=1,WEEKDAY(D572)=7),1,0)</f>
        <v>1</v>
      </c>
      <c r="N572" s="0" t="str">
        <f aca="false">IF(AND(MONTH(D572)&gt;=3,MONTH(D572)&lt;=6),"Summer",IF(AND(MONTH(D572)&gt;=7,MONTH(D572)&lt;=9),"Monsoon","Winter"))</f>
        <v>Winter</v>
      </c>
      <c r="O572" s="0" t="str">
        <f aca="false">IF(AND(L572&gt;=22,L572&lt;=25,E572&gt;=TIME(18,0,0)),"24H Night", IF(AND(L572&gt;=22,L572&lt;=25,E572&lt;TIME(18,0,0)),"24H Day", IF(AND(L572&gt;=11,L572&lt;=13,E572&gt;=TIME(18,0,0)),"12H Night", IF(AND(L572&gt;=11,L572&lt;=13,E572&lt;TIME(18,0,0)),"12H Day", IF(AND(L572&lt;10,E572&gt;=TIME(18,0,0)),"Couple Night", "Couple Day")))))</f>
        <v>12H Night</v>
      </c>
      <c r="P572" s="0" t="n">
        <f aca="false">WEEKDAY(D572,2)</f>
        <v>7</v>
      </c>
      <c r="Q572" s="0" t="n">
        <f aca="false">MONTH(D572)</f>
        <v>11</v>
      </c>
      <c r="R572" s="0" t="str">
        <f aca="false">"Q"&amp;ROUNDUP(MONTH(D572)/3,0)</f>
        <v>Q4</v>
      </c>
    </row>
    <row r="573" customFormat="false" ht="115.65" hidden="false" customHeight="false" outlineLevel="0" collapsed="false">
      <c r="A573" s="7" t="s">
        <v>1629</v>
      </c>
      <c r="B573" s="7" t="s">
        <v>1630</v>
      </c>
      <c r="C573" s="13" t="s">
        <v>1631</v>
      </c>
      <c r="D573" s="11" t="n">
        <v>45994</v>
      </c>
      <c r="E573" s="12" t="n">
        <v>0.4375</v>
      </c>
      <c r="F573" s="11" t="n">
        <v>45994</v>
      </c>
      <c r="G573" s="12" t="n">
        <v>0.75</v>
      </c>
      <c r="H573" s="10" t="n">
        <v>45994.4215363426</v>
      </c>
      <c r="I573" s="7" t="n">
        <v>1500</v>
      </c>
      <c r="J573" s="0" t="n">
        <f aca="false">IF(AND(D573&gt;=DATE(YEAR(D573),3,15),D573&lt;=DATE(YEAR(D573),6,10)),1,0)</f>
        <v>0</v>
      </c>
      <c r="K573" s="0" t="e">
        <f aca="false">VLOOKUP(D573,Festival_List!$A$2:$B$100,2,0)</f>
        <v>#N/A</v>
      </c>
      <c r="L573" s="0" t="n">
        <f aca="false">ROUND(((F573+G573)-(D573+E573))*24,0)</f>
        <v>8</v>
      </c>
      <c r="M573" s="0" t="n">
        <f aca="false">IF(OR(WEEKDAY(D573)=1,WEEKDAY(D573)=7),1,0)</f>
        <v>0</v>
      </c>
      <c r="N573" s="0" t="str">
        <f aca="false">IF(AND(MONTH(D573)&gt;=3,MONTH(D573)&lt;=6),"Summer",IF(AND(MONTH(D573)&gt;=7,MONTH(D573)&lt;=9),"Monsoon","Winter"))</f>
        <v>Winter</v>
      </c>
      <c r="O573" s="0" t="str">
        <f aca="false">IF(AND(L573&gt;=22,L573&lt;=25,E573&gt;=TIME(18,0,0)),"24H Night", IF(AND(L573&gt;=22,L573&lt;=25,E573&lt;TIME(18,0,0)),"24H Day", IF(AND(L573&gt;=11,L573&lt;=13,E573&gt;=TIME(18,0,0)),"12H Night", IF(AND(L573&gt;=11,L573&lt;=13,E573&lt;TIME(18,0,0)),"12H Day", IF(AND(L573&lt;10,E573&gt;=TIME(18,0,0)),"Couple Night", "Couple Day")))))</f>
        <v>Couple Day</v>
      </c>
      <c r="P573" s="0" t="n">
        <f aca="false">WEEKDAY(D573,2)</f>
        <v>3</v>
      </c>
      <c r="Q573" s="0" t="n">
        <f aca="false">MONTH(D573)</f>
        <v>12</v>
      </c>
      <c r="R573" s="0" t="str">
        <f aca="false">"Q"&amp;ROUNDUP(MONTH(D573)/3,0)</f>
        <v>Q4</v>
      </c>
    </row>
    <row r="574" customFormat="false" ht="141" hidden="false" customHeight="false" outlineLevel="0" collapsed="false">
      <c r="A574" s="7" t="s">
        <v>1632</v>
      </c>
      <c r="B574" s="7" t="s">
        <v>1633</v>
      </c>
      <c r="C574" s="13" t="s">
        <v>1634</v>
      </c>
      <c r="D574" s="11" t="n">
        <v>45996</v>
      </c>
      <c r="E574" s="12" t="n">
        <v>0.395833333299375</v>
      </c>
      <c r="F574" s="11" t="n">
        <v>45996</v>
      </c>
      <c r="G574" s="12" t="n">
        <v>0.541666666700625</v>
      </c>
      <c r="H574" s="10" t="n">
        <v>45996.3756219907</v>
      </c>
      <c r="I574" s="7" t="n">
        <v>1000</v>
      </c>
      <c r="J574" s="0" t="n">
        <f aca="false">IF(AND(D574&gt;=DATE(YEAR(D574),3,15),D574&lt;=DATE(YEAR(D574),6,10)),1,0)</f>
        <v>0</v>
      </c>
      <c r="K574" s="0" t="e">
        <f aca="false">VLOOKUP(D574,Festival_List!$A$2:$B$100,2,0)</f>
        <v>#N/A</v>
      </c>
      <c r="L574" s="0" t="n">
        <f aca="false">ROUND(((F574+G574)-(D574+E574))*24,0)</f>
        <v>4</v>
      </c>
      <c r="M574" s="0" t="n">
        <f aca="false">IF(OR(WEEKDAY(D574)=1,WEEKDAY(D574)=7),1,0)</f>
        <v>0</v>
      </c>
      <c r="N574" s="0" t="str">
        <f aca="false">IF(AND(MONTH(D574)&gt;=3,MONTH(D574)&lt;=6),"Summer",IF(AND(MONTH(D574)&gt;=7,MONTH(D574)&lt;=9),"Monsoon","Winter"))</f>
        <v>Winter</v>
      </c>
      <c r="O574" s="0" t="str">
        <f aca="false">IF(AND(L574&gt;=22,L574&lt;=25,E574&gt;=TIME(18,0,0)),"24H Night", IF(AND(L574&gt;=22,L574&lt;=25,E574&lt;TIME(18,0,0)),"24H Day", IF(AND(L574&gt;=11,L574&lt;=13,E574&gt;=TIME(18,0,0)),"12H Night", IF(AND(L574&gt;=11,L574&lt;=13,E574&lt;TIME(18,0,0)),"12H Day", IF(AND(L574&lt;10,E574&gt;=TIME(18,0,0)),"Couple Night", "Couple Day")))))</f>
        <v>Couple Day</v>
      </c>
      <c r="P574" s="0" t="n">
        <f aca="false">WEEKDAY(D574,2)</f>
        <v>5</v>
      </c>
      <c r="Q574" s="0" t="n">
        <f aca="false">MONTH(D574)</f>
        <v>12</v>
      </c>
      <c r="R574" s="0" t="str">
        <f aca="false">"Q"&amp;ROUNDUP(MONTH(D574)/3,0)</f>
        <v>Q4</v>
      </c>
    </row>
    <row r="575" customFormat="false" ht="90.25" hidden="false" customHeight="false" outlineLevel="0" collapsed="false">
      <c r="A575" s="7" t="s">
        <v>1635</v>
      </c>
      <c r="B575" s="7" t="s">
        <v>1636</v>
      </c>
      <c r="C575" s="13" t="s">
        <v>1637</v>
      </c>
      <c r="D575" s="11" t="n">
        <v>45997</v>
      </c>
      <c r="E575" s="12" t="n">
        <v>0.375</v>
      </c>
      <c r="F575" s="11" t="n">
        <v>45997</v>
      </c>
      <c r="G575" s="12" t="n">
        <v>0.75</v>
      </c>
      <c r="H575" s="10" t="n">
        <v>45996.6590592593</v>
      </c>
      <c r="I575" s="7" t="n">
        <v>1500</v>
      </c>
      <c r="J575" s="0" t="n">
        <f aca="false">IF(AND(D575&gt;=DATE(YEAR(D575),3,15),D575&lt;=DATE(YEAR(D575),6,10)),1,0)</f>
        <v>0</v>
      </c>
      <c r="K575" s="0" t="e">
        <f aca="false">VLOOKUP(D575,Festival_List!$A$2:$B$100,2,0)</f>
        <v>#N/A</v>
      </c>
      <c r="L575" s="0" t="n">
        <f aca="false">ROUND(((F575+G575)-(D575+E575))*24,0)</f>
        <v>9</v>
      </c>
      <c r="M575" s="0" t="n">
        <f aca="false">IF(OR(WEEKDAY(D575)=1,WEEKDAY(D575)=7),1,0)</f>
        <v>1</v>
      </c>
      <c r="N575" s="0" t="str">
        <f aca="false">IF(AND(MONTH(D575)&gt;=3,MONTH(D575)&lt;=6),"Summer",IF(AND(MONTH(D575)&gt;=7,MONTH(D575)&lt;=9),"Monsoon","Winter"))</f>
        <v>Winter</v>
      </c>
      <c r="O575" s="0" t="str">
        <f aca="false">IF(AND(L575&gt;=22,L575&lt;=25,E575&gt;=TIME(18,0,0)),"24H Night", IF(AND(L575&gt;=22,L575&lt;=25,E575&lt;TIME(18,0,0)),"24H Day", IF(AND(L575&gt;=11,L575&lt;=13,E575&gt;=TIME(18,0,0)),"12H Night", IF(AND(L575&gt;=11,L575&lt;=13,E575&lt;TIME(18,0,0)),"12H Day", IF(AND(L575&lt;10,E575&gt;=TIME(18,0,0)),"Couple Night", "Couple Day")))))</f>
        <v>Couple Day</v>
      </c>
      <c r="P575" s="0" t="n">
        <f aca="false">WEEKDAY(D575,2)</f>
        <v>6</v>
      </c>
      <c r="Q575" s="0" t="n">
        <f aca="false">MONTH(D575)</f>
        <v>12</v>
      </c>
      <c r="R575" s="0" t="str">
        <f aca="false">"Q"&amp;ROUNDUP(MONTH(D575)/3,0)</f>
        <v>Q4</v>
      </c>
    </row>
    <row r="576" customFormat="false" ht="115.65" hidden="false" customHeight="false" outlineLevel="0" collapsed="false">
      <c r="A576" s="7" t="s">
        <v>1638</v>
      </c>
      <c r="B576" s="7" t="s">
        <v>1639</v>
      </c>
      <c r="C576" s="13" t="s">
        <v>1640</v>
      </c>
      <c r="D576" s="11" t="n">
        <v>45998</v>
      </c>
      <c r="E576" s="12" t="n">
        <v>0.375</v>
      </c>
      <c r="F576" s="11" t="n">
        <v>45998</v>
      </c>
      <c r="G576" s="12" t="n">
        <v>0.791666666700625</v>
      </c>
      <c r="H576" s="10" t="n">
        <v>45987.9620284722</v>
      </c>
      <c r="I576" s="7" t="n">
        <v>4500</v>
      </c>
      <c r="J576" s="0" t="n">
        <f aca="false">IF(AND(D576&gt;=DATE(YEAR(D576),3,15),D576&lt;=DATE(YEAR(D576),6,10)),1,0)</f>
        <v>0</v>
      </c>
      <c r="K576" s="0" t="e">
        <f aca="false">VLOOKUP(D576,Festival_List!$A$2:$B$100,2,0)</f>
        <v>#N/A</v>
      </c>
      <c r="L576" s="0" t="n">
        <f aca="false">ROUND(((F576+G576)-(D576+E576))*24,0)</f>
        <v>10</v>
      </c>
      <c r="M576" s="0" t="n">
        <f aca="false">IF(OR(WEEKDAY(D576)=1,WEEKDAY(D576)=7),1,0)</f>
        <v>1</v>
      </c>
      <c r="N576" s="0" t="str">
        <f aca="false">IF(AND(MONTH(D576)&gt;=3,MONTH(D576)&lt;=6),"Summer",IF(AND(MONTH(D576)&gt;=7,MONTH(D576)&lt;=9),"Monsoon","Winter"))</f>
        <v>Winter</v>
      </c>
      <c r="O576" s="0" t="str">
        <f aca="false">IF(AND(L576&gt;=22,L576&lt;=25,E576&gt;=TIME(18,0,0)),"24H Night", IF(AND(L576&gt;=22,L576&lt;=25,E576&lt;TIME(18,0,0)),"24H Day", IF(AND(L576&gt;=11,L576&lt;=13,E576&gt;=TIME(18,0,0)),"12H Night", IF(AND(L576&gt;=11,L576&lt;=13,E576&lt;TIME(18,0,0)),"12H Day", IF(AND(L576&lt;10,E576&gt;=TIME(18,0,0)),"Couple Night", "Couple Day")))))</f>
        <v>Couple Day</v>
      </c>
      <c r="P576" s="0" t="n">
        <f aca="false">WEEKDAY(D576,2)</f>
        <v>7</v>
      </c>
      <c r="Q576" s="0" t="n">
        <f aca="false">MONTH(D576)</f>
        <v>12</v>
      </c>
      <c r="R576" s="0" t="str">
        <f aca="false">"Q"&amp;ROUNDUP(MONTH(D576)/3,0)</f>
        <v>Q4</v>
      </c>
    </row>
    <row r="577" customFormat="false" ht="115.65" hidden="false" customHeight="false" outlineLevel="0" collapsed="false">
      <c r="A577" s="7" t="s">
        <v>1641</v>
      </c>
      <c r="B577" s="7" t="s">
        <v>1642</v>
      </c>
      <c r="C577" s="13" t="s">
        <v>1643</v>
      </c>
      <c r="D577" s="11" t="n">
        <v>45999</v>
      </c>
      <c r="E577" s="12" t="n">
        <v>0.375</v>
      </c>
      <c r="F577" s="11" t="n">
        <v>45999</v>
      </c>
      <c r="G577" s="12" t="n">
        <v>0.75</v>
      </c>
      <c r="H577" s="10" t="n">
        <v>45998.7699493056</v>
      </c>
      <c r="I577" s="7" t="n">
        <v>1500</v>
      </c>
      <c r="J577" s="0" t="n">
        <f aca="false">IF(AND(D577&gt;=DATE(YEAR(D577),3,15),D577&lt;=DATE(YEAR(D577),6,10)),1,0)</f>
        <v>0</v>
      </c>
      <c r="K577" s="0" t="e">
        <f aca="false">VLOOKUP(D577,Festival_List!$A$2:$B$100,2,0)</f>
        <v>#N/A</v>
      </c>
      <c r="L577" s="0" t="n">
        <f aca="false">ROUND(((F577+G577)-(D577+E577))*24,0)</f>
        <v>9</v>
      </c>
      <c r="M577" s="0" t="n">
        <f aca="false">IF(OR(WEEKDAY(D577)=1,WEEKDAY(D577)=7),1,0)</f>
        <v>0</v>
      </c>
      <c r="N577" s="0" t="str">
        <f aca="false">IF(AND(MONTH(D577)&gt;=3,MONTH(D577)&lt;=6),"Summer",IF(AND(MONTH(D577)&gt;=7,MONTH(D577)&lt;=9),"Monsoon","Winter"))</f>
        <v>Winter</v>
      </c>
      <c r="O577" s="0" t="str">
        <f aca="false">IF(AND(L577&gt;=22,L577&lt;=25,E577&gt;=TIME(18,0,0)),"24H Night", IF(AND(L577&gt;=22,L577&lt;=25,E577&lt;TIME(18,0,0)),"24H Day", IF(AND(L577&gt;=11,L577&lt;=13,E577&gt;=TIME(18,0,0)),"12H Night", IF(AND(L577&gt;=11,L577&lt;=13,E577&lt;TIME(18,0,0)),"12H Day", IF(AND(L577&lt;10,E577&gt;=TIME(18,0,0)),"Couple Night", "Couple Day")))))</f>
        <v>Couple Day</v>
      </c>
      <c r="P577" s="0" t="n">
        <f aca="false">WEEKDAY(D577,2)</f>
        <v>1</v>
      </c>
      <c r="Q577" s="0" t="n">
        <f aca="false">MONTH(D577)</f>
        <v>12</v>
      </c>
      <c r="R577" s="0" t="str">
        <f aca="false">"Q"&amp;ROUNDUP(MONTH(D577)/3,0)</f>
        <v>Q4</v>
      </c>
    </row>
    <row r="578" customFormat="false" ht="115.65" hidden="false" customHeight="false" outlineLevel="0" collapsed="false">
      <c r="A578" s="7" t="s">
        <v>1644</v>
      </c>
      <c r="B578" s="7" t="s">
        <v>1645</v>
      </c>
      <c r="C578" s="13" t="s">
        <v>1646</v>
      </c>
      <c r="D578" s="11" t="n">
        <v>46000</v>
      </c>
      <c r="E578" s="12" t="n">
        <v>0.791666666700625</v>
      </c>
      <c r="F578" s="11" t="n">
        <v>46001</v>
      </c>
      <c r="G578" s="12" t="n">
        <v>0.75</v>
      </c>
      <c r="H578" s="10" t="n">
        <v>45999.4714637731</v>
      </c>
      <c r="I578" s="7" t="n">
        <v>3500</v>
      </c>
      <c r="J578" s="0" t="n">
        <f aca="false">IF(AND(D578&gt;=DATE(YEAR(D578),3,15),D578&lt;=DATE(YEAR(D578),6,10)),1,0)</f>
        <v>0</v>
      </c>
      <c r="K578" s="0" t="e">
        <f aca="false">VLOOKUP(D578,Festival_List!$A$2:$B$100,2,0)</f>
        <v>#N/A</v>
      </c>
      <c r="L578" s="0" t="n">
        <f aca="false">ROUND(((F578+G578)-(D578+E578))*24,0)</f>
        <v>23</v>
      </c>
      <c r="M578" s="0" t="n">
        <f aca="false">IF(OR(WEEKDAY(D578)=1,WEEKDAY(D578)=7),1,0)</f>
        <v>0</v>
      </c>
      <c r="N578" s="0" t="str">
        <f aca="false">IF(AND(MONTH(D578)&gt;=3,MONTH(D578)&lt;=6),"Summer",IF(AND(MONTH(D578)&gt;=7,MONTH(D578)&lt;=9),"Monsoon","Winter"))</f>
        <v>Winter</v>
      </c>
      <c r="O578" s="0" t="str">
        <f aca="false">IF(AND(L578&gt;=22,L578&lt;=25,E578&gt;=TIME(18,0,0)),"24H Night", IF(AND(L578&gt;=22,L578&lt;=25,E578&lt;TIME(18,0,0)),"24H Day", IF(AND(L578&gt;=11,L578&lt;=13,E578&gt;=TIME(18,0,0)),"12H Night", IF(AND(L578&gt;=11,L578&lt;=13,E578&lt;TIME(18,0,0)),"12H Day", IF(AND(L578&lt;10,E578&gt;=TIME(18,0,0)),"Couple Night", "Couple Day")))))</f>
        <v>24H Night</v>
      </c>
      <c r="P578" s="0" t="n">
        <f aca="false">WEEKDAY(D578,2)</f>
        <v>2</v>
      </c>
      <c r="Q578" s="0" t="n">
        <f aca="false">MONTH(D578)</f>
        <v>12</v>
      </c>
      <c r="R578" s="0" t="str">
        <f aca="false">"Q"&amp;ROUNDUP(MONTH(D578)/3,0)</f>
        <v>Q4</v>
      </c>
    </row>
    <row r="579" customFormat="false" ht="115.65" hidden="false" customHeight="false" outlineLevel="0" collapsed="false">
      <c r="A579" s="7" t="s">
        <v>1647</v>
      </c>
      <c r="B579" s="7" t="s">
        <v>1648</v>
      </c>
      <c r="C579" s="13" t="s">
        <v>1649</v>
      </c>
      <c r="D579" s="11" t="n">
        <v>46001</v>
      </c>
      <c r="E579" s="12" t="n">
        <v>0.791666666700625</v>
      </c>
      <c r="F579" s="11" t="n">
        <v>46002</v>
      </c>
      <c r="G579" s="12" t="n">
        <v>0.75</v>
      </c>
      <c r="H579" s="10" t="n">
        <v>46008.9575575232</v>
      </c>
      <c r="I579" s="7" t="n">
        <v>2000</v>
      </c>
      <c r="J579" s="0" t="n">
        <f aca="false">IF(AND(D579&gt;=DATE(YEAR(D579),3,15),D579&lt;=DATE(YEAR(D579),6,10)),1,0)</f>
        <v>0</v>
      </c>
      <c r="K579" s="0" t="e">
        <f aca="false">VLOOKUP(D579,Festival_List!$A$2:$B$100,2,0)</f>
        <v>#N/A</v>
      </c>
      <c r="L579" s="0" t="n">
        <f aca="false">ROUND(((F579+G579)-(D579+E579))*24,0)</f>
        <v>23</v>
      </c>
      <c r="M579" s="0" t="n">
        <f aca="false">IF(OR(WEEKDAY(D579)=1,WEEKDAY(D579)=7),1,0)</f>
        <v>0</v>
      </c>
      <c r="N579" s="0" t="str">
        <f aca="false">IF(AND(MONTH(D579)&gt;=3,MONTH(D579)&lt;=6),"Summer",IF(AND(MONTH(D579)&gt;=7,MONTH(D579)&lt;=9),"Monsoon","Winter"))</f>
        <v>Winter</v>
      </c>
      <c r="O579" s="0" t="str">
        <f aca="false">IF(AND(L579&gt;=22,L579&lt;=25,E579&gt;=TIME(18,0,0)),"24H Night", IF(AND(L579&gt;=22,L579&lt;=25,E579&lt;TIME(18,0,0)),"24H Day", IF(AND(L579&gt;=11,L579&lt;=13,E579&gt;=TIME(18,0,0)),"12H Night", IF(AND(L579&gt;=11,L579&lt;=13,E579&lt;TIME(18,0,0)),"12H Day", IF(AND(L579&lt;10,E579&gt;=TIME(18,0,0)),"Couple Night", "Couple Day")))))</f>
        <v>24H Night</v>
      </c>
      <c r="P579" s="0" t="n">
        <f aca="false">WEEKDAY(D579,2)</f>
        <v>3</v>
      </c>
      <c r="Q579" s="0" t="n">
        <f aca="false">MONTH(D579)</f>
        <v>12</v>
      </c>
      <c r="R579" s="0" t="str">
        <f aca="false">"Q"&amp;ROUNDUP(MONTH(D579)/3,0)</f>
        <v>Q4</v>
      </c>
    </row>
    <row r="580" customFormat="false" ht="115.65" hidden="false" customHeight="false" outlineLevel="0" collapsed="false">
      <c r="A580" s="7" t="s">
        <v>1650</v>
      </c>
      <c r="B580" s="7" t="s">
        <v>1651</v>
      </c>
      <c r="C580" s="13" t="s">
        <v>1652</v>
      </c>
      <c r="D580" s="11" t="n">
        <v>46004</v>
      </c>
      <c r="E580" s="12" t="n">
        <v>0.791666666700625</v>
      </c>
      <c r="F580" s="11" t="n">
        <v>46005</v>
      </c>
      <c r="G580" s="12" t="n">
        <v>0.75</v>
      </c>
      <c r="H580" s="10" t="n">
        <v>46003.9064414352</v>
      </c>
      <c r="I580" s="7" t="n">
        <v>4500</v>
      </c>
      <c r="J580" s="0" t="n">
        <f aca="false">IF(AND(D580&gt;=DATE(YEAR(D580),3,15),D580&lt;=DATE(YEAR(D580),6,10)),1,0)</f>
        <v>0</v>
      </c>
      <c r="K580" s="0" t="e">
        <f aca="false">VLOOKUP(D580,Festival_List!$A$2:$B$100,2,0)</f>
        <v>#N/A</v>
      </c>
      <c r="L580" s="0" t="n">
        <f aca="false">ROUND(((F580+G580)-(D580+E580))*24,0)</f>
        <v>23</v>
      </c>
      <c r="M580" s="0" t="n">
        <f aca="false">IF(OR(WEEKDAY(D580)=1,WEEKDAY(D580)=7),1,0)</f>
        <v>1</v>
      </c>
      <c r="N580" s="0" t="str">
        <f aca="false">IF(AND(MONTH(D580)&gt;=3,MONTH(D580)&lt;=6),"Summer",IF(AND(MONTH(D580)&gt;=7,MONTH(D580)&lt;=9),"Monsoon","Winter"))</f>
        <v>Winter</v>
      </c>
      <c r="O580" s="0" t="str">
        <f aca="false">IF(AND(L580&gt;=22,L580&lt;=25,E580&gt;=TIME(18,0,0)),"24H Night", IF(AND(L580&gt;=22,L580&lt;=25,E580&lt;TIME(18,0,0)),"24H Day", IF(AND(L580&gt;=11,L580&lt;=13,E580&gt;=TIME(18,0,0)),"12H Night", IF(AND(L580&gt;=11,L580&lt;=13,E580&lt;TIME(18,0,0)),"12H Day", IF(AND(L580&lt;10,E580&gt;=TIME(18,0,0)),"Couple Night", "Couple Day")))))</f>
        <v>24H Night</v>
      </c>
      <c r="P580" s="0" t="n">
        <f aca="false">WEEKDAY(D580,2)</f>
        <v>6</v>
      </c>
      <c r="Q580" s="0" t="n">
        <f aca="false">MONTH(D580)</f>
        <v>12</v>
      </c>
      <c r="R580" s="0" t="str">
        <f aca="false">"Q"&amp;ROUNDUP(MONTH(D580)/3,0)</f>
        <v>Q4</v>
      </c>
    </row>
    <row r="581" customFormat="false" ht="128.35" hidden="false" customHeight="false" outlineLevel="0" collapsed="false">
      <c r="A581" s="7" t="s">
        <v>1653</v>
      </c>
      <c r="B581" s="7" t="s">
        <v>432</v>
      </c>
      <c r="C581" s="13" t="s">
        <v>1654</v>
      </c>
      <c r="D581" s="11" t="n">
        <v>46008</v>
      </c>
      <c r="E581" s="12" t="n">
        <v>0.375</v>
      </c>
      <c r="F581" s="11" t="n">
        <v>46008</v>
      </c>
      <c r="G581" s="12" t="n">
        <v>0.75</v>
      </c>
      <c r="H581" s="10" t="n">
        <v>46007.6400591435</v>
      </c>
      <c r="I581" s="7" t="n">
        <v>2000</v>
      </c>
      <c r="J581" s="0" t="n">
        <f aca="false">IF(AND(D581&gt;=DATE(YEAR(D581),3,15),D581&lt;=DATE(YEAR(D581),6,10)),1,0)</f>
        <v>0</v>
      </c>
      <c r="K581" s="0" t="e">
        <f aca="false">VLOOKUP(D581,Festival_List!$A$2:$B$100,2,0)</f>
        <v>#N/A</v>
      </c>
      <c r="L581" s="0" t="n">
        <f aca="false">ROUND(((F581+G581)-(D581+E581))*24,0)</f>
        <v>9</v>
      </c>
      <c r="M581" s="0" t="n">
        <f aca="false">IF(OR(WEEKDAY(D581)=1,WEEKDAY(D581)=7),1,0)</f>
        <v>0</v>
      </c>
      <c r="N581" s="0" t="str">
        <f aca="false">IF(AND(MONTH(D581)&gt;=3,MONTH(D581)&lt;=6),"Summer",IF(AND(MONTH(D581)&gt;=7,MONTH(D581)&lt;=9),"Monsoon","Winter"))</f>
        <v>Winter</v>
      </c>
      <c r="O581" s="0" t="str">
        <f aca="false">IF(AND(L581&gt;=22,L581&lt;=25,E581&gt;=TIME(18,0,0)),"24H Night", IF(AND(L581&gt;=22,L581&lt;=25,E581&lt;TIME(18,0,0)),"24H Day", IF(AND(L581&gt;=11,L581&lt;=13,E581&gt;=TIME(18,0,0)),"12H Night", IF(AND(L581&gt;=11,L581&lt;=13,E581&lt;TIME(18,0,0)),"12H Day", IF(AND(L581&lt;10,E581&gt;=TIME(18,0,0)),"Couple Night", "Couple Day")))))</f>
        <v>Couple Day</v>
      </c>
      <c r="P581" s="0" t="n">
        <f aca="false">WEEKDAY(D581,2)</f>
        <v>3</v>
      </c>
      <c r="Q581" s="0" t="n">
        <f aca="false">MONTH(D581)</f>
        <v>12</v>
      </c>
      <c r="R581" s="0" t="str">
        <f aca="false">"Q"&amp;ROUNDUP(MONTH(D581)/3,0)</f>
        <v>Q4</v>
      </c>
    </row>
    <row r="582" customFormat="false" ht="115.65" hidden="false" customHeight="false" outlineLevel="0" collapsed="false">
      <c r="A582" s="7" t="s">
        <v>1655</v>
      </c>
      <c r="B582" s="7" t="s">
        <v>612</v>
      </c>
      <c r="C582" s="13" t="s">
        <v>1656</v>
      </c>
      <c r="D582" s="11" t="n">
        <v>46009</v>
      </c>
      <c r="E582" s="12" t="n">
        <v>0.375</v>
      </c>
      <c r="F582" s="11" t="n">
        <v>46009</v>
      </c>
      <c r="G582" s="12" t="n">
        <v>0.708333333299375</v>
      </c>
      <c r="H582" s="10" t="n">
        <v>46008.6746648148</v>
      </c>
      <c r="I582" s="7" t="n">
        <v>1500</v>
      </c>
      <c r="J582" s="0" t="n">
        <f aca="false">IF(AND(D582&gt;=DATE(YEAR(D582),3,15),D582&lt;=DATE(YEAR(D582),6,10)),1,0)</f>
        <v>0</v>
      </c>
      <c r="K582" s="0" t="e">
        <f aca="false">VLOOKUP(D582,Festival_List!$A$2:$B$100,2,0)</f>
        <v>#N/A</v>
      </c>
      <c r="L582" s="0" t="n">
        <f aca="false">ROUND(((F582+G582)-(D582+E582))*24,0)</f>
        <v>8</v>
      </c>
      <c r="M582" s="0" t="n">
        <f aca="false">IF(OR(WEEKDAY(D582)=1,WEEKDAY(D582)=7),1,0)</f>
        <v>0</v>
      </c>
      <c r="N582" s="0" t="str">
        <f aca="false">IF(AND(MONTH(D582)&gt;=3,MONTH(D582)&lt;=6),"Summer",IF(AND(MONTH(D582)&gt;=7,MONTH(D582)&lt;=9),"Monsoon","Winter"))</f>
        <v>Winter</v>
      </c>
      <c r="O582" s="0" t="str">
        <f aca="false">IF(AND(L582&gt;=22,L582&lt;=25,E582&gt;=TIME(18,0,0)),"24H Night", IF(AND(L582&gt;=22,L582&lt;=25,E582&lt;TIME(18,0,0)),"24H Day", IF(AND(L582&gt;=11,L582&lt;=13,E582&gt;=TIME(18,0,0)),"12H Night", IF(AND(L582&gt;=11,L582&lt;=13,E582&lt;TIME(18,0,0)),"12H Day", IF(AND(L582&lt;10,E582&gt;=TIME(18,0,0)),"Couple Night", "Couple Day")))))</f>
        <v>Couple Day</v>
      </c>
      <c r="P582" s="0" t="n">
        <f aca="false">WEEKDAY(D582,2)</f>
        <v>4</v>
      </c>
      <c r="Q582" s="0" t="n">
        <f aca="false">MONTH(D582)</f>
        <v>12</v>
      </c>
      <c r="R582" s="0" t="str">
        <f aca="false">"Q"&amp;ROUNDUP(MONTH(D582)/3,0)</f>
        <v>Q4</v>
      </c>
    </row>
    <row r="583" customFormat="false" ht="128.35" hidden="false" customHeight="false" outlineLevel="0" collapsed="false">
      <c r="A583" s="7" t="s">
        <v>1657</v>
      </c>
      <c r="B583" s="7" t="s">
        <v>1055</v>
      </c>
      <c r="C583" s="13" t="s">
        <v>1658</v>
      </c>
      <c r="D583" s="11" t="n">
        <v>46010</v>
      </c>
      <c r="E583" s="12" t="n">
        <v>0.375</v>
      </c>
      <c r="F583" s="11" t="n">
        <v>46010</v>
      </c>
      <c r="G583" s="12" t="n">
        <v>0.75</v>
      </c>
      <c r="H583" s="10" t="n">
        <v>46010.3604260417</v>
      </c>
      <c r="I583" s="7" t="n">
        <v>2000</v>
      </c>
      <c r="J583" s="0" t="n">
        <f aca="false">IF(AND(D583&gt;=DATE(YEAR(D583),3,15),D583&lt;=DATE(YEAR(D583),6,10)),1,0)</f>
        <v>0</v>
      </c>
      <c r="K583" s="0" t="e">
        <f aca="false">VLOOKUP(D583,Festival_List!$A$2:$B$100,2,0)</f>
        <v>#N/A</v>
      </c>
      <c r="L583" s="0" t="n">
        <f aca="false">ROUND(((F583+G583)-(D583+E583))*24,0)</f>
        <v>9</v>
      </c>
      <c r="M583" s="0" t="n">
        <f aca="false">IF(OR(WEEKDAY(D583)=1,WEEKDAY(D583)=7),1,0)</f>
        <v>0</v>
      </c>
      <c r="N583" s="0" t="str">
        <f aca="false">IF(AND(MONTH(D583)&gt;=3,MONTH(D583)&lt;=6),"Summer",IF(AND(MONTH(D583)&gt;=7,MONTH(D583)&lt;=9),"Monsoon","Winter"))</f>
        <v>Winter</v>
      </c>
      <c r="O583" s="0" t="str">
        <f aca="false">IF(AND(L583&gt;=22,L583&lt;=25,E583&gt;=TIME(18,0,0)),"24H Night", IF(AND(L583&gt;=22,L583&lt;=25,E583&lt;TIME(18,0,0)),"24H Day", IF(AND(L583&gt;=11,L583&lt;=13,E583&gt;=TIME(18,0,0)),"12H Night", IF(AND(L583&gt;=11,L583&lt;=13,E583&lt;TIME(18,0,0)),"12H Day", IF(AND(L583&lt;10,E583&gt;=TIME(18,0,0)),"Couple Night", "Couple Day")))))</f>
        <v>Couple Day</v>
      </c>
      <c r="P583" s="0" t="n">
        <f aca="false">WEEKDAY(D583,2)</f>
        <v>5</v>
      </c>
      <c r="Q583" s="0" t="n">
        <f aca="false">MONTH(D583)</f>
        <v>12</v>
      </c>
      <c r="R583" s="0" t="str">
        <f aca="false">"Q"&amp;ROUNDUP(MONTH(D583)/3,0)</f>
        <v>Q4</v>
      </c>
    </row>
    <row r="584" customFormat="false" ht="115.65" hidden="false" customHeight="false" outlineLevel="0" collapsed="false">
      <c r="A584" s="7" t="s">
        <v>1659</v>
      </c>
      <c r="B584" s="7" t="s">
        <v>1660</v>
      </c>
      <c r="C584" s="13" t="s">
        <v>1467</v>
      </c>
      <c r="D584" s="11" t="n">
        <v>46011</v>
      </c>
      <c r="E584" s="12" t="n">
        <v>0.375</v>
      </c>
      <c r="F584" s="11" t="n">
        <v>46011</v>
      </c>
      <c r="G584" s="12" t="n">
        <v>0.791666666700625</v>
      </c>
      <c r="H584" s="10" t="n">
        <v>46010.8100484954</v>
      </c>
      <c r="I584" s="7" t="n">
        <v>2000</v>
      </c>
      <c r="J584" s="0" t="n">
        <f aca="false">IF(AND(D584&gt;=DATE(YEAR(D584),3,15),D584&lt;=DATE(YEAR(D584),6,10)),1,0)</f>
        <v>0</v>
      </c>
      <c r="K584" s="0" t="e">
        <f aca="false">VLOOKUP(D584,Festival_List!$A$2:$B$100,2,0)</f>
        <v>#N/A</v>
      </c>
      <c r="L584" s="0" t="n">
        <f aca="false">ROUND(((F584+G584)-(D584+E584))*24,0)</f>
        <v>10</v>
      </c>
      <c r="M584" s="0" t="n">
        <f aca="false">IF(OR(WEEKDAY(D584)=1,WEEKDAY(D584)=7),1,0)</f>
        <v>1</v>
      </c>
      <c r="N584" s="0" t="str">
        <f aca="false">IF(AND(MONTH(D584)&gt;=3,MONTH(D584)&lt;=6),"Summer",IF(AND(MONTH(D584)&gt;=7,MONTH(D584)&lt;=9),"Monsoon","Winter"))</f>
        <v>Winter</v>
      </c>
      <c r="O584" s="0" t="str">
        <f aca="false">IF(AND(L584&gt;=22,L584&lt;=25,E584&gt;=TIME(18,0,0)),"24H Night", IF(AND(L584&gt;=22,L584&lt;=25,E584&lt;TIME(18,0,0)),"24H Day", IF(AND(L584&gt;=11,L584&lt;=13,E584&gt;=TIME(18,0,0)),"12H Night", IF(AND(L584&gt;=11,L584&lt;=13,E584&lt;TIME(18,0,0)),"12H Day", IF(AND(L584&lt;10,E584&gt;=TIME(18,0,0)),"Couple Night", "Couple Day")))))</f>
        <v>Couple Day</v>
      </c>
      <c r="P584" s="0" t="n">
        <f aca="false">WEEKDAY(D584,2)</f>
        <v>6</v>
      </c>
      <c r="Q584" s="0" t="n">
        <f aca="false">MONTH(D584)</f>
        <v>12</v>
      </c>
      <c r="R584" s="0" t="str">
        <f aca="false">"Q"&amp;ROUNDUP(MONTH(D584)/3,0)</f>
        <v>Q4</v>
      </c>
    </row>
    <row r="585" customFormat="false" ht="115.65" hidden="false" customHeight="false" outlineLevel="0" collapsed="false">
      <c r="A585" s="7" t="s">
        <v>1661</v>
      </c>
      <c r="B585" s="7" t="s">
        <v>1662</v>
      </c>
      <c r="C585" s="13" t="s">
        <v>1663</v>
      </c>
      <c r="D585" s="11" t="n">
        <v>46013</v>
      </c>
      <c r="E585" s="12" t="n">
        <v>0.375</v>
      </c>
      <c r="F585" s="11" t="n">
        <v>46013</v>
      </c>
      <c r="G585" s="12" t="n">
        <v>0.75</v>
      </c>
      <c r="H585" s="10" t="n">
        <v>46012.5798465278</v>
      </c>
      <c r="I585" s="7" t="n">
        <v>1500</v>
      </c>
      <c r="J585" s="0" t="n">
        <f aca="false">IF(AND(D585&gt;=DATE(YEAR(D585),3,15),D585&lt;=DATE(YEAR(D585),6,10)),1,0)</f>
        <v>0</v>
      </c>
      <c r="K585" s="0" t="e">
        <f aca="false">VLOOKUP(D585,Festival_List!$A$2:$B$100,2,0)</f>
        <v>#N/A</v>
      </c>
      <c r="L585" s="0" t="n">
        <f aca="false">ROUND(((F585+G585)-(D585+E585))*24,0)</f>
        <v>9</v>
      </c>
      <c r="M585" s="0" t="n">
        <f aca="false">IF(OR(WEEKDAY(D585)=1,WEEKDAY(D585)=7),1,0)</f>
        <v>0</v>
      </c>
      <c r="N585" s="0" t="str">
        <f aca="false">IF(AND(MONTH(D585)&gt;=3,MONTH(D585)&lt;=6),"Summer",IF(AND(MONTH(D585)&gt;=7,MONTH(D585)&lt;=9),"Monsoon","Winter"))</f>
        <v>Winter</v>
      </c>
      <c r="O585" s="0" t="str">
        <f aca="false">IF(AND(L585&gt;=22,L585&lt;=25,E585&gt;=TIME(18,0,0)),"24H Night", IF(AND(L585&gt;=22,L585&lt;=25,E585&lt;TIME(18,0,0)),"24H Day", IF(AND(L585&gt;=11,L585&lt;=13,E585&gt;=TIME(18,0,0)),"12H Night", IF(AND(L585&gt;=11,L585&lt;=13,E585&lt;TIME(18,0,0)),"12H Day", IF(AND(L585&lt;10,E585&gt;=TIME(18,0,0)),"Couple Night", "Couple Day")))))</f>
        <v>Couple Day</v>
      </c>
      <c r="P585" s="0" t="n">
        <f aca="false">WEEKDAY(D585,2)</f>
        <v>1</v>
      </c>
      <c r="Q585" s="0" t="n">
        <f aca="false">MONTH(D585)</f>
        <v>12</v>
      </c>
      <c r="R585" s="0" t="str">
        <f aca="false">"Q"&amp;ROUNDUP(MONTH(D585)/3,0)</f>
        <v>Q4</v>
      </c>
    </row>
    <row r="586" customFormat="false" ht="115.65" hidden="false" customHeight="false" outlineLevel="0" collapsed="false">
      <c r="A586" s="7" t="s">
        <v>1664</v>
      </c>
      <c r="B586" s="7" t="s">
        <v>1665</v>
      </c>
      <c r="C586" s="13" t="s">
        <v>1666</v>
      </c>
      <c r="D586" s="11" t="n">
        <v>46017</v>
      </c>
      <c r="E586" s="12" t="n">
        <v>0.375</v>
      </c>
      <c r="F586" s="11" t="n">
        <v>46017</v>
      </c>
      <c r="G586" s="12" t="n">
        <v>0.75</v>
      </c>
      <c r="H586" s="10" t="n">
        <v>46016.9818809028</v>
      </c>
      <c r="I586" s="7" t="n">
        <v>2500</v>
      </c>
      <c r="J586" s="0" t="n">
        <f aca="false">IF(AND(D586&gt;=DATE(YEAR(D586),3,15),D586&lt;=DATE(YEAR(D586),6,10)),1,0)</f>
        <v>0</v>
      </c>
      <c r="K586" s="0" t="e">
        <f aca="false">VLOOKUP(D586,Festival_List!$A$2:$B$100,2,0)</f>
        <v>#N/A</v>
      </c>
      <c r="L586" s="0" t="n">
        <f aca="false">ROUND(((F586+G586)-(D586+E586))*24,0)</f>
        <v>9</v>
      </c>
      <c r="M586" s="0" t="n">
        <f aca="false">IF(OR(WEEKDAY(D586)=1,WEEKDAY(D586)=7),1,0)</f>
        <v>0</v>
      </c>
      <c r="N586" s="0" t="str">
        <f aca="false">IF(AND(MONTH(D586)&gt;=3,MONTH(D586)&lt;=6),"Summer",IF(AND(MONTH(D586)&gt;=7,MONTH(D586)&lt;=9),"Monsoon","Winter"))</f>
        <v>Winter</v>
      </c>
      <c r="O586" s="0" t="str">
        <f aca="false">IF(AND(L586&gt;=22,L586&lt;=25,E586&gt;=TIME(18,0,0)),"24H Night", IF(AND(L586&gt;=22,L586&lt;=25,E586&lt;TIME(18,0,0)),"24H Day", IF(AND(L586&gt;=11,L586&lt;=13,E586&gt;=TIME(18,0,0)),"12H Night", IF(AND(L586&gt;=11,L586&lt;=13,E586&lt;TIME(18,0,0)),"12H Day", IF(AND(L586&lt;10,E586&gt;=TIME(18,0,0)),"Couple Night", "Couple Day")))))</f>
        <v>Couple Day</v>
      </c>
      <c r="P586" s="0" t="n">
        <f aca="false">WEEKDAY(D586,2)</f>
        <v>5</v>
      </c>
      <c r="Q586" s="0" t="n">
        <f aca="false">MONTH(D586)</f>
        <v>12</v>
      </c>
      <c r="R586" s="0" t="str">
        <f aca="false">"Q"&amp;ROUNDUP(MONTH(D586)/3,0)</f>
        <v>Q4</v>
      </c>
    </row>
    <row r="587" customFormat="false" ht="115.65" hidden="false" customHeight="false" outlineLevel="0" collapsed="false">
      <c r="A587" s="7" t="s">
        <v>1667</v>
      </c>
      <c r="B587" s="7" t="s">
        <v>1668</v>
      </c>
      <c r="C587" s="13" t="s">
        <v>1669</v>
      </c>
      <c r="D587" s="11" t="n">
        <v>46018</v>
      </c>
      <c r="E587" s="12" t="n">
        <v>0.791666666700625</v>
      </c>
      <c r="F587" s="11" t="n">
        <v>46019</v>
      </c>
      <c r="G587" s="12" t="n">
        <v>0.75</v>
      </c>
      <c r="H587" s="10" t="n">
        <v>46018.8633905093</v>
      </c>
      <c r="I587" s="7" t="n">
        <v>500</v>
      </c>
      <c r="J587" s="0" t="n">
        <f aca="false">IF(AND(D587&gt;=DATE(YEAR(D587),3,15),D587&lt;=DATE(YEAR(D587),6,10)),1,0)</f>
        <v>0</v>
      </c>
      <c r="K587" s="0" t="e">
        <f aca="false">VLOOKUP(D587,Festival_List!$A$2:$B$100,2,0)</f>
        <v>#N/A</v>
      </c>
      <c r="L587" s="0" t="n">
        <f aca="false">ROUND(((F587+G587)-(D587+E587))*24,0)</f>
        <v>23</v>
      </c>
      <c r="M587" s="0" t="n">
        <f aca="false">IF(OR(WEEKDAY(D587)=1,WEEKDAY(D587)=7),1,0)</f>
        <v>1</v>
      </c>
      <c r="N587" s="0" t="str">
        <f aca="false">IF(AND(MONTH(D587)&gt;=3,MONTH(D587)&lt;=6),"Summer",IF(AND(MONTH(D587)&gt;=7,MONTH(D587)&lt;=9),"Monsoon","Winter"))</f>
        <v>Winter</v>
      </c>
      <c r="O587" s="0" t="str">
        <f aca="false">IF(AND(L587&gt;=22,L587&lt;=25,E587&gt;=TIME(18,0,0)),"24H Night", IF(AND(L587&gt;=22,L587&lt;=25,E587&lt;TIME(18,0,0)),"24H Day", IF(AND(L587&gt;=11,L587&lt;=13,E587&gt;=TIME(18,0,0)),"12H Night", IF(AND(L587&gt;=11,L587&lt;=13,E587&lt;TIME(18,0,0)),"12H Day", IF(AND(L587&lt;10,E587&gt;=TIME(18,0,0)),"Couple Night", "Couple Day")))))</f>
        <v>24H Night</v>
      </c>
      <c r="P587" s="0" t="n">
        <f aca="false">WEEKDAY(D587,2)</f>
        <v>6</v>
      </c>
      <c r="Q587" s="0" t="n">
        <f aca="false">MONTH(D587)</f>
        <v>12</v>
      </c>
      <c r="R587" s="0" t="str">
        <f aca="false">"Q"&amp;ROUNDUP(MONTH(D587)/3,0)</f>
        <v>Q4</v>
      </c>
    </row>
    <row r="588" customFormat="false" ht="102.95" hidden="false" customHeight="false" outlineLevel="0" collapsed="false">
      <c r="A588" s="7" t="s">
        <v>1670</v>
      </c>
      <c r="B588" s="7" t="s">
        <v>1671</v>
      </c>
      <c r="C588" s="13" t="s">
        <v>1672</v>
      </c>
      <c r="D588" s="11" t="n">
        <v>46018</v>
      </c>
      <c r="E588" s="12" t="n">
        <v>0.791666666700625</v>
      </c>
      <c r="F588" s="11" t="n">
        <v>46023</v>
      </c>
      <c r="G588" s="12" t="n">
        <v>0.791666666700625</v>
      </c>
      <c r="H588" s="10" t="n">
        <v>46017.0368537037</v>
      </c>
      <c r="I588" s="7" t="n">
        <v>23500</v>
      </c>
      <c r="J588" s="0" t="n">
        <f aca="false">IF(AND(D588&gt;=DATE(YEAR(D588),3,15),D588&lt;=DATE(YEAR(D588),6,10)),1,0)</f>
        <v>0</v>
      </c>
      <c r="K588" s="0" t="e">
        <f aca="false">VLOOKUP(D588,Festival_List!$A$2:$B$100,2,0)</f>
        <v>#N/A</v>
      </c>
      <c r="L588" s="0" t="n">
        <f aca="false">ROUND(((F588+G588)-(D588+E588))*24,0)</f>
        <v>120</v>
      </c>
      <c r="M588" s="0" t="n">
        <f aca="false">IF(OR(WEEKDAY(D588)=1,WEEKDAY(D588)=7),1,0)</f>
        <v>1</v>
      </c>
      <c r="N588" s="0" t="str">
        <f aca="false">IF(AND(MONTH(D588)&gt;=3,MONTH(D588)&lt;=6),"Summer",IF(AND(MONTH(D588)&gt;=7,MONTH(D588)&lt;=9),"Monsoon","Winter"))</f>
        <v>Winter</v>
      </c>
      <c r="O588" s="0" t="str">
        <f aca="false">IF(AND(L588&gt;=22,L588&lt;=25,E588&gt;=TIME(18,0,0)),"24H Night", IF(AND(L588&gt;=22,L588&lt;=25,E588&lt;TIME(18,0,0)),"24H Day", IF(AND(L588&gt;=11,L588&lt;=13,E588&gt;=TIME(18,0,0)),"12H Night", IF(AND(L588&gt;=11,L588&lt;=13,E588&lt;TIME(18,0,0)),"12H Day", IF(AND(L588&lt;10,E588&gt;=TIME(18,0,0)),"Couple Night", "Couple Day")))))</f>
        <v>Couple Day</v>
      </c>
      <c r="P588" s="0" t="n">
        <f aca="false">WEEKDAY(D588,2)</f>
        <v>6</v>
      </c>
      <c r="Q588" s="0" t="n">
        <f aca="false">MONTH(D588)</f>
        <v>12</v>
      </c>
      <c r="R588" s="0" t="str">
        <f aca="false">"Q"&amp;ROUNDUP(MONTH(D588)/3,0)</f>
        <v>Q4</v>
      </c>
    </row>
    <row r="589" customFormat="false" ht="115.65" hidden="false" customHeight="false" outlineLevel="0" collapsed="false">
      <c r="A589" s="7" t="s">
        <v>1673</v>
      </c>
      <c r="B589" s="7" t="s">
        <v>1674</v>
      </c>
      <c r="C589" s="13" t="s">
        <v>1675</v>
      </c>
      <c r="D589" s="11" t="n">
        <v>46024</v>
      </c>
      <c r="E589" s="12" t="n">
        <v>0.416666666700625</v>
      </c>
      <c r="F589" s="11" t="n">
        <v>46024</v>
      </c>
      <c r="G589" s="12" t="n">
        <v>0.75</v>
      </c>
      <c r="H589" s="10" t="n">
        <v>46017.4222822917</v>
      </c>
      <c r="I589" s="7" t="n">
        <v>2000</v>
      </c>
      <c r="J589" s="0" t="n">
        <f aca="false">IF(AND(D589&gt;=DATE(YEAR(D589),3,15),D589&lt;=DATE(YEAR(D589),6,10)),1,0)</f>
        <v>0</v>
      </c>
      <c r="K589" s="0" t="e">
        <f aca="false">VLOOKUP(D589,Festival_List!$A$2:$B$100,2,0)</f>
        <v>#N/A</v>
      </c>
      <c r="L589" s="0" t="n">
        <f aca="false">ROUND(((F589+G589)-(D589+E589))*24,0)</f>
        <v>8</v>
      </c>
      <c r="M589" s="0" t="n">
        <f aca="false">IF(OR(WEEKDAY(D589)=1,WEEKDAY(D589)=7),1,0)</f>
        <v>0</v>
      </c>
      <c r="N589" s="0" t="str">
        <f aca="false">IF(AND(MONTH(D589)&gt;=3,MONTH(D589)&lt;=6),"Summer",IF(AND(MONTH(D589)&gt;=7,MONTH(D589)&lt;=9),"Monsoon","Winter"))</f>
        <v>Winter</v>
      </c>
      <c r="O589" s="0" t="str">
        <f aca="false">IF(AND(L589&gt;=22,L589&lt;=25,E589&gt;=TIME(18,0,0)),"24H Night", IF(AND(L589&gt;=22,L589&lt;=25,E589&lt;TIME(18,0,0)),"24H Day", IF(AND(L589&gt;=11,L589&lt;=13,E589&gt;=TIME(18,0,0)),"12H Night", IF(AND(L589&gt;=11,L589&lt;=13,E589&lt;TIME(18,0,0)),"12H Day", IF(AND(L589&lt;10,E589&gt;=TIME(18,0,0)),"Couple Night", "Couple Day")))))</f>
        <v>Couple Day</v>
      </c>
      <c r="P589" s="0" t="n">
        <f aca="false">WEEKDAY(D589,2)</f>
        <v>5</v>
      </c>
      <c r="Q589" s="0" t="n">
        <f aca="false">MONTH(D589)</f>
        <v>1</v>
      </c>
      <c r="R589" s="0" t="str">
        <f aca="false">"Q"&amp;ROUNDUP(MONTH(D589)/3,0)</f>
        <v>Q1</v>
      </c>
    </row>
    <row r="590" customFormat="false" ht="115.65" hidden="false" customHeight="false" outlineLevel="0" collapsed="false">
      <c r="A590" s="7" t="s">
        <v>1676</v>
      </c>
      <c r="B590" s="7" t="s">
        <v>1677</v>
      </c>
      <c r="C590" s="13" t="s">
        <v>1678</v>
      </c>
      <c r="D590" s="11" t="n">
        <v>46025</v>
      </c>
      <c r="E590" s="12" t="n">
        <v>0.583333333299375</v>
      </c>
      <c r="F590" s="11" t="n">
        <v>46026</v>
      </c>
      <c r="G590" s="12" t="n">
        <v>0.833333333299375</v>
      </c>
      <c r="H590" s="10" t="n">
        <v>46026.4987584491</v>
      </c>
      <c r="I590" s="7" t="n">
        <v>6000</v>
      </c>
      <c r="J590" s="0" t="n">
        <f aca="false">IF(AND(D590&gt;=DATE(YEAR(D590),3,15),D590&lt;=DATE(YEAR(D590),6,10)),1,0)</f>
        <v>0</v>
      </c>
      <c r="K590" s="0" t="e">
        <f aca="false">VLOOKUP(D590,Festival_List!$A$2:$B$100,2,0)</f>
        <v>#N/A</v>
      </c>
      <c r="L590" s="0" t="n">
        <f aca="false">ROUND(((F590+G590)-(D590+E590))*24,0)</f>
        <v>30</v>
      </c>
      <c r="M590" s="0" t="n">
        <f aca="false">IF(OR(WEEKDAY(D590)=1,WEEKDAY(D590)=7),1,0)</f>
        <v>1</v>
      </c>
      <c r="N590" s="0" t="str">
        <f aca="false">IF(AND(MONTH(D590)&gt;=3,MONTH(D590)&lt;=6),"Summer",IF(AND(MONTH(D590)&gt;=7,MONTH(D590)&lt;=9),"Monsoon","Winter"))</f>
        <v>Winter</v>
      </c>
      <c r="O590" s="0" t="str">
        <f aca="false">IF(AND(L590&gt;=22,L590&lt;=25,E590&gt;=TIME(18,0,0)),"24H Night", IF(AND(L590&gt;=22,L590&lt;=25,E590&lt;TIME(18,0,0)),"24H Day", IF(AND(L590&gt;=11,L590&lt;=13,E590&gt;=TIME(18,0,0)),"12H Night", IF(AND(L590&gt;=11,L590&lt;=13,E590&lt;TIME(18,0,0)),"12H Day", IF(AND(L590&lt;10,E590&gt;=TIME(18,0,0)),"Couple Night", "Couple Day")))))</f>
        <v>Couple Day</v>
      </c>
      <c r="P590" s="0" t="n">
        <f aca="false">WEEKDAY(D590,2)</f>
        <v>6</v>
      </c>
      <c r="Q590" s="0" t="n">
        <f aca="false">MONTH(D590)</f>
        <v>1</v>
      </c>
      <c r="R590" s="0" t="str">
        <f aca="false">"Q"&amp;ROUNDUP(MONTH(D590)/3,0)</f>
        <v>Q1</v>
      </c>
    </row>
    <row r="591" customFormat="false" ht="115.65" hidden="false" customHeight="false" outlineLevel="0" collapsed="false">
      <c r="A591" s="7" t="s">
        <v>1679</v>
      </c>
      <c r="B591" s="7" t="s">
        <v>1680</v>
      </c>
      <c r="C591" s="13" t="s">
        <v>1681</v>
      </c>
      <c r="D591" s="11" t="n">
        <v>46028</v>
      </c>
      <c r="E591" s="12" t="n">
        <v>0.375</v>
      </c>
      <c r="F591" s="11" t="n">
        <v>46028</v>
      </c>
      <c r="G591" s="12" t="n">
        <v>0.75</v>
      </c>
      <c r="H591" s="10" t="n">
        <v>46027.474002662</v>
      </c>
      <c r="I591" s="7" t="n">
        <v>2000</v>
      </c>
      <c r="J591" s="0" t="n">
        <f aca="false">IF(AND(D591&gt;=DATE(YEAR(D591),3,15),D591&lt;=DATE(YEAR(D591),6,10)),1,0)</f>
        <v>0</v>
      </c>
      <c r="K591" s="0" t="e">
        <f aca="false">VLOOKUP(D591,Festival_List!$A$2:$B$100,2,0)</f>
        <v>#N/A</v>
      </c>
      <c r="L591" s="0" t="n">
        <f aca="false">ROUND(((F591+G591)-(D591+E591))*24,0)</f>
        <v>9</v>
      </c>
      <c r="M591" s="0" t="n">
        <f aca="false">IF(OR(WEEKDAY(D591)=1,WEEKDAY(D591)=7),1,0)</f>
        <v>0</v>
      </c>
      <c r="N591" s="0" t="str">
        <f aca="false">IF(AND(MONTH(D591)&gt;=3,MONTH(D591)&lt;=6),"Summer",IF(AND(MONTH(D591)&gt;=7,MONTH(D591)&lt;=9),"Monsoon","Winter"))</f>
        <v>Winter</v>
      </c>
      <c r="O591" s="0" t="str">
        <f aca="false">IF(AND(L591&gt;=22,L591&lt;=25,E591&gt;=TIME(18,0,0)),"24H Night", IF(AND(L591&gt;=22,L591&lt;=25,E591&lt;TIME(18,0,0)),"24H Day", IF(AND(L591&gt;=11,L591&lt;=13,E591&gt;=TIME(18,0,0)),"12H Night", IF(AND(L591&gt;=11,L591&lt;=13,E591&lt;TIME(18,0,0)),"12H Day", IF(AND(L591&lt;10,E591&gt;=TIME(18,0,0)),"Couple Night", "Couple Day")))))</f>
        <v>Couple Day</v>
      </c>
      <c r="P591" s="0" t="n">
        <f aca="false">WEEKDAY(D591,2)</f>
        <v>2</v>
      </c>
      <c r="Q591" s="0" t="n">
        <f aca="false">MONTH(D591)</f>
        <v>1</v>
      </c>
      <c r="R591" s="0" t="str">
        <f aca="false">"Q"&amp;ROUNDUP(MONTH(D591)/3,0)</f>
        <v>Q1</v>
      </c>
    </row>
    <row r="592" customFormat="false" ht="115.65" hidden="false" customHeight="false" outlineLevel="0" collapsed="false">
      <c r="A592" s="7" t="s">
        <v>1682</v>
      </c>
      <c r="B592" s="7" t="s">
        <v>1683</v>
      </c>
      <c r="C592" s="13" t="s">
        <v>1684</v>
      </c>
      <c r="D592" s="11" t="n">
        <v>46031</v>
      </c>
      <c r="E592" s="12" t="n">
        <v>0.791666666700625</v>
      </c>
      <c r="F592" s="11" t="n">
        <v>46032</v>
      </c>
      <c r="G592" s="12" t="n">
        <v>0.75</v>
      </c>
      <c r="H592" s="10" t="n">
        <v>46031.6808810185</v>
      </c>
      <c r="I592" s="7" t="n">
        <v>3500</v>
      </c>
      <c r="J592" s="0" t="n">
        <f aca="false">IF(AND(D592&gt;=DATE(YEAR(D592),3,15),D592&lt;=DATE(YEAR(D592),6,10)),1,0)</f>
        <v>0</v>
      </c>
      <c r="K592" s="0" t="e">
        <f aca="false">VLOOKUP(D592,Festival_List!$A$2:$B$100,2,0)</f>
        <v>#N/A</v>
      </c>
      <c r="L592" s="0" t="n">
        <f aca="false">ROUND(((F592+G592)-(D592+E592))*24,0)</f>
        <v>23</v>
      </c>
      <c r="M592" s="0" t="n">
        <f aca="false">IF(OR(WEEKDAY(D592)=1,WEEKDAY(D592)=7),1,0)</f>
        <v>0</v>
      </c>
      <c r="N592" s="0" t="str">
        <f aca="false">IF(AND(MONTH(D592)&gt;=3,MONTH(D592)&lt;=6),"Summer",IF(AND(MONTH(D592)&gt;=7,MONTH(D592)&lt;=9),"Monsoon","Winter"))</f>
        <v>Winter</v>
      </c>
      <c r="O592" s="0" t="str">
        <f aca="false">IF(AND(L592&gt;=22,L592&lt;=25,E592&gt;=TIME(18,0,0)),"24H Night", IF(AND(L592&gt;=22,L592&lt;=25,E592&lt;TIME(18,0,0)),"24H Day", IF(AND(L592&gt;=11,L592&lt;=13,E592&gt;=TIME(18,0,0)),"12H Night", IF(AND(L592&gt;=11,L592&lt;=13,E592&lt;TIME(18,0,0)),"12H Day", IF(AND(L592&lt;10,E592&gt;=TIME(18,0,0)),"Couple Night", "Couple Day")))))</f>
        <v>24H Night</v>
      </c>
      <c r="P592" s="0" t="n">
        <f aca="false">WEEKDAY(D592,2)</f>
        <v>5</v>
      </c>
      <c r="Q592" s="0" t="n">
        <f aca="false">MONTH(D592)</f>
        <v>1</v>
      </c>
      <c r="R592" s="0" t="str">
        <f aca="false">"Q"&amp;ROUNDUP(MONTH(D592)/3,0)</f>
        <v>Q1</v>
      </c>
    </row>
    <row r="593" customFormat="false" ht="102.95" hidden="false" customHeight="false" outlineLevel="0" collapsed="false">
      <c r="A593" s="7" t="s">
        <v>1685</v>
      </c>
      <c r="B593" s="7" t="s">
        <v>1686</v>
      </c>
      <c r="C593" s="13" t="s">
        <v>1687</v>
      </c>
      <c r="D593" s="11" t="n">
        <v>46032</v>
      </c>
      <c r="E593" s="12" t="n">
        <v>0.791666666700625</v>
      </c>
      <c r="F593" s="11" t="n">
        <v>46033</v>
      </c>
      <c r="G593" s="12" t="n">
        <v>0.333333333299375</v>
      </c>
      <c r="H593" s="10" t="n">
        <v>46034.4801476852</v>
      </c>
      <c r="I593" s="7" t="n">
        <v>1000</v>
      </c>
      <c r="J593" s="0" t="n">
        <f aca="false">IF(AND(D593&gt;=DATE(YEAR(D593),3,15),D593&lt;=DATE(YEAR(D593),6,10)),1,0)</f>
        <v>0</v>
      </c>
      <c r="K593" s="0" t="e">
        <f aca="false">VLOOKUP(D593,Festival_List!$A$2:$B$100,2,0)</f>
        <v>#N/A</v>
      </c>
      <c r="L593" s="0" t="n">
        <f aca="false">ROUND(((F593+G593)-(D593+E593))*24,0)</f>
        <v>13</v>
      </c>
      <c r="M593" s="0" t="n">
        <f aca="false">IF(OR(WEEKDAY(D593)=1,WEEKDAY(D593)=7),1,0)</f>
        <v>1</v>
      </c>
      <c r="N593" s="0" t="str">
        <f aca="false">IF(AND(MONTH(D593)&gt;=3,MONTH(D593)&lt;=6),"Summer",IF(AND(MONTH(D593)&gt;=7,MONTH(D593)&lt;=9),"Monsoon","Winter"))</f>
        <v>Winter</v>
      </c>
      <c r="O593" s="0" t="str">
        <f aca="false">IF(AND(L593&gt;=22,L593&lt;=25,E593&gt;=TIME(18,0,0)),"24H Night", IF(AND(L593&gt;=22,L593&lt;=25,E593&lt;TIME(18,0,0)),"24H Day", IF(AND(L593&gt;=11,L593&lt;=13,E593&gt;=TIME(18,0,0)),"12H Night", IF(AND(L593&gt;=11,L593&lt;=13,E593&lt;TIME(18,0,0)),"12H Day", IF(AND(L593&lt;10,E593&gt;=TIME(18,0,0)),"Couple Night", "Couple Day")))))</f>
        <v>12H Night</v>
      </c>
      <c r="P593" s="0" t="n">
        <f aca="false">WEEKDAY(D593,2)</f>
        <v>6</v>
      </c>
      <c r="Q593" s="0" t="n">
        <f aca="false">MONTH(D593)</f>
        <v>1</v>
      </c>
      <c r="R593" s="0" t="str">
        <f aca="false">"Q"&amp;ROUNDUP(MONTH(D593)/3,0)</f>
        <v>Q1</v>
      </c>
    </row>
    <row r="594" customFormat="false" ht="115.65" hidden="false" customHeight="false" outlineLevel="0" collapsed="false">
      <c r="A594" s="7" t="s">
        <v>1688</v>
      </c>
      <c r="B594" s="7" t="s">
        <v>1689</v>
      </c>
      <c r="C594" s="13" t="s">
        <v>1690</v>
      </c>
      <c r="D594" s="11" t="n">
        <v>46032</v>
      </c>
      <c r="E594" s="12" t="n">
        <v>0.791666666700625</v>
      </c>
      <c r="F594" s="11" t="n">
        <v>46033</v>
      </c>
      <c r="G594" s="12" t="n">
        <v>0.75</v>
      </c>
      <c r="H594" s="10" t="n">
        <v>46028.5476887731</v>
      </c>
      <c r="I594" s="7" t="n">
        <v>5000</v>
      </c>
      <c r="J594" s="0" t="n">
        <f aca="false">IF(AND(D594&gt;=DATE(YEAR(D594),3,15),D594&lt;=DATE(YEAR(D594),6,10)),1,0)</f>
        <v>0</v>
      </c>
      <c r="K594" s="0" t="e">
        <f aca="false">VLOOKUP(D594,Festival_List!$A$2:$B$100,2,0)</f>
        <v>#N/A</v>
      </c>
      <c r="L594" s="0" t="n">
        <f aca="false">ROUND(((F594+G594)-(D594+E594))*24,0)</f>
        <v>23</v>
      </c>
      <c r="M594" s="0" t="n">
        <f aca="false">IF(OR(WEEKDAY(D594)=1,WEEKDAY(D594)=7),1,0)</f>
        <v>1</v>
      </c>
      <c r="N594" s="0" t="str">
        <f aca="false">IF(AND(MONTH(D594)&gt;=3,MONTH(D594)&lt;=6),"Summer",IF(AND(MONTH(D594)&gt;=7,MONTH(D594)&lt;=9),"Monsoon","Winter"))</f>
        <v>Winter</v>
      </c>
      <c r="O594" s="0" t="str">
        <f aca="false">IF(AND(L594&gt;=22,L594&lt;=25,E594&gt;=TIME(18,0,0)),"24H Night", IF(AND(L594&gt;=22,L594&lt;=25,E594&lt;TIME(18,0,0)),"24H Day", IF(AND(L594&gt;=11,L594&lt;=13,E594&gt;=TIME(18,0,0)),"12H Night", IF(AND(L594&gt;=11,L594&lt;=13,E594&lt;TIME(18,0,0)),"12H Day", IF(AND(L594&lt;10,E594&gt;=TIME(18,0,0)),"Couple Night", "Couple Day")))))</f>
        <v>24H Night</v>
      </c>
      <c r="P594" s="0" t="n">
        <f aca="false">WEEKDAY(D594,2)</f>
        <v>6</v>
      </c>
      <c r="Q594" s="0" t="n">
        <f aca="false">MONTH(D594)</f>
        <v>1</v>
      </c>
      <c r="R594" s="0" t="str">
        <f aca="false">"Q"&amp;ROUNDUP(MONTH(D594)/3,0)</f>
        <v>Q1</v>
      </c>
    </row>
    <row r="595" customFormat="false" ht="102.95" hidden="false" customHeight="false" outlineLevel="0" collapsed="false">
      <c r="A595" s="7" t="s">
        <v>1691</v>
      </c>
      <c r="B595" s="7" t="s">
        <v>1692</v>
      </c>
      <c r="C595" s="13" t="s">
        <v>1693</v>
      </c>
      <c r="D595" s="11" t="n">
        <v>46033</v>
      </c>
      <c r="E595" s="12" t="n">
        <v>0.375</v>
      </c>
      <c r="F595" s="11" t="n">
        <v>46034</v>
      </c>
      <c r="G595" s="12" t="n">
        <v>0.333333333299375</v>
      </c>
      <c r="H595" s="10" t="n">
        <v>46034.4811819444</v>
      </c>
      <c r="I595" s="7" t="n">
        <v>1000</v>
      </c>
      <c r="J595" s="0" t="n">
        <f aca="false">IF(AND(D595&gt;=DATE(YEAR(D595),3,15),D595&lt;=DATE(YEAR(D595),6,10)),1,0)</f>
        <v>0</v>
      </c>
      <c r="K595" s="0" t="e">
        <f aca="false">VLOOKUP(D595,Festival_List!$A$2:$B$100,2,0)</f>
        <v>#N/A</v>
      </c>
      <c r="L595" s="0" t="n">
        <f aca="false">ROUND(((F595+G595)-(D595+E595))*24,0)</f>
        <v>23</v>
      </c>
      <c r="M595" s="0" t="n">
        <f aca="false">IF(OR(WEEKDAY(D595)=1,WEEKDAY(D595)=7),1,0)</f>
        <v>1</v>
      </c>
      <c r="N595" s="0" t="str">
        <f aca="false">IF(AND(MONTH(D595)&gt;=3,MONTH(D595)&lt;=6),"Summer",IF(AND(MONTH(D595)&gt;=7,MONTH(D595)&lt;=9),"Monsoon","Winter"))</f>
        <v>Winter</v>
      </c>
      <c r="O595" s="0" t="str">
        <f aca="false">IF(AND(L595&gt;=22,L595&lt;=25,E595&gt;=TIME(18,0,0)),"24H Night", IF(AND(L595&gt;=22,L595&lt;=25,E595&lt;TIME(18,0,0)),"24H Day", IF(AND(L595&gt;=11,L595&lt;=13,E595&gt;=TIME(18,0,0)),"12H Night", IF(AND(L595&gt;=11,L595&lt;=13,E595&lt;TIME(18,0,0)),"12H Day", IF(AND(L595&lt;10,E595&gt;=TIME(18,0,0)),"Couple Night", "Couple Day")))))</f>
        <v>24H Day</v>
      </c>
      <c r="P595" s="0" t="n">
        <f aca="false">WEEKDAY(D595,2)</f>
        <v>7</v>
      </c>
      <c r="Q595" s="0" t="n">
        <f aca="false">MONTH(D595)</f>
        <v>1</v>
      </c>
      <c r="R595" s="0" t="str">
        <f aca="false">"Q"&amp;ROUNDUP(MONTH(D595)/3,0)</f>
        <v>Q1</v>
      </c>
    </row>
    <row r="596" customFormat="false" ht="115.65" hidden="false" customHeight="false" outlineLevel="0" collapsed="false">
      <c r="A596" s="7" t="s">
        <v>1694</v>
      </c>
      <c r="B596" s="7" t="s">
        <v>758</v>
      </c>
      <c r="C596" s="13" t="s">
        <v>1695</v>
      </c>
      <c r="D596" s="11" t="n">
        <v>46033</v>
      </c>
      <c r="E596" s="12" t="n">
        <v>0.791666666700625</v>
      </c>
      <c r="F596" s="11" t="n">
        <v>46034</v>
      </c>
      <c r="G596" s="12" t="n">
        <v>0.333333333299375</v>
      </c>
      <c r="H596" s="10" t="n">
        <v>46032.6544708333</v>
      </c>
      <c r="I596" s="7" t="n">
        <v>2500</v>
      </c>
      <c r="J596" s="0" t="n">
        <f aca="false">IF(AND(D596&gt;=DATE(YEAR(D596),3,15),D596&lt;=DATE(YEAR(D596),6,10)),1,0)</f>
        <v>0</v>
      </c>
      <c r="K596" s="0" t="e">
        <f aca="false">VLOOKUP(D596,Festival_List!$A$2:$B$100,2,0)</f>
        <v>#N/A</v>
      </c>
      <c r="L596" s="0" t="n">
        <f aca="false">ROUND(((F596+G596)-(D596+E596))*24,0)</f>
        <v>13</v>
      </c>
      <c r="M596" s="0" t="n">
        <f aca="false">IF(OR(WEEKDAY(D596)=1,WEEKDAY(D596)=7),1,0)</f>
        <v>1</v>
      </c>
      <c r="N596" s="0" t="str">
        <f aca="false">IF(AND(MONTH(D596)&gt;=3,MONTH(D596)&lt;=6),"Summer",IF(AND(MONTH(D596)&gt;=7,MONTH(D596)&lt;=9),"Monsoon","Winter"))</f>
        <v>Winter</v>
      </c>
      <c r="O596" s="0" t="str">
        <f aca="false">IF(AND(L596&gt;=22,L596&lt;=25,E596&gt;=TIME(18,0,0)),"24H Night", IF(AND(L596&gt;=22,L596&lt;=25,E596&lt;TIME(18,0,0)),"24H Day", IF(AND(L596&gt;=11,L596&lt;=13,E596&gt;=TIME(18,0,0)),"12H Night", IF(AND(L596&gt;=11,L596&lt;=13,E596&lt;TIME(18,0,0)),"12H Day", IF(AND(L596&lt;10,E596&gt;=TIME(18,0,0)),"Couple Night", "Couple Day")))))</f>
        <v>12H Night</v>
      </c>
      <c r="P596" s="0" t="n">
        <f aca="false">WEEKDAY(D596,2)</f>
        <v>7</v>
      </c>
      <c r="Q596" s="0" t="n">
        <f aca="false">MONTH(D596)</f>
        <v>1</v>
      </c>
      <c r="R596" s="0" t="str">
        <f aca="false">"Q"&amp;ROUNDUP(MONTH(D596)/3,0)</f>
        <v>Q1</v>
      </c>
    </row>
    <row r="597" customFormat="false" ht="115.65" hidden="false" customHeight="false" outlineLevel="0" collapsed="false">
      <c r="A597" s="7" t="s">
        <v>1696</v>
      </c>
      <c r="B597" s="7" t="s">
        <v>1697</v>
      </c>
      <c r="C597" s="13" t="s">
        <v>1698</v>
      </c>
      <c r="D597" s="11" t="n">
        <v>46034</v>
      </c>
      <c r="E597" s="12" t="n">
        <v>0.375</v>
      </c>
      <c r="F597" s="11" t="n">
        <v>46034</v>
      </c>
      <c r="G597" s="12" t="n">
        <v>0.75</v>
      </c>
      <c r="H597" s="10" t="n">
        <v>46028.4528622685</v>
      </c>
      <c r="I597" s="7" t="n">
        <v>2500</v>
      </c>
      <c r="J597" s="0" t="n">
        <f aca="false">IF(AND(D597&gt;=DATE(YEAR(D597),3,15),D597&lt;=DATE(YEAR(D597),6,10)),1,0)</f>
        <v>0</v>
      </c>
      <c r="K597" s="0" t="e">
        <f aca="false">VLOOKUP(D597,Festival_List!$A$2:$B$100,2,0)</f>
        <v>#N/A</v>
      </c>
      <c r="L597" s="0" t="n">
        <f aca="false">ROUND(((F597+G597)-(D597+E597))*24,0)</f>
        <v>9</v>
      </c>
      <c r="M597" s="0" t="n">
        <f aca="false">IF(OR(WEEKDAY(D597)=1,WEEKDAY(D597)=7),1,0)</f>
        <v>0</v>
      </c>
      <c r="N597" s="0" t="str">
        <f aca="false">IF(AND(MONTH(D597)&gt;=3,MONTH(D597)&lt;=6),"Summer",IF(AND(MONTH(D597)&gt;=7,MONTH(D597)&lt;=9),"Monsoon","Winter"))</f>
        <v>Winter</v>
      </c>
      <c r="O597" s="0" t="str">
        <f aca="false">IF(AND(L597&gt;=22,L597&lt;=25,E597&gt;=TIME(18,0,0)),"24H Night", IF(AND(L597&gt;=22,L597&lt;=25,E597&lt;TIME(18,0,0)),"24H Day", IF(AND(L597&gt;=11,L597&lt;=13,E597&gt;=TIME(18,0,0)),"12H Night", IF(AND(L597&gt;=11,L597&lt;=13,E597&lt;TIME(18,0,0)),"12H Day", IF(AND(L597&lt;10,E597&gt;=TIME(18,0,0)),"Couple Night", "Couple Day")))))</f>
        <v>Couple Day</v>
      </c>
      <c r="P597" s="0" t="n">
        <f aca="false">WEEKDAY(D597,2)</f>
        <v>1</v>
      </c>
      <c r="Q597" s="0" t="n">
        <f aca="false">MONTH(D597)</f>
        <v>1</v>
      </c>
      <c r="R597" s="0" t="str">
        <f aca="false">"Q"&amp;ROUNDUP(MONTH(D597)/3,0)</f>
        <v>Q1</v>
      </c>
    </row>
    <row r="598" customFormat="false" ht="115.65" hidden="false" customHeight="false" outlineLevel="0" collapsed="false">
      <c r="A598" s="7" t="s">
        <v>1699</v>
      </c>
      <c r="B598" s="7" t="s">
        <v>1700</v>
      </c>
      <c r="C598" s="13" t="s">
        <v>1701</v>
      </c>
      <c r="D598" s="11" t="n">
        <v>46036</v>
      </c>
      <c r="E598" s="12" t="n">
        <v>0.375</v>
      </c>
      <c r="F598" s="11" t="n">
        <v>46036</v>
      </c>
      <c r="G598" s="12" t="n">
        <v>0.75</v>
      </c>
      <c r="H598" s="10" t="n">
        <v>46035.7088416667</v>
      </c>
      <c r="I598" s="7" t="n">
        <v>4000</v>
      </c>
      <c r="J598" s="0" t="n">
        <f aca="false">IF(AND(D598&gt;=DATE(YEAR(D598),3,15),D598&lt;=DATE(YEAR(D598),6,10)),1,0)</f>
        <v>0</v>
      </c>
      <c r="K598" s="0" t="str">
        <f aca="false">VLOOKUP(D598,Festival_List!$A$2:$B$100,2,0)</f>
        <v>Makar Sankranti</v>
      </c>
      <c r="L598" s="0" t="n">
        <f aca="false">ROUND(((F598+G598)-(D598+E598))*24,0)</f>
        <v>9</v>
      </c>
      <c r="M598" s="0" t="n">
        <f aca="false">IF(OR(WEEKDAY(D598)=1,WEEKDAY(D598)=7),1,0)</f>
        <v>0</v>
      </c>
      <c r="N598" s="0" t="str">
        <f aca="false">IF(AND(MONTH(D598)&gt;=3,MONTH(D598)&lt;=6),"Summer",IF(AND(MONTH(D598)&gt;=7,MONTH(D598)&lt;=9),"Monsoon","Winter"))</f>
        <v>Winter</v>
      </c>
      <c r="O598" s="0" t="str">
        <f aca="false">IF(AND(L598&gt;=22,L598&lt;=25,E598&gt;=TIME(18,0,0)),"24H Night", IF(AND(L598&gt;=22,L598&lt;=25,E598&lt;TIME(18,0,0)),"24H Day", IF(AND(L598&gt;=11,L598&lt;=13,E598&gt;=TIME(18,0,0)),"12H Night", IF(AND(L598&gt;=11,L598&lt;=13,E598&lt;TIME(18,0,0)),"12H Day", IF(AND(L598&lt;10,E598&gt;=TIME(18,0,0)),"Couple Night", "Couple Day")))))</f>
        <v>Couple Day</v>
      </c>
      <c r="P598" s="0" t="n">
        <f aca="false">WEEKDAY(D598,2)</f>
        <v>3</v>
      </c>
      <c r="Q598" s="0" t="n">
        <f aca="false">MONTH(D598)</f>
        <v>1</v>
      </c>
      <c r="R598" s="0" t="str">
        <f aca="false">"Q"&amp;ROUNDUP(MONTH(D598)/3,0)</f>
        <v>Q1</v>
      </c>
    </row>
    <row r="599" customFormat="false" ht="102.95" hidden="false" customHeight="false" outlineLevel="0" collapsed="false">
      <c r="A599" s="7" t="s">
        <v>1702</v>
      </c>
      <c r="B599" s="7" t="s">
        <v>1703</v>
      </c>
      <c r="C599" s="13" t="s">
        <v>1704</v>
      </c>
      <c r="D599" s="11" t="n">
        <v>46038</v>
      </c>
      <c r="E599" s="12" t="n">
        <v>0.375</v>
      </c>
      <c r="F599" s="11" t="n">
        <v>46038</v>
      </c>
      <c r="G599" s="12" t="n">
        <v>0.708333333299375</v>
      </c>
      <c r="H599" s="10" t="n">
        <v>46037.5181940972</v>
      </c>
      <c r="I599" s="7" t="n">
        <v>2500</v>
      </c>
      <c r="J599" s="0" t="n">
        <f aca="false">IF(AND(D599&gt;=DATE(YEAR(D599),3,15),D599&lt;=DATE(YEAR(D599),6,10)),1,0)</f>
        <v>0</v>
      </c>
      <c r="K599" s="0" t="e">
        <f aca="false">VLOOKUP(D599,Festival_List!$A$2:$B$100,2,0)</f>
        <v>#N/A</v>
      </c>
      <c r="L599" s="0" t="n">
        <f aca="false">ROUND(((F599+G599)-(D599+E599))*24,0)</f>
        <v>8</v>
      </c>
      <c r="M599" s="0" t="n">
        <f aca="false">IF(OR(WEEKDAY(D599)=1,WEEKDAY(D599)=7),1,0)</f>
        <v>0</v>
      </c>
      <c r="N599" s="0" t="str">
        <f aca="false">IF(AND(MONTH(D599)&gt;=3,MONTH(D599)&lt;=6),"Summer",IF(AND(MONTH(D599)&gt;=7,MONTH(D599)&lt;=9),"Monsoon","Winter"))</f>
        <v>Winter</v>
      </c>
      <c r="O599" s="0" t="str">
        <f aca="false">IF(AND(L599&gt;=22,L599&lt;=25,E599&gt;=TIME(18,0,0)),"24H Night", IF(AND(L599&gt;=22,L599&lt;=25,E599&lt;TIME(18,0,0)),"24H Day", IF(AND(L599&gt;=11,L599&lt;=13,E599&gt;=TIME(18,0,0)),"12H Night", IF(AND(L599&gt;=11,L599&lt;=13,E599&lt;TIME(18,0,0)),"12H Day", IF(AND(L599&lt;10,E599&gt;=TIME(18,0,0)),"Couple Night", "Couple Day")))))</f>
        <v>Couple Day</v>
      </c>
      <c r="P599" s="0" t="n">
        <f aca="false">WEEKDAY(D599,2)</f>
        <v>5</v>
      </c>
      <c r="Q599" s="0" t="n">
        <f aca="false">MONTH(D599)</f>
        <v>1</v>
      </c>
      <c r="R599" s="0" t="str">
        <f aca="false">"Q"&amp;ROUNDUP(MONTH(D599)/3,0)</f>
        <v>Q1</v>
      </c>
    </row>
    <row r="600" customFormat="false" ht="115.65" hidden="false" customHeight="false" outlineLevel="0" collapsed="false">
      <c r="A600" s="7" t="s">
        <v>1705</v>
      </c>
      <c r="B600" s="7" t="s">
        <v>1706</v>
      </c>
      <c r="C600" s="13" t="s">
        <v>1707</v>
      </c>
      <c r="D600" s="11" t="n">
        <v>46039</v>
      </c>
      <c r="E600" s="12" t="n">
        <v>0.791666666700625</v>
      </c>
      <c r="F600" s="11" t="n">
        <v>46040</v>
      </c>
      <c r="G600" s="12" t="n">
        <v>0.75</v>
      </c>
      <c r="H600" s="10" t="n">
        <v>46039.5947604167</v>
      </c>
      <c r="I600" s="7" t="n">
        <v>5000</v>
      </c>
      <c r="J600" s="0" t="n">
        <f aca="false">IF(AND(D600&gt;=DATE(YEAR(D600),3,15),D600&lt;=DATE(YEAR(D600),6,10)),1,0)</f>
        <v>0</v>
      </c>
      <c r="K600" s="0" t="e">
        <f aca="false">VLOOKUP(D600,Festival_List!$A$2:$B$100,2,0)</f>
        <v>#N/A</v>
      </c>
      <c r="L600" s="0" t="n">
        <f aca="false">ROUND(((F600+G600)-(D600+E600))*24,0)</f>
        <v>23</v>
      </c>
      <c r="M600" s="0" t="n">
        <f aca="false">IF(OR(WEEKDAY(D600)=1,WEEKDAY(D600)=7),1,0)</f>
        <v>1</v>
      </c>
      <c r="N600" s="0" t="str">
        <f aca="false">IF(AND(MONTH(D600)&gt;=3,MONTH(D600)&lt;=6),"Summer",IF(AND(MONTH(D600)&gt;=7,MONTH(D600)&lt;=9),"Monsoon","Winter"))</f>
        <v>Winter</v>
      </c>
      <c r="O600" s="0" t="str">
        <f aca="false">IF(AND(L600&gt;=22,L600&lt;=25,E600&gt;=TIME(18,0,0)),"24H Night", IF(AND(L600&gt;=22,L600&lt;=25,E600&lt;TIME(18,0,0)),"24H Day", IF(AND(L600&gt;=11,L600&lt;=13,E600&gt;=TIME(18,0,0)),"12H Night", IF(AND(L600&gt;=11,L600&lt;=13,E600&lt;TIME(18,0,0)),"12H Day", IF(AND(L600&lt;10,E600&gt;=TIME(18,0,0)),"Couple Night", "Couple Day")))))</f>
        <v>24H Night</v>
      </c>
      <c r="P600" s="0" t="n">
        <f aca="false">WEEKDAY(D600,2)</f>
        <v>6</v>
      </c>
      <c r="Q600" s="0" t="n">
        <f aca="false">MONTH(D600)</f>
        <v>1</v>
      </c>
      <c r="R600" s="0" t="str">
        <f aca="false">"Q"&amp;ROUNDUP(MONTH(D600)/3,0)</f>
        <v>Q1</v>
      </c>
    </row>
    <row r="601" customFormat="false" ht="115.65" hidden="false" customHeight="false" outlineLevel="0" collapsed="false">
      <c r="A601" s="7" t="s">
        <v>1708</v>
      </c>
      <c r="B601" s="7" t="s">
        <v>1611</v>
      </c>
      <c r="C601" s="13" t="s">
        <v>1709</v>
      </c>
      <c r="D601" s="11" t="n">
        <v>46045</v>
      </c>
      <c r="E601" s="12" t="n">
        <v>0.416666666700625</v>
      </c>
      <c r="F601" s="11" t="n">
        <v>46045</v>
      </c>
      <c r="G601" s="12" t="n">
        <v>0.708333333299375</v>
      </c>
      <c r="H601" s="10" t="n">
        <v>46044.8348905093</v>
      </c>
      <c r="I601" s="7" t="n">
        <v>1500</v>
      </c>
      <c r="J601" s="0" t="n">
        <f aca="false">IF(AND(D601&gt;=DATE(YEAR(D601),3,15),D601&lt;=DATE(YEAR(D601),6,10)),1,0)</f>
        <v>0</v>
      </c>
      <c r="K601" s="0" t="e">
        <f aca="false">VLOOKUP(D601,Festival_List!$A$2:$B$100,2,0)</f>
        <v>#N/A</v>
      </c>
      <c r="L601" s="0" t="n">
        <f aca="false">ROUND(((F601+G601)-(D601+E601))*24,0)</f>
        <v>7</v>
      </c>
      <c r="M601" s="0" t="n">
        <f aca="false">IF(OR(WEEKDAY(D601)=1,WEEKDAY(D601)=7),1,0)</f>
        <v>0</v>
      </c>
      <c r="N601" s="0" t="str">
        <f aca="false">IF(AND(MONTH(D601)&gt;=3,MONTH(D601)&lt;=6),"Summer",IF(AND(MONTH(D601)&gt;=7,MONTH(D601)&lt;=9),"Monsoon","Winter"))</f>
        <v>Winter</v>
      </c>
      <c r="O601" s="0" t="str">
        <f aca="false">IF(AND(L601&gt;=22,L601&lt;=25,E601&gt;=TIME(18,0,0)),"24H Night", IF(AND(L601&gt;=22,L601&lt;=25,E601&lt;TIME(18,0,0)),"24H Day", IF(AND(L601&gt;=11,L601&lt;=13,E601&gt;=TIME(18,0,0)),"12H Night", IF(AND(L601&gt;=11,L601&lt;=13,E601&lt;TIME(18,0,0)),"12H Day", IF(AND(L601&lt;10,E601&gt;=TIME(18,0,0)),"Couple Night", "Couple Day")))))</f>
        <v>Couple Day</v>
      </c>
      <c r="P601" s="0" t="n">
        <f aca="false">WEEKDAY(D601,2)</f>
        <v>5</v>
      </c>
      <c r="Q601" s="0" t="n">
        <f aca="false">MONTH(D601)</f>
        <v>1</v>
      </c>
      <c r="R601" s="0" t="str">
        <f aca="false">"Q"&amp;ROUNDUP(MONTH(D601)/3,0)</f>
        <v>Q1</v>
      </c>
    </row>
    <row r="602" customFormat="false" ht="115.65" hidden="false" customHeight="false" outlineLevel="0" collapsed="false">
      <c r="A602" s="7" t="s">
        <v>1710</v>
      </c>
      <c r="B602" s="7" t="s">
        <v>1711</v>
      </c>
      <c r="C602" s="13" t="s">
        <v>1712</v>
      </c>
      <c r="D602" s="11" t="n">
        <v>46045</v>
      </c>
      <c r="E602" s="12" t="n">
        <v>0.791666666700625</v>
      </c>
      <c r="F602" s="11" t="n">
        <v>46046</v>
      </c>
      <c r="G602" s="12" t="n">
        <v>0.75</v>
      </c>
      <c r="H602" s="10" t="n">
        <v>46045.7735884259</v>
      </c>
      <c r="I602" s="7" t="n">
        <v>1000</v>
      </c>
      <c r="J602" s="0" t="n">
        <f aca="false">IF(AND(D602&gt;=DATE(YEAR(D602),3,15),D602&lt;=DATE(YEAR(D602),6,10)),1,0)</f>
        <v>0</v>
      </c>
      <c r="K602" s="0" t="e">
        <f aca="false">VLOOKUP(D602,Festival_List!$A$2:$B$100,2,0)</f>
        <v>#N/A</v>
      </c>
      <c r="L602" s="0" t="n">
        <f aca="false">ROUND(((F602+G602)-(D602+E602))*24,0)</f>
        <v>23</v>
      </c>
      <c r="M602" s="0" t="n">
        <f aca="false">IF(OR(WEEKDAY(D602)=1,WEEKDAY(D602)=7),1,0)</f>
        <v>0</v>
      </c>
      <c r="N602" s="0" t="str">
        <f aca="false">IF(AND(MONTH(D602)&gt;=3,MONTH(D602)&lt;=6),"Summer",IF(AND(MONTH(D602)&gt;=7,MONTH(D602)&lt;=9),"Monsoon","Winter"))</f>
        <v>Winter</v>
      </c>
      <c r="O602" s="0" t="str">
        <f aca="false">IF(AND(L602&gt;=22,L602&lt;=25,E602&gt;=TIME(18,0,0)),"24H Night", IF(AND(L602&gt;=22,L602&lt;=25,E602&lt;TIME(18,0,0)),"24H Day", IF(AND(L602&gt;=11,L602&lt;=13,E602&gt;=TIME(18,0,0)),"12H Night", IF(AND(L602&gt;=11,L602&lt;=13,E602&lt;TIME(18,0,0)),"12H Day", IF(AND(L602&lt;10,E602&gt;=TIME(18,0,0)),"Couple Night", "Couple Day")))))</f>
        <v>24H Night</v>
      </c>
      <c r="P602" s="0" t="n">
        <f aca="false">WEEKDAY(D602,2)</f>
        <v>5</v>
      </c>
      <c r="Q602" s="0" t="n">
        <f aca="false">MONTH(D602)</f>
        <v>1</v>
      </c>
      <c r="R602" s="0" t="str">
        <f aca="false">"Q"&amp;ROUNDUP(MONTH(D602)/3,0)</f>
        <v>Q1</v>
      </c>
    </row>
    <row r="603" customFormat="false" ht="115.65" hidden="false" customHeight="false" outlineLevel="0" collapsed="false">
      <c r="A603" s="7" t="s">
        <v>1713</v>
      </c>
      <c r="B603" s="7" t="s">
        <v>1714</v>
      </c>
      <c r="C603" s="13" t="s">
        <v>1715</v>
      </c>
      <c r="D603" s="11" t="n">
        <v>46046</v>
      </c>
      <c r="E603" s="12" t="n">
        <v>0.791666666700625</v>
      </c>
      <c r="F603" s="11" t="n">
        <v>46047</v>
      </c>
      <c r="G603" s="12" t="n">
        <v>0.75</v>
      </c>
      <c r="H603" s="10" t="n">
        <v>46043.7704314815</v>
      </c>
      <c r="I603" s="7" t="n">
        <v>5000</v>
      </c>
      <c r="J603" s="0" t="n">
        <f aca="false">IF(AND(D603&gt;=DATE(YEAR(D603),3,15),D603&lt;=DATE(YEAR(D603),6,10)),1,0)</f>
        <v>0</v>
      </c>
      <c r="K603" s="0" t="e">
        <f aca="false">VLOOKUP(D603,Festival_List!$A$2:$B$100,2,0)</f>
        <v>#N/A</v>
      </c>
      <c r="L603" s="0" t="n">
        <f aca="false">ROUND(((F603+G603)-(D603+E603))*24,0)</f>
        <v>23</v>
      </c>
      <c r="M603" s="0" t="n">
        <f aca="false">IF(OR(WEEKDAY(D603)=1,WEEKDAY(D603)=7),1,0)</f>
        <v>1</v>
      </c>
      <c r="N603" s="0" t="str">
        <f aca="false">IF(AND(MONTH(D603)&gt;=3,MONTH(D603)&lt;=6),"Summer",IF(AND(MONTH(D603)&gt;=7,MONTH(D603)&lt;=9),"Monsoon","Winter"))</f>
        <v>Winter</v>
      </c>
      <c r="O603" s="0" t="str">
        <f aca="false">IF(AND(L603&gt;=22,L603&lt;=25,E603&gt;=TIME(18,0,0)),"24H Night", IF(AND(L603&gt;=22,L603&lt;=25,E603&lt;TIME(18,0,0)),"24H Day", IF(AND(L603&gt;=11,L603&lt;=13,E603&gt;=TIME(18,0,0)),"12H Night", IF(AND(L603&gt;=11,L603&lt;=13,E603&lt;TIME(18,0,0)),"12H Day", IF(AND(L603&lt;10,E603&gt;=TIME(18,0,0)),"Couple Night", "Couple Day")))))</f>
        <v>24H Night</v>
      </c>
      <c r="P603" s="0" t="n">
        <f aca="false">WEEKDAY(D603,2)</f>
        <v>6</v>
      </c>
      <c r="Q603" s="0" t="n">
        <f aca="false">MONTH(D603)</f>
        <v>1</v>
      </c>
      <c r="R603" s="0" t="str">
        <f aca="false">"Q"&amp;ROUNDUP(MONTH(D603)/3,0)</f>
        <v>Q1</v>
      </c>
    </row>
    <row r="604" customFormat="false" ht="102.95" hidden="false" customHeight="false" outlineLevel="0" collapsed="false">
      <c r="A604" s="7" t="s">
        <v>1716</v>
      </c>
      <c r="B604" s="7" t="s">
        <v>1717</v>
      </c>
      <c r="C604" s="13" t="s">
        <v>1718</v>
      </c>
      <c r="D604" s="11" t="n">
        <v>46047</v>
      </c>
      <c r="E604" s="12" t="n">
        <v>0.958333333299375</v>
      </c>
      <c r="F604" s="11" t="n">
        <v>46048</v>
      </c>
      <c r="G604" s="12" t="n">
        <v>0.75</v>
      </c>
      <c r="H604" s="10" t="n">
        <v>46047.8893877315</v>
      </c>
      <c r="I604" s="7" t="n">
        <v>4000</v>
      </c>
      <c r="J604" s="0" t="n">
        <f aca="false">IF(AND(D604&gt;=DATE(YEAR(D604),3,15),D604&lt;=DATE(YEAR(D604),6,10)),1,0)</f>
        <v>0</v>
      </c>
      <c r="K604" s="0" t="e">
        <f aca="false">VLOOKUP(D604,Festival_List!$A$2:$B$100,2,0)</f>
        <v>#N/A</v>
      </c>
      <c r="L604" s="0" t="n">
        <f aca="false">ROUND(((F604+G604)-(D604+E604))*24,0)</f>
        <v>19</v>
      </c>
      <c r="M604" s="0" t="n">
        <f aca="false">IF(OR(WEEKDAY(D604)=1,WEEKDAY(D604)=7),1,0)</f>
        <v>1</v>
      </c>
      <c r="N604" s="0" t="str">
        <f aca="false">IF(AND(MONTH(D604)&gt;=3,MONTH(D604)&lt;=6),"Summer",IF(AND(MONTH(D604)&gt;=7,MONTH(D604)&lt;=9),"Monsoon","Winter"))</f>
        <v>Winter</v>
      </c>
      <c r="O604" s="0" t="str">
        <f aca="false">IF(AND(L604&gt;=22,L604&lt;=25,E604&gt;=TIME(18,0,0)),"24H Night", IF(AND(L604&gt;=22,L604&lt;=25,E604&lt;TIME(18,0,0)),"24H Day", IF(AND(L604&gt;=11,L604&lt;=13,E604&gt;=TIME(18,0,0)),"12H Night", IF(AND(L604&gt;=11,L604&lt;=13,E604&lt;TIME(18,0,0)),"12H Day", IF(AND(L604&lt;10,E604&gt;=TIME(18,0,0)),"Couple Night", "Couple Day")))))</f>
        <v>Couple Day</v>
      </c>
      <c r="P604" s="0" t="n">
        <f aca="false">WEEKDAY(D604,2)</f>
        <v>7</v>
      </c>
      <c r="Q604" s="0" t="n">
        <f aca="false">MONTH(D604)</f>
        <v>1</v>
      </c>
      <c r="R604" s="0" t="str">
        <f aca="false">"Q"&amp;ROUNDUP(MONTH(D604)/3,0)</f>
        <v>Q1</v>
      </c>
    </row>
    <row r="605" customFormat="false" ht="102.95" hidden="false" customHeight="false" outlineLevel="0" collapsed="false">
      <c r="A605" s="7" t="s">
        <v>1719</v>
      </c>
      <c r="B605" s="7" t="s">
        <v>1720</v>
      </c>
      <c r="C605" s="13" t="s">
        <v>1721</v>
      </c>
      <c r="D605" s="11" t="n">
        <v>46052</v>
      </c>
      <c r="E605" s="12" t="n">
        <v>0.375</v>
      </c>
      <c r="F605" s="11" t="n">
        <v>46052</v>
      </c>
      <c r="G605" s="12" t="n">
        <v>0.75</v>
      </c>
      <c r="H605" s="10" t="n">
        <v>46050.7961724537</v>
      </c>
      <c r="I605" s="7" t="n">
        <v>2000</v>
      </c>
      <c r="J605" s="0" t="n">
        <f aca="false">IF(AND(D605&gt;=DATE(YEAR(D605),3,15),D605&lt;=DATE(YEAR(D605),6,10)),1,0)</f>
        <v>0</v>
      </c>
      <c r="K605" s="0" t="e">
        <f aca="false">VLOOKUP(D605,Festival_List!$A$2:$B$100,2,0)</f>
        <v>#N/A</v>
      </c>
      <c r="L605" s="0" t="n">
        <f aca="false">ROUND(((F605+G605)-(D605+E605))*24,0)</f>
        <v>9</v>
      </c>
      <c r="M605" s="0" t="n">
        <f aca="false">IF(OR(WEEKDAY(D605)=1,WEEKDAY(D605)=7),1,0)</f>
        <v>0</v>
      </c>
      <c r="N605" s="0" t="str">
        <f aca="false">IF(AND(MONTH(D605)&gt;=3,MONTH(D605)&lt;=6),"Summer",IF(AND(MONTH(D605)&gt;=7,MONTH(D605)&lt;=9),"Monsoon","Winter"))</f>
        <v>Winter</v>
      </c>
      <c r="O605" s="0" t="str">
        <f aca="false">IF(AND(L605&gt;=22,L605&lt;=25,E605&gt;=TIME(18,0,0)),"24H Night", IF(AND(L605&gt;=22,L605&lt;=25,E605&lt;TIME(18,0,0)),"24H Day", IF(AND(L605&gt;=11,L605&lt;=13,E605&gt;=TIME(18,0,0)),"12H Night", IF(AND(L605&gt;=11,L605&lt;=13,E605&lt;TIME(18,0,0)),"12H Day", IF(AND(L605&lt;10,E605&gt;=TIME(18,0,0)),"Couple Night", "Couple Day")))))</f>
        <v>Couple Day</v>
      </c>
      <c r="P605" s="0" t="n">
        <f aca="false">WEEKDAY(D605,2)</f>
        <v>5</v>
      </c>
      <c r="Q605" s="0" t="n">
        <f aca="false">MONTH(D605)</f>
        <v>1</v>
      </c>
      <c r="R605" s="0" t="str">
        <f aca="false">"Q"&amp;ROUNDUP(MONTH(D605)/3,0)</f>
        <v>Q1</v>
      </c>
    </row>
    <row r="606" customFormat="false" ht="13.8" hidden="false" customHeight="false" outlineLevel="0" collapsed="false">
      <c r="A606" s="7" t="s">
        <v>1722</v>
      </c>
      <c r="B606" s="7" t="s">
        <v>1723</v>
      </c>
      <c r="C606" s="7" t="s">
        <v>605</v>
      </c>
      <c r="D606" s="11" t="n">
        <v>46053</v>
      </c>
      <c r="E606" s="12" t="n">
        <v>0.625</v>
      </c>
      <c r="F606" s="11" t="n">
        <v>46053</v>
      </c>
      <c r="G606" s="12" t="n">
        <v>0.75</v>
      </c>
      <c r="H606" s="10" t="n">
        <v>46054.7874728009</v>
      </c>
      <c r="I606" s="7" t="n">
        <v>1000</v>
      </c>
      <c r="J606" s="0" t="n">
        <f aca="false">IF(AND(D606&gt;=DATE(YEAR(D606),3,15),D606&lt;=DATE(YEAR(D606),6,10)),1,0)</f>
        <v>0</v>
      </c>
      <c r="K606" s="0" t="e">
        <f aca="false">VLOOKUP(D606,Festival_List!$A$2:$B$100,2,0)</f>
        <v>#N/A</v>
      </c>
      <c r="L606" s="0" t="n">
        <f aca="false">ROUND(((F606+G606)-(D606+E606))*24,0)</f>
        <v>3</v>
      </c>
      <c r="M606" s="0" t="n">
        <f aca="false">IF(OR(WEEKDAY(D606)=1,WEEKDAY(D606)=7),1,0)</f>
        <v>1</v>
      </c>
      <c r="N606" s="0" t="str">
        <f aca="false">IF(AND(MONTH(D606)&gt;=3,MONTH(D606)&lt;=6),"Summer",IF(AND(MONTH(D606)&gt;=7,MONTH(D606)&lt;=9),"Monsoon","Winter"))</f>
        <v>Winter</v>
      </c>
      <c r="O606" s="0" t="str">
        <f aca="false">IF(AND(L606&gt;=22,L606&lt;=25,E606&gt;=TIME(18,0,0)),"24H Night", IF(AND(L606&gt;=22,L606&lt;=25,E606&lt;TIME(18,0,0)),"24H Day", IF(AND(L606&gt;=11,L606&lt;=13,E606&gt;=TIME(18,0,0)),"12H Night", IF(AND(L606&gt;=11,L606&lt;=13,E606&lt;TIME(18,0,0)),"12H Day", IF(AND(L606&lt;10,E606&gt;=TIME(18,0,0)),"Couple Night", "Couple Day")))))</f>
        <v>Couple Day</v>
      </c>
      <c r="P606" s="0" t="n">
        <f aca="false">WEEKDAY(D606,2)</f>
        <v>6</v>
      </c>
      <c r="Q606" s="0" t="n">
        <f aca="false">MONTH(D606)</f>
        <v>1</v>
      </c>
      <c r="R606" s="0" t="str">
        <f aca="false">"Q"&amp;ROUNDUP(MONTH(D606)/3,0)</f>
        <v>Q1</v>
      </c>
    </row>
    <row r="607" customFormat="false" ht="102.95" hidden="false" customHeight="false" outlineLevel="0" collapsed="false">
      <c r="A607" s="7" t="s">
        <v>1724</v>
      </c>
      <c r="B607" s="7" t="s">
        <v>1725</v>
      </c>
      <c r="C607" s="13" t="s">
        <v>1726</v>
      </c>
      <c r="D607" s="11" t="n">
        <v>46054</v>
      </c>
      <c r="E607" s="12" t="n">
        <v>0.791666666700625</v>
      </c>
      <c r="F607" s="11" t="n">
        <v>46055</v>
      </c>
      <c r="G607" s="12" t="n">
        <v>0.333333333299375</v>
      </c>
      <c r="H607" s="10" t="n">
        <v>46056.7716104167</v>
      </c>
      <c r="I607" s="7" t="n">
        <v>3000</v>
      </c>
      <c r="J607" s="0" t="n">
        <f aca="false">IF(AND(D607&gt;=DATE(YEAR(D607),3,15),D607&lt;=DATE(YEAR(D607),6,10)),1,0)</f>
        <v>0</v>
      </c>
      <c r="K607" s="0" t="e">
        <f aca="false">VLOOKUP(D607,Festival_List!$A$2:$B$100,2,0)</f>
        <v>#N/A</v>
      </c>
      <c r="L607" s="0" t="n">
        <f aca="false">ROUND(((F607+G607)-(D607+E607))*24,0)</f>
        <v>13</v>
      </c>
      <c r="M607" s="0" t="n">
        <f aca="false">IF(OR(WEEKDAY(D607)=1,WEEKDAY(D607)=7),1,0)</f>
        <v>1</v>
      </c>
      <c r="N607" s="0" t="str">
        <f aca="false">IF(AND(MONTH(D607)&gt;=3,MONTH(D607)&lt;=6),"Summer",IF(AND(MONTH(D607)&gt;=7,MONTH(D607)&lt;=9),"Monsoon","Winter"))</f>
        <v>Winter</v>
      </c>
      <c r="O607" s="0" t="str">
        <f aca="false">IF(AND(L607&gt;=22,L607&lt;=25,E607&gt;=TIME(18,0,0)),"24H Night", IF(AND(L607&gt;=22,L607&lt;=25,E607&lt;TIME(18,0,0)),"24H Day", IF(AND(L607&gt;=11,L607&lt;=13,E607&gt;=TIME(18,0,0)),"12H Night", IF(AND(L607&gt;=11,L607&lt;=13,E607&lt;TIME(18,0,0)),"12H Day", IF(AND(L607&lt;10,E607&gt;=TIME(18,0,0)),"Couple Night", "Couple Day")))))</f>
        <v>12H Night</v>
      </c>
      <c r="P607" s="0" t="n">
        <f aca="false">WEEKDAY(D607,2)</f>
        <v>7</v>
      </c>
      <c r="Q607" s="0" t="n">
        <f aca="false">MONTH(D607)</f>
        <v>2</v>
      </c>
      <c r="R607" s="0" t="str">
        <f aca="false">"Q"&amp;ROUNDUP(MONTH(D607)/3,0)</f>
        <v>Q1</v>
      </c>
    </row>
    <row r="608" customFormat="false" ht="115.65" hidden="false" customHeight="false" outlineLevel="0" collapsed="false">
      <c r="A608" s="7" t="s">
        <v>1727</v>
      </c>
      <c r="B608" s="7" t="s">
        <v>1728</v>
      </c>
      <c r="C608" s="13" t="s">
        <v>1729</v>
      </c>
      <c r="D608" s="11" t="n">
        <v>46055</v>
      </c>
      <c r="E608" s="12" t="n">
        <v>0.791666666700625</v>
      </c>
      <c r="F608" s="11" t="n">
        <v>46056</v>
      </c>
      <c r="G608" s="12" t="n">
        <v>0.75</v>
      </c>
      <c r="H608" s="10" t="n">
        <v>46055.9371737268</v>
      </c>
      <c r="I608" s="7" t="n">
        <v>3500</v>
      </c>
      <c r="J608" s="0" t="n">
        <f aca="false">IF(AND(D608&gt;=DATE(YEAR(D608),3,15),D608&lt;=DATE(YEAR(D608),6,10)),1,0)</f>
        <v>0</v>
      </c>
      <c r="K608" s="0" t="e">
        <f aca="false">VLOOKUP(D608,Festival_List!$A$2:$B$100,2,0)</f>
        <v>#N/A</v>
      </c>
      <c r="L608" s="0" t="n">
        <f aca="false">ROUND(((F608+G608)-(D608+E608))*24,0)</f>
        <v>23</v>
      </c>
      <c r="M608" s="0" t="n">
        <f aca="false">IF(OR(WEEKDAY(D608)=1,WEEKDAY(D608)=7),1,0)</f>
        <v>0</v>
      </c>
      <c r="N608" s="0" t="str">
        <f aca="false">IF(AND(MONTH(D608)&gt;=3,MONTH(D608)&lt;=6),"Summer",IF(AND(MONTH(D608)&gt;=7,MONTH(D608)&lt;=9),"Monsoon","Winter"))</f>
        <v>Winter</v>
      </c>
      <c r="O608" s="0" t="str">
        <f aca="false">IF(AND(L608&gt;=22,L608&lt;=25,E608&gt;=TIME(18,0,0)),"24H Night", IF(AND(L608&gt;=22,L608&lt;=25,E608&lt;TIME(18,0,0)),"24H Day", IF(AND(L608&gt;=11,L608&lt;=13,E608&gt;=TIME(18,0,0)),"12H Night", IF(AND(L608&gt;=11,L608&lt;=13,E608&lt;TIME(18,0,0)),"12H Day", IF(AND(L608&lt;10,E608&gt;=TIME(18,0,0)),"Couple Night", "Couple Day")))))</f>
        <v>24H Night</v>
      </c>
      <c r="P608" s="0" t="n">
        <f aca="false">WEEKDAY(D608,2)</f>
        <v>1</v>
      </c>
      <c r="Q608" s="0" t="n">
        <f aca="false">MONTH(D608)</f>
        <v>2</v>
      </c>
      <c r="R608" s="0" t="str">
        <f aca="false">"Q"&amp;ROUNDUP(MONTH(D608)/3,0)</f>
        <v>Q1</v>
      </c>
    </row>
    <row r="609" customFormat="false" ht="115.65" hidden="false" customHeight="false" outlineLevel="0" collapsed="false">
      <c r="A609" s="7" t="s">
        <v>1730</v>
      </c>
      <c r="B609" s="7" t="s">
        <v>1731</v>
      </c>
      <c r="C609" s="13" t="s">
        <v>1732</v>
      </c>
      <c r="D609" s="11" t="n">
        <v>46058</v>
      </c>
      <c r="E609" s="12" t="n">
        <v>0.791666666700625</v>
      </c>
      <c r="F609" s="11" t="n">
        <v>46059</v>
      </c>
      <c r="G609" s="12" t="n">
        <v>0.333333333299375</v>
      </c>
      <c r="H609" s="10" t="n">
        <v>46052.9053883102</v>
      </c>
      <c r="I609" s="7" t="n">
        <v>3000</v>
      </c>
      <c r="J609" s="0" t="n">
        <f aca="false">IF(AND(D609&gt;=DATE(YEAR(D609),3,15),D609&lt;=DATE(YEAR(D609),6,10)),1,0)</f>
        <v>0</v>
      </c>
      <c r="K609" s="0" t="e">
        <f aca="false">VLOOKUP(D609,Festival_List!$A$2:$B$100,2,0)</f>
        <v>#N/A</v>
      </c>
      <c r="L609" s="0" t="n">
        <f aca="false">ROUND(((F609+G609)-(D609+E609))*24,0)</f>
        <v>13</v>
      </c>
      <c r="M609" s="0" t="n">
        <f aca="false">IF(OR(WEEKDAY(D609)=1,WEEKDAY(D609)=7),1,0)</f>
        <v>0</v>
      </c>
      <c r="N609" s="0" t="str">
        <f aca="false">IF(AND(MONTH(D609)&gt;=3,MONTH(D609)&lt;=6),"Summer",IF(AND(MONTH(D609)&gt;=7,MONTH(D609)&lt;=9),"Monsoon","Winter"))</f>
        <v>Winter</v>
      </c>
      <c r="O609" s="0" t="str">
        <f aca="false">IF(AND(L609&gt;=22,L609&lt;=25,E609&gt;=TIME(18,0,0)),"24H Night", IF(AND(L609&gt;=22,L609&lt;=25,E609&lt;TIME(18,0,0)),"24H Day", IF(AND(L609&gt;=11,L609&lt;=13,E609&gt;=TIME(18,0,0)),"12H Night", IF(AND(L609&gt;=11,L609&lt;=13,E609&lt;TIME(18,0,0)),"12H Day", IF(AND(L609&lt;10,E609&gt;=TIME(18,0,0)),"Couple Night", "Couple Day")))))</f>
        <v>12H Night</v>
      </c>
      <c r="P609" s="0" t="n">
        <f aca="false">WEEKDAY(D609,2)</f>
        <v>4</v>
      </c>
      <c r="Q609" s="0" t="n">
        <f aca="false">MONTH(D609)</f>
        <v>2</v>
      </c>
      <c r="R609" s="0" t="str">
        <f aca="false">"Q"&amp;ROUNDUP(MONTH(D609)/3,0)</f>
        <v>Q1</v>
      </c>
    </row>
    <row r="610" customFormat="false" ht="102.95" hidden="false" customHeight="false" outlineLevel="0" collapsed="false">
      <c r="A610" s="7" t="s">
        <v>1733</v>
      </c>
      <c r="B610" s="7" t="s">
        <v>1734</v>
      </c>
      <c r="C610" s="13" t="s">
        <v>1735</v>
      </c>
      <c r="D610" s="11" t="n">
        <v>46059</v>
      </c>
      <c r="E610" s="12" t="n">
        <v>0.791666666700625</v>
      </c>
      <c r="F610" s="11" t="n">
        <v>46060</v>
      </c>
      <c r="G610" s="12" t="n">
        <v>0.75</v>
      </c>
      <c r="H610" s="10" t="n">
        <v>46056.700365162</v>
      </c>
      <c r="I610" s="7" t="n">
        <v>3500</v>
      </c>
      <c r="J610" s="0" t="n">
        <f aca="false">IF(AND(D610&gt;=DATE(YEAR(D610),3,15),D610&lt;=DATE(YEAR(D610),6,10)),1,0)</f>
        <v>0</v>
      </c>
      <c r="K610" s="0" t="e">
        <f aca="false">VLOOKUP(D610,Festival_List!$A$2:$B$100,2,0)</f>
        <v>#N/A</v>
      </c>
      <c r="L610" s="0" t="n">
        <f aca="false">ROUND(((F610+G610)-(D610+E610))*24,0)</f>
        <v>23</v>
      </c>
      <c r="M610" s="0" t="n">
        <f aca="false">IF(OR(WEEKDAY(D610)=1,WEEKDAY(D610)=7),1,0)</f>
        <v>0</v>
      </c>
      <c r="N610" s="0" t="str">
        <f aca="false">IF(AND(MONTH(D610)&gt;=3,MONTH(D610)&lt;=6),"Summer",IF(AND(MONTH(D610)&gt;=7,MONTH(D610)&lt;=9),"Monsoon","Winter"))</f>
        <v>Winter</v>
      </c>
      <c r="O610" s="0" t="str">
        <f aca="false">IF(AND(L610&gt;=22,L610&lt;=25,E610&gt;=TIME(18,0,0)),"24H Night", IF(AND(L610&gt;=22,L610&lt;=25,E610&lt;TIME(18,0,0)),"24H Day", IF(AND(L610&gt;=11,L610&lt;=13,E610&gt;=TIME(18,0,0)),"12H Night", IF(AND(L610&gt;=11,L610&lt;=13,E610&lt;TIME(18,0,0)),"12H Day", IF(AND(L610&lt;10,E610&gt;=TIME(18,0,0)),"Couple Night", "Couple Day")))))</f>
        <v>24H Night</v>
      </c>
      <c r="P610" s="0" t="n">
        <f aca="false">WEEKDAY(D610,2)</f>
        <v>5</v>
      </c>
      <c r="Q610" s="0" t="n">
        <f aca="false">MONTH(D610)</f>
        <v>2</v>
      </c>
      <c r="R610" s="0" t="str">
        <f aca="false">"Q"&amp;ROUNDUP(MONTH(D610)/3,0)</f>
        <v>Q1</v>
      </c>
    </row>
    <row r="611" customFormat="false" ht="77.6" hidden="false" customHeight="false" outlineLevel="0" collapsed="false">
      <c r="A611" s="7" t="s">
        <v>1736</v>
      </c>
      <c r="B611" s="7" t="s">
        <v>953</v>
      </c>
      <c r="C611" s="13" t="s">
        <v>1737</v>
      </c>
      <c r="D611" s="11" t="n">
        <v>46061</v>
      </c>
      <c r="E611" s="12" t="n">
        <v>0.625</v>
      </c>
      <c r="F611" s="11" t="n">
        <v>46061</v>
      </c>
      <c r="G611" s="12" t="n">
        <v>0.75</v>
      </c>
      <c r="H611" s="10" t="n">
        <v>46061.6246236111</v>
      </c>
      <c r="I611" s="7" t="n">
        <v>2500</v>
      </c>
      <c r="J611" s="0" t="n">
        <f aca="false">IF(AND(D611&gt;=DATE(YEAR(D611),3,15),D611&lt;=DATE(YEAR(D611),6,10)),1,0)</f>
        <v>0</v>
      </c>
      <c r="K611" s="0" t="e">
        <f aca="false">VLOOKUP(D611,Festival_List!$A$2:$B$100,2,0)</f>
        <v>#N/A</v>
      </c>
      <c r="L611" s="0" t="n">
        <f aca="false">ROUND(((F611+G611)-(D611+E611))*24,0)</f>
        <v>3</v>
      </c>
      <c r="M611" s="0" t="n">
        <f aca="false">IF(OR(WEEKDAY(D611)=1,WEEKDAY(D611)=7),1,0)</f>
        <v>1</v>
      </c>
      <c r="N611" s="0" t="str">
        <f aca="false">IF(AND(MONTH(D611)&gt;=3,MONTH(D611)&lt;=6),"Summer",IF(AND(MONTH(D611)&gt;=7,MONTH(D611)&lt;=9),"Monsoon","Winter"))</f>
        <v>Winter</v>
      </c>
      <c r="O611" s="0" t="str">
        <f aca="false">IF(AND(L611&gt;=22,L611&lt;=25,E611&gt;=TIME(18,0,0)),"24H Night", IF(AND(L611&gt;=22,L611&lt;=25,E611&lt;TIME(18,0,0)),"24H Day", IF(AND(L611&gt;=11,L611&lt;=13,E611&gt;=TIME(18,0,0)),"12H Night", IF(AND(L611&gt;=11,L611&lt;=13,E611&lt;TIME(18,0,0)),"12H Day", IF(AND(L611&lt;10,E611&gt;=TIME(18,0,0)),"Couple Night", "Couple Day")))))</f>
        <v>Couple Day</v>
      </c>
      <c r="P611" s="0" t="n">
        <f aca="false">WEEKDAY(D611,2)</f>
        <v>7</v>
      </c>
      <c r="Q611" s="0" t="n">
        <f aca="false">MONTH(D611)</f>
        <v>2</v>
      </c>
      <c r="R611" s="0" t="str">
        <f aca="false">"Q"&amp;ROUNDUP(MONTH(D611)/3,0)</f>
        <v>Q1</v>
      </c>
    </row>
    <row r="612" customFormat="false" ht="102.95" hidden="false" customHeight="false" outlineLevel="0" collapsed="false">
      <c r="A612" s="7" t="s">
        <v>1738</v>
      </c>
      <c r="B612" s="7" t="s">
        <v>1739</v>
      </c>
      <c r="C612" s="13" t="s">
        <v>1740</v>
      </c>
      <c r="D612" s="11" t="n">
        <v>46063</v>
      </c>
      <c r="E612" s="12" t="n">
        <v>0.5</v>
      </c>
      <c r="F612" s="11" t="n">
        <v>46063</v>
      </c>
      <c r="G612" s="12" t="n">
        <v>0.75</v>
      </c>
      <c r="H612" s="10" t="n">
        <v>46062.5522001157</v>
      </c>
      <c r="I612" s="7" t="n">
        <v>1500</v>
      </c>
      <c r="J612" s="0" t="n">
        <f aca="false">IF(AND(D612&gt;=DATE(YEAR(D612),3,15),D612&lt;=DATE(YEAR(D612),6,10)),1,0)</f>
        <v>0</v>
      </c>
      <c r="K612" s="0" t="e">
        <f aca="false">VLOOKUP(D612,Festival_List!$A$2:$B$100,2,0)</f>
        <v>#N/A</v>
      </c>
      <c r="L612" s="0" t="n">
        <f aca="false">ROUND(((F612+G612)-(D612+E612))*24,0)</f>
        <v>6</v>
      </c>
      <c r="M612" s="0" t="n">
        <f aca="false">IF(OR(WEEKDAY(D612)=1,WEEKDAY(D612)=7),1,0)</f>
        <v>0</v>
      </c>
      <c r="N612" s="0" t="str">
        <f aca="false">IF(AND(MONTH(D612)&gt;=3,MONTH(D612)&lt;=6),"Summer",IF(AND(MONTH(D612)&gt;=7,MONTH(D612)&lt;=9),"Monsoon","Winter"))</f>
        <v>Winter</v>
      </c>
      <c r="O612" s="0" t="str">
        <f aca="false">IF(AND(L612&gt;=22,L612&lt;=25,E612&gt;=TIME(18,0,0)),"24H Night", IF(AND(L612&gt;=22,L612&lt;=25,E612&lt;TIME(18,0,0)),"24H Day", IF(AND(L612&gt;=11,L612&lt;=13,E612&gt;=TIME(18,0,0)),"12H Night", IF(AND(L612&gt;=11,L612&lt;=13,E612&lt;TIME(18,0,0)),"12H Day", IF(AND(L612&lt;10,E612&gt;=TIME(18,0,0)),"Couple Night", "Couple Day")))))</f>
        <v>Couple Day</v>
      </c>
      <c r="P612" s="0" t="n">
        <f aca="false">WEEKDAY(D612,2)</f>
        <v>2</v>
      </c>
      <c r="Q612" s="0" t="n">
        <f aca="false">MONTH(D612)</f>
        <v>2</v>
      </c>
      <c r="R612" s="0" t="str">
        <f aca="false">"Q"&amp;ROUNDUP(MONTH(D612)/3,0)</f>
        <v>Q1</v>
      </c>
    </row>
    <row r="613" customFormat="false" ht="102.95" hidden="false" customHeight="false" outlineLevel="0" collapsed="false">
      <c r="A613" s="7" t="s">
        <v>1741</v>
      </c>
      <c r="B613" s="7" t="s">
        <v>365</v>
      </c>
      <c r="C613" s="13" t="s">
        <v>1742</v>
      </c>
      <c r="D613" s="11" t="n">
        <v>46066</v>
      </c>
      <c r="E613" s="12" t="n">
        <v>0.375</v>
      </c>
      <c r="F613" s="11" t="n">
        <v>46066</v>
      </c>
      <c r="G613" s="12" t="n">
        <v>0.75</v>
      </c>
      <c r="H613" s="10" t="n">
        <v>46064.5150421296</v>
      </c>
      <c r="I613" s="7" t="n">
        <v>1500</v>
      </c>
      <c r="J613" s="0" t="n">
        <f aca="false">IF(AND(D613&gt;=DATE(YEAR(D613),3,15),D613&lt;=DATE(YEAR(D613),6,10)),1,0)</f>
        <v>0</v>
      </c>
      <c r="K613" s="0" t="e">
        <f aca="false">VLOOKUP(D613,Festival_List!$A$2:$B$100,2,0)</f>
        <v>#N/A</v>
      </c>
      <c r="L613" s="0" t="n">
        <f aca="false">ROUND(((F613+G613)-(D613+E613))*24,0)</f>
        <v>9</v>
      </c>
      <c r="M613" s="0" t="n">
        <f aca="false">IF(OR(WEEKDAY(D613)=1,WEEKDAY(D613)=7),1,0)</f>
        <v>0</v>
      </c>
      <c r="N613" s="0" t="str">
        <f aca="false">IF(AND(MONTH(D613)&gt;=3,MONTH(D613)&lt;=6),"Summer",IF(AND(MONTH(D613)&gt;=7,MONTH(D613)&lt;=9),"Monsoon","Winter"))</f>
        <v>Winter</v>
      </c>
      <c r="O613" s="0" t="str">
        <f aca="false">IF(AND(L613&gt;=22,L613&lt;=25,E613&gt;=TIME(18,0,0)),"24H Night", IF(AND(L613&gt;=22,L613&lt;=25,E613&lt;TIME(18,0,0)),"24H Day", IF(AND(L613&gt;=11,L613&lt;=13,E613&gt;=TIME(18,0,0)),"12H Night", IF(AND(L613&gt;=11,L613&lt;=13,E613&lt;TIME(18,0,0)),"12H Day", IF(AND(L613&lt;10,E613&gt;=TIME(18,0,0)),"Couple Night", "Couple Day")))))</f>
        <v>Couple Day</v>
      </c>
      <c r="P613" s="0" t="n">
        <f aca="false">WEEKDAY(D613,2)</f>
        <v>5</v>
      </c>
      <c r="Q613" s="0" t="n">
        <f aca="false">MONTH(D613)</f>
        <v>2</v>
      </c>
      <c r="R613" s="0" t="str">
        <f aca="false">"Q"&amp;ROUNDUP(MONTH(D613)/3,0)</f>
        <v>Q1</v>
      </c>
    </row>
    <row r="614" customFormat="false" ht="102.95" hidden="false" customHeight="false" outlineLevel="0" collapsed="false">
      <c r="A614" s="7" t="s">
        <v>1743</v>
      </c>
      <c r="B614" s="7" t="s">
        <v>1744</v>
      </c>
      <c r="C614" s="13" t="s">
        <v>1745</v>
      </c>
      <c r="D614" s="11" t="n">
        <v>46067</v>
      </c>
      <c r="E614" s="12" t="n">
        <v>0.791666666700625</v>
      </c>
      <c r="F614" s="11" t="n">
        <v>46068</v>
      </c>
      <c r="G614" s="12" t="n">
        <v>0.75</v>
      </c>
      <c r="H614" s="10" t="n">
        <v>46066.8887273148</v>
      </c>
      <c r="I614" s="7" t="n">
        <v>4500</v>
      </c>
      <c r="J614" s="0" t="n">
        <f aca="false">IF(AND(D614&gt;=DATE(YEAR(D614),3,15),D614&lt;=DATE(YEAR(D614),6,10)),1,0)</f>
        <v>0</v>
      </c>
      <c r="K614" s="0" t="e">
        <f aca="false">VLOOKUP(D614,Festival_List!$A$2:$B$100,2,0)</f>
        <v>#N/A</v>
      </c>
      <c r="L614" s="0" t="n">
        <f aca="false">ROUND(((F614+G614)-(D614+E614))*24,0)</f>
        <v>23</v>
      </c>
      <c r="M614" s="0" t="n">
        <f aca="false">IF(OR(WEEKDAY(D614)=1,WEEKDAY(D614)=7),1,0)</f>
        <v>1</v>
      </c>
      <c r="N614" s="0" t="str">
        <f aca="false">IF(AND(MONTH(D614)&gt;=3,MONTH(D614)&lt;=6),"Summer",IF(AND(MONTH(D614)&gt;=7,MONTH(D614)&lt;=9),"Monsoon","Winter"))</f>
        <v>Winter</v>
      </c>
      <c r="O614" s="0" t="str">
        <f aca="false">IF(AND(L614&gt;=22,L614&lt;=25,E614&gt;=TIME(18,0,0)),"24H Night", IF(AND(L614&gt;=22,L614&lt;=25,E614&lt;TIME(18,0,0)),"24H Day", IF(AND(L614&gt;=11,L614&lt;=13,E614&gt;=TIME(18,0,0)),"12H Night", IF(AND(L614&gt;=11,L614&lt;=13,E614&lt;TIME(18,0,0)),"12H Day", IF(AND(L614&lt;10,E614&gt;=TIME(18,0,0)),"Couple Night", "Couple Day")))))</f>
        <v>24H Night</v>
      </c>
      <c r="P614" s="0" t="n">
        <f aca="false">WEEKDAY(D614,2)</f>
        <v>6</v>
      </c>
      <c r="Q614" s="0" t="n">
        <f aca="false">MONTH(D614)</f>
        <v>2</v>
      </c>
      <c r="R614" s="0" t="str">
        <f aca="false">"Q"&amp;ROUNDUP(MONTH(D614)/3,0)</f>
        <v>Q1</v>
      </c>
    </row>
    <row r="615" customFormat="false" ht="102.95" hidden="false" customHeight="false" outlineLevel="0" collapsed="false">
      <c r="A615" s="7" t="s">
        <v>1746</v>
      </c>
      <c r="B615" s="7" t="s">
        <v>1334</v>
      </c>
      <c r="C615" s="13" t="s">
        <v>1747</v>
      </c>
      <c r="D615" s="11" t="n">
        <v>46069</v>
      </c>
      <c r="E615" s="12" t="n">
        <v>0.375</v>
      </c>
      <c r="F615" s="11" t="n">
        <v>46069</v>
      </c>
      <c r="G615" s="12" t="n">
        <v>0.75</v>
      </c>
      <c r="H615" s="10" t="n">
        <v>46056.8978105324</v>
      </c>
      <c r="I615" s="7" t="n">
        <v>2500</v>
      </c>
      <c r="J615" s="0" t="n">
        <f aca="false">IF(AND(D615&gt;=DATE(YEAR(D615),3,15),D615&lt;=DATE(YEAR(D615),6,10)),1,0)</f>
        <v>0</v>
      </c>
      <c r="K615" s="0" t="e">
        <f aca="false">VLOOKUP(D615,Festival_List!$A$2:$B$100,2,0)</f>
        <v>#N/A</v>
      </c>
      <c r="L615" s="0" t="n">
        <f aca="false">ROUND(((F615+G615)-(D615+E615))*24,0)</f>
        <v>9</v>
      </c>
      <c r="M615" s="0" t="n">
        <f aca="false">IF(OR(WEEKDAY(D615)=1,WEEKDAY(D615)=7),1,0)</f>
        <v>0</v>
      </c>
      <c r="N615" s="0" t="str">
        <f aca="false">IF(AND(MONTH(D615)&gt;=3,MONTH(D615)&lt;=6),"Summer",IF(AND(MONTH(D615)&gt;=7,MONTH(D615)&lt;=9),"Monsoon","Winter"))</f>
        <v>Winter</v>
      </c>
      <c r="O615" s="0" t="str">
        <f aca="false">IF(AND(L615&gt;=22,L615&lt;=25,E615&gt;=TIME(18,0,0)),"24H Night", IF(AND(L615&gt;=22,L615&lt;=25,E615&lt;TIME(18,0,0)),"24H Day", IF(AND(L615&gt;=11,L615&lt;=13,E615&gt;=TIME(18,0,0)),"12H Night", IF(AND(L615&gt;=11,L615&lt;=13,E615&lt;TIME(18,0,0)),"12H Day", IF(AND(L615&lt;10,E615&gt;=TIME(18,0,0)),"Couple Night", "Couple Day")))))</f>
        <v>Couple Day</v>
      </c>
      <c r="P615" s="0" t="n">
        <f aca="false">WEEKDAY(D615,2)</f>
        <v>1</v>
      </c>
      <c r="Q615" s="0" t="n">
        <f aca="false">MONTH(D615)</f>
        <v>2</v>
      </c>
      <c r="R615" s="0" t="str">
        <f aca="false">"Q"&amp;ROUNDUP(MONTH(D615)/3,0)</f>
        <v>Q1</v>
      </c>
    </row>
    <row r="616" customFormat="false" ht="115.65" hidden="false" customHeight="false" outlineLevel="0" collapsed="false">
      <c r="A616" s="7" t="s">
        <v>1748</v>
      </c>
      <c r="B616" s="7" t="s">
        <v>1749</v>
      </c>
      <c r="C616" s="13" t="s">
        <v>1709</v>
      </c>
      <c r="D616" s="11" t="n">
        <v>46071</v>
      </c>
      <c r="E616" s="12" t="n">
        <v>0.375</v>
      </c>
      <c r="F616" s="11" t="n">
        <v>46071</v>
      </c>
      <c r="G616" s="12" t="n">
        <v>0.75</v>
      </c>
      <c r="H616" s="10" t="n">
        <v>46070.9003400463</v>
      </c>
      <c r="I616" s="7" t="n">
        <v>1500</v>
      </c>
      <c r="J616" s="0" t="n">
        <f aca="false">IF(AND(D616&gt;=DATE(YEAR(D616),3,15),D616&lt;=DATE(YEAR(D616),6,10)),1,0)</f>
        <v>0</v>
      </c>
      <c r="K616" s="0" t="e">
        <f aca="false">VLOOKUP(D616,Festival_List!$A$2:$B$100,2,0)</f>
        <v>#N/A</v>
      </c>
      <c r="L616" s="0" t="n">
        <f aca="false">ROUND(((F616+G616)-(D616+E616))*24,0)</f>
        <v>9</v>
      </c>
      <c r="M616" s="0" t="n">
        <f aca="false">IF(OR(WEEKDAY(D616)=1,WEEKDAY(D616)=7),1,0)</f>
        <v>0</v>
      </c>
      <c r="N616" s="0" t="str">
        <f aca="false">IF(AND(MONTH(D616)&gt;=3,MONTH(D616)&lt;=6),"Summer",IF(AND(MONTH(D616)&gt;=7,MONTH(D616)&lt;=9),"Monsoon","Winter"))</f>
        <v>Winter</v>
      </c>
      <c r="O616" s="0" t="str">
        <f aca="false">IF(AND(L616&gt;=22,L616&lt;=25,E616&gt;=TIME(18,0,0)),"24H Night", IF(AND(L616&gt;=22,L616&lt;=25,E616&lt;TIME(18,0,0)),"24H Day", IF(AND(L616&gt;=11,L616&lt;=13,E616&gt;=TIME(18,0,0)),"12H Night", IF(AND(L616&gt;=11,L616&lt;=13,E616&lt;TIME(18,0,0)),"12H Day", IF(AND(L616&lt;10,E616&gt;=TIME(18,0,0)),"Couple Night", "Couple Day")))))</f>
        <v>Couple Day</v>
      </c>
      <c r="P616" s="0" t="n">
        <f aca="false">WEEKDAY(D616,2)</f>
        <v>3</v>
      </c>
      <c r="Q616" s="0" t="n">
        <f aca="false">MONTH(D616)</f>
        <v>2</v>
      </c>
      <c r="R616" s="0" t="str">
        <f aca="false">"Q"&amp;ROUNDUP(MONTH(D616)/3,0)</f>
        <v>Q1</v>
      </c>
    </row>
    <row r="617" customFormat="false" ht="115.65" hidden="false" customHeight="false" outlineLevel="0" collapsed="false">
      <c r="A617" s="7" t="s">
        <v>1750</v>
      </c>
      <c r="B617" s="7" t="s">
        <v>1751</v>
      </c>
      <c r="C617" s="13" t="s">
        <v>1709</v>
      </c>
      <c r="D617" s="11" t="n">
        <v>46074</v>
      </c>
      <c r="E617" s="12" t="n">
        <v>0.375</v>
      </c>
      <c r="F617" s="11" t="n">
        <v>46074</v>
      </c>
      <c r="G617" s="12" t="n">
        <v>0.75</v>
      </c>
      <c r="H617" s="10" t="n">
        <v>46069.7577428241</v>
      </c>
      <c r="I617" s="7" t="n">
        <v>1500</v>
      </c>
      <c r="J617" s="0" t="n">
        <f aca="false">IF(AND(D617&gt;=DATE(YEAR(D617),3,15),D617&lt;=DATE(YEAR(D617),6,10)),1,0)</f>
        <v>0</v>
      </c>
      <c r="K617" s="0" t="e">
        <f aca="false">VLOOKUP(D617,Festival_List!$A$2:$B$100,2,0)</f>
        <v>#N/A</v>
      </c>
      <c r="L617" s="0" t="n">
        <f aca="false">ROUND(((F617+G617)-(D617+E617))*24,0)</f>
        <v>9</v>
      </c>
      <c r="M617" s="0" t="n">
        <f aca="false">IF(OR(WEEKDAY(D617)=1,WEEKDAY(D617)=7),1,0)</f>
        <v>1</v>
      </c>
      <c r="N617" s="0" t="str">
        <f aca="false">IF(AND(MONTH(D617)&gt;=3,MONTH(D617)&lt;=6),"Summer",IF(AND(MONTH(D617)&gt;=7,MONTH(D617)&lt;=9),"Monsoon","Winter"))</f>
        <v>Winter</v>
      </c>
      <c r="O617" s="0" t="str">
        <f aca="false">IF(AND(L617&gt;=22,L617&lt;=25,E617&gt;=TIME(18,0,0)),"24H Night", IF(AND(L617&gt;=22,L617&lt;=25,E617&lt;TIME(18,0,0)),"24H Day", IF(AND(L617&gt;=11,L617&lt;=13,E617&gt;=TIME(18,0,0)),"12H Night", IF(AND(L617&gt;=11,L617&lt;=13,E617&lt;TIME(18,0,0)),"12H Day", IF(AND(L617&lt;10,E617&gt;=TIME(18,0,0)),"Couple Night", "Couple Day")))))</f>
        <v>Couple Day</v>
      </c>
      <c r="P617" s="0" t="n">
        <f aca="false">WEEKDAY(D617,2)</f>
        <v>6</v>
      </c>
      <c r="Q617" s="0" t="n">
        <f aca="false">MONTH(D617)</f>
        <v>2</v>
      </c>
      <c r="R617" s="0" t="str">
        <f aca="false">"Q"&amp;ROUNDUP(MONTH(D617)/3,0)</f>
        <v>Q1</v>
      </c>
    </row>
    <row r="618" customFormat="false" ht="102.95" hidden="false" customHeight="false" outlineLevel="0" collapsed="false">
      <c r="A618" s="7" t="s">
        <v>1752</v>
      </c>
      <c r="B618" s="7" t="s">
        <v>1753</v>
      </c>
      <c r="C618" s="13" t="s">
        <v>1754</v>
      </c>
      <c r="D618" s="11" t="n">
        <v>46077</v>
      </c>
      <c r="E618" s="12" t="n">
        <v>0.458333333299375</v>
      </c>
      <c r="F618" s="11" t="n">
        <v>46077</v>
      </c>
      <c r="G618" s="12" t="n">
        <v>0.625</v>
      </c>
      <c r="H618" s="10" t="n">
        <v>46077.4170484954</v>
      </c>
      <c r="I618" s="7" t="n">
        <v>1500</v>
      </c>
      <c r="J618" s="0" t="n">
        <f aca="false">IF(AND(D618&gt;=DATE(YEAR(D618),3,15),D618&lt;=DATE(YEAR(D618),6,10)),1,0)</f>
        <v>0</v>
      </c>
      <c r="K618" s="0" t="e">
        <f aca="false">VLOOKUP(D618,Festival_List!$A$2:$B$100,2,0)</f>
        <v>#N/A</v>
      </c>
      <c r="L618" s="0" t="n">
        <f aca="false">ROUND(((F618+G618)-(D618+E618))*24,0)</f>
        <v>4</v>
      </c>
      <c r="M618" s="0" t="n">
        <f aca="false">IF(OR(WEEKDAY(D618)=1,WEEKDAY(D618)=7),1,0)</f>
        <v>0</v>
      </c>
      <c r="N618" s="0" t="str">
        <f aca="false">IF(AND(MONTH(D618)&gt;=3,MONTH(D618)&lt;=6),"Summer",IF(AND(MONTH(D618)&gt;=7,MONTH(D618)&lt;=9),"Monsoon","Winter"))</f>
        <v>Winter</v>
      </c>
      <c r="O618" s="0" t="str">
        <f aca="false">IF(AND(L618&gt;=22,L618&lt;=25,E618&gt;=TIME(18,0,0)),"24H Night", IF(AND(L618&gt;=22,L618&lt;=25,E618&lt;TIME(18,0,0)),"24H Day", IF(AND(L618&gt;=11,L618&lt;=13,E618&gt;=TIME(18,0,0)),"12H Night", IF(AND(L618&gt;=11,L618&lt;=13,E618&lt;TIME(18,0,0)),"12H Day", IF(AND(L618&lt;10,E618&gt;=TIME(18,0,0)),"Couple Night", "Couple Day")))))</f>
        <v>Couple Day</v>
      </c>
      <c r="P618" s="0" t="n">
        <f aca="false">WEEKDAY(D618,2)</f>
        <v>2</v>
      </c>
      <c r="Q618" s="0" t="n">
        <f aca="false">MONTH(D618)</f>
        <v>2</v>
      </c>
      <c r="R618" s="0" t="str">
        <f aca="false">"Q"&amp;ROUNDUP(MONTH(D618)/3,0)</f>
        <v>Q1</v>
      </c>
    </row>
    <row r="619" customFormat="false" ht="115.65" hidden="false" customHeight="false" outlineLevel="0" collapsed="false">
      <c r="A619" s="7" t="s">
        <v>1755</v>
      </c>
      <c r="B619" s="7" t="s">
        <v>1756</v>
      </c>
      <c r="C619" s="13" t="s">
        <v>1757</v>
      </c>
      <c r="D619" s="11" t="n">
        <v>46078</v>
      </c>
      <c r="E619" s="12" t="n">
        <v>0.375</v>
      </c>
      <c r="F619" s="11" t="n">
        <v>46078</v>
      </c>
      <c r="G619" s="12" t="n">
        <v>0.75</v>
      </c>
      <c r="H619" s="10" t="n">
        <v>46077.9054481482</v>
      </c>
      <c r="I619" s="7" t="n">
        <v>2000</v>
      </c>
      <c r="J619" s="0" t="n">
        <f aca="false">IF(AND(D619&gt;=DATE(YEAR(D619),3,15),D619&lt;=DATE(YEAR(D619),6,10)),1,0)</f>
        <v>0</v>
      </c>
      <c r="K619" s="0" t="e">
        <f aca="false">VLOOKUP(D619,Festival_List!$A$2:$B$100,2,0)</f>
        <v>#N/A</v>
      </c>
      <c r="L619" s="0" t="n">
        <f aca="false">ROUND(((F619+G619)-(D619+E619))*24,0)</f>
        <v>9</v>
      </c>
      <c r="M619" s="0" t="n">
        <f aca="false">IF(OR(WEEKDAY(D619)=1,WEEKDAY(D619)=7),1,0)</f>
        <v>0</v>
      </c>
      <c r="N619" s="0" t="str">
        <f aca="false">IF(AND(MONTH(D619)&gt;=3,MONTH(D619)&lt;=6),"Summer",IF(AND(MONTH(D619)&gt;=7,MONTH(D619)&lt;=9),"Monsoon","Winter"))</f>
        <v>Winter</v>
      </c>
      <c r="O619" s="0" t="str">
        <f aca="false">IF(AND(L619&gt;=22,L619&lt;=25,E619&gt;=TIME(18,0,0)),"24H Night", IF(AND(L619&gt;=22,L619&lt;=25,E619&lt;TIME(18,0,0)),"24H Day", IF(AND(L619&gt;=11,L619&lt;=13,E619&gt;=TIME(18,0,0)),"12H Night", IF(AND(L619&gt;=11,L619&lt;=13,E619&lt;TIME(18,0,0)),"12H Day", IF(AND(L619&lt;10,E619&gt;=TIME(18,0,0)),"Couple Night", "Couple Day")))))</f>
        <v>Couple Day</v>
      </c>
      <c r="P619" s="0" t="n">
        <f aca="false">WEEKDAY(D619,2)</f>
        <v>3</v>
      </c>
      <c r="Q619" s="0" t="n">
        <f aca="false">MONTH(D619)</f>
        <v>2</v>
      </c>
      <c r="R619" s="0" t="str">
        <f aca="false">"Q"&amp;ROUNDUP(MONTH(D619)/3,0)</f>
        <v>Q1</v>
      </c>
    </row>
    <row r="620" customFormat="false" ht="77.6" hidden="false" customHeight="false" outlineLevel="0" collapsed="false">
      <c r="A620" s="7" t="s">
        <v>1758</v>
      </c>
      <c r="B620" s="7" t="s">
        <v>1759</v>
      </c>
      <c r="C620" s="13" t="s">
        <v>1760</v>
      </c>
      <c r="D620" s="11" t="n">
        <v>46080</v>
      </c>
      <c r="E620" s="12" t="n">
        <v>0.791666666700625</v>
      </c>
      <c r="F620" s="11" t="n">
        <v>46081</v>
      </c>
      <c r="G620" s="12" t="n">
        <v>0.75</v>
      </c>
      <c r="H620" s="10" t="n">
        <v>46095.7418359954</v>
      </c>
      <c r="I620" s="7" t="n">
        <v>3500</v>
      </c>
      <c r="J620" s="0" t="n">
        <f aca="false">IF(AND(D620&gt;=DATE(YEAR(D620),3,15),D620&lt;=DATE(YEAR(D620),6,10)),1,0)</f>
        <v>0</v>
      </c>
      <c r="K620" s="0" t="e">
        <f aca="false">VLOOKUP(D620,Festival_List!$A$2:$B$100,2,0)</f>
        <v>#N/A</v>
      </c>
      <c r="L620" s="0" t="n">
        <f aca="false">ROUND(((F620+G620)-(D620+E620))*24,0)</f>
        <v>23</v>
      </c>
      <c r="M620" s="0" t="n">
        <f aca="false">IF(OR(WEEKDAY(D620)=1,WEEKDAY(D620)=7),1,0)</f>
        <v>0</v>
      </c>
      <c r="N620" s="0" t="str">
        <f aca="false">IF(AND(MONTH(D620)&gt;=3,MONTH(D620)&lt;=6),"Summer",IF(AND(MONTH(D620)&gt;=7,MONTH(D620)&lt;=9),"Monsoon","Winter"))</f>
        <v>Winter</v>
      </c>
      <c r="O620" s="0" t="str">
        <f aca="false">IF(AND(L620&gt;=22,L620&lt;=25,E620&gt;=TIME(18,0,0)),"24H Night", IF(AND(L620&gt;=22,L620&lt;=25,E620&lt;TIME(18,0,0)),"24H Day", IF(AND(L620&gt;=11,L620&lt;=13,E620&gt;=TIME(18,0,0)),"12H Night", IF(AND(L620&gt;=11,L620&lt;=13,E620&lt;TIME(18,0,0)),"12H Day", IF(AND(L620&lt;10,E620&gt;=TIME(18,0,0)),"Couple Night", "Couple Day")))))</f>
        <v>24H Night</v>
      </c>
      <c r="P620" s="0" t="n">
        <f aca="false">WEEKDAY(D620,2)</f>
        <v>5</v>
      </c>
      <c r="Q620" s="0" t="n">
        <f aca="false">MONTH(D620)</f>
        <v>2</v>
      </c>
      <c r="R620" s="0" t="str">
        <f aca="false">"Q"&amp;ROUNDUP(MONTH(D620)/3,0)</f>
        <v>Q1</v>
      </c>
    </row>
    <row r="621" customFormat="false" ht="102.95" hidden="false" customHeight="false" outlineLevel="0" collapsed="false">
      <c r="A621" s="7" t="s">
        <v>1761</v>
      </c>
      <c r="B621" s="7" t="s">
        <v>1762</v>
      </c>
      <c r="C621" s="13" t="s">
        <v>1763</v>
      </c>
      <c r="D621" s="11" t="n">
        <v>46081</v>
      </c>
      <c r="E621" s="12" t="n">
        <v>0.791666666700625</v>
      </c>
      <c r="F621" s="11" t="n">
        <v>46082</v>
      </c>
      <c r="G621" s="12" t="n">
        <v>0.75</v>
      </c>
      <c r="H621" s="10" t="n">
        <v>46069.8709758102</v>
      </c>
      <c r="I621" s="7" t="n">
        <v>5000</v>
      </c>
      <c r="J621" s="0" t="n">
        <f aca="false">IF(AND(D621&gt;=DATE(YEAR(D621),3,15),D621&lt;=DATE(YEAR(D621),6,10)),1,0)</f>
        <v>0</v>
      </c>
      <c r="K621" s="0" t="e">
        <f aca="false">VLOOKUP(D621,Festival_List!$A$2:$B$100,2,0)</f>
        <v>#N/A</v>
      </c>
      <c r="L621" s="0" t="n">
        <f aca="false">ROUND(((F621+G621)-(D621+E621))*24,0)</f>
        <v>23</v>
      </c>
      <c r="M621" s="0" t="n">
        <f aca="false">IF(OR(WEEKDAY(D621)=1,WEEKDAY(D621)=7),1,0)</f>
        <v>1</v>
      </c>
      <c r="N621" s="0" t="str">
        <f aca="false">IF(AND(MONTH(D621)&gt;=3,MONTH(D621)&lt;=6),"Summer",IF(AND(MONTH(D621)&gt;=7,MONTH(D621)&lt;=9),"Monsoon","Winter"))</f>
        <v>Winter</v>
      </c>
      <c r="O621" s="0" t="str">
        <f aca="false">IF(AND(L621&gt;=22,L621&lt;=25,E621&gt;=TIME(18,0,0)),"24H Night", IF(AND(L621&gt;=22,L621&lt;=25,E621&lt;TIME(18,0,0)),"24H Day", IF(AND(L621&gt;=11,L621&lt;=13,E621&gt;=TIME(18,0,0)),"12H Night", IF(AND(L621&gt;=11,L621&lt;=13,E621&lt;TIME(18,0,0)),"12H Day", IF(AND(L621&lt;10,E621&gt;=TIME(18,0,0)),"Couple Night", "Couple Day")))))</f>
        <v>24H Night</v>
      </c>
      <c r="P621" s="0" t="n">
        <f aca="false">WEEKDAY(D621,2)</f>
        <v>6</v>
      </c>
      <c r="Q621" s="0" t="n">
        <f aca="false">MONTH(D621)</f>
        <v>2</v>
      </c>
      <c r="R621" s="0" t="str">
        <f aca="false">"Q"&amp;ROUNDUP(MONTH(D621)/3,0)</f>
        <v>Q1</v>
      </c>
    </row>
    <row r="622" customFormat="false" ht="115.65" hidden="false" customHeight="false" outlineLevel="0" collapsed="false">
      <c r="A622" s="7" t="s">
        <v>1764</v>
      </c>
      <c r="B622" s="7" t="s">
        <v>1765</v>
      </c>
      <c r="C622" s="13" t="s">
        <v>1766</v>
      </c>
      <c r="D622" s="11" t="n">
        <v>46082</v>
      </c>
      <c r="E622" s="12" t="n">
        <v>0.791666666700625</v>
      </c>
      <c r="F622" s="11" t="n">
        <v>46083</v>
      </c>
      <c r="G622" s="12" t="n">
        <v>0.333333333299375</v>
      </c>
      <c r="H622" s="10" t="n">
        <v>46077.9059527778</v>
      </c>
      <c r="I622" s="7" t="n">
        <v>3000</v>
      </c>
      <c r="J622" s="0" t="n">
        <f aca="false">IF(AND(D622&gt;=DATE(YEAR(D622),3,15),D622&lt;=DATE(YEAR(D622),6,10)),1,0)</f>
        <v>0</v>
      </c>
      <c r="K622" s="0" t="e">
        <f aca="false">VLOOKUP(D622,Festival_List!$A$2:$B$100,2,0)</f>
        <v>#N/A</v>
      </c>
      <c r="L622" s="0" t="n">
        <f aca="false">ROUND(((F622+G622)-(D622+E622))*24,0)</f>
        <v>13</v>
      </c>
      <c r="M622" s="0" t="n">
        <f aca="false">IF(OR(WEEKDAY(D622)=1,WEEKDAY(D622)=7),1,0)</f>
        <v>1</v>
      </c>
      <c r="N622" s="0" t="str">
        <f aca="false">IF(AND(MONTH(D622)&gt;=3,MONTH(D622)&lt;=6),"Summer",IF(AND(MONTH(D622)&gt;=7,MONTH(D622)&lt;=9),"Monsoon","Winter"))</f>
        <v>Summer</v>
      </c>
      <c r="O622" s="0" t="str">
        <f aca="false">IF(AND(L622&gt;=22,L622&lt;=25,E622&gt;=TIME(18,0,0)),"24H Night", IF(AND(L622&gt;=22,L622&lt;=25,E622&lt;TIME(18,0,0)),"24H Day", IF(AND(L622&gt;=11,L622&lt;=13,E622&gt;=TIME(18,0,0)),"12H Night", IF(AND(L622&gt;=11,L622&lt;=13,E622&lt;TIME(18,0,0)),"12H Day", IF(AND(L622&lt;10,E622&gt;=TIME(18,0,0)),"Couple Night", "Couple Day")))))</f>
        <v>12H Night</v>
      </c>
      <c r="P622" s="0" t="n">
        <f aca="false">WEEKDAY(D622,2)</f>
        <v>7</v>
      </c>
      <c r="Q622" s="0" t="n">
        <f aca="false">MONTH(D622)</f>
        <v>3</v>
      </c>
      <c r="R622" s="0" t="str">
        <f aca="false">"Q"&amp;ROUNDUP(MONTH(D622)/3,0)</f>
        <v>Q1</v>
      </c>
    </row>
    <row r="623" customFormat="false" ht="115.65" hidden="false" customHeight="false" outlineLevel="0" collapsed="false">
      <c r="A623" s="7" t="s">
        <v>1767</v>
      </c>
      <c r="B623" s="7" t="s">
        <v>1768</v>
      </c>
      <c r="C623" s="13" t="s">
        <v>1769</v>
      </c>
      <c r="D623" s="11" t="n">
        <v>46083</v>
      </c>
      <c r="E623" s="12" t="n">
        <v>0.791666666700625</v>
      </c>
      <c r="F623" s="11" t="n">
        <v>46084</v>
      </c>
      <c r="G623" s="12" t="n">
        <v>0.75</v>
      </c>
      <c r="H623" s="10" t="n">
        <v>46076.674022338</v>
      </c>
      <c r="I623" s="7" t="n">
        <v>7500</v>
      </c>
      <c r="J623" s="0" t="n">
        <f aca="false">IF(AND(D623&gt;=DATE(YEAR(D623),3,15),D623&lt;=DATE(YEAR(D623),6,10)),1,0)</f>
        <v>0</v>
      </c>
      <c r="K623" s="0" t="e">
        <f aca="false">VLOOKUP(D623,Festival_List!$A$2:$B$100,2,0)</f>
        <v>#N/A</v>
      </c>
      <c r="L623" s="0" t="n">
        <f aca="false">ROUND(((F623+G623)-(D623+E623))*24,0)</f>
        <v>23</v>
      </c>
      <c r="M623" s="0" t="n">
        <f aca="false">IF(OR(WEEKDAY(D623)=1,WEEKDAY(D623)=7),1,0)</f>
        <v>0</v>
      </c>
      <c r="N623" s="0" t="str">
        <f aca="false">IF(AND(MONTH(D623)&gt;=3,MONTH(D623)&lt;=6),"Summer",IF(AND(MONTH(D623)&gt;=7,MONTH(D623)&lt;=9),"Monsoon","Winter"))</f>
        <v>Summer</v>
      </c>
      <c r="O623" s="0" t="str">
        <f aca="false">IF(AND(L623&gt;=22,L623&lt;=25,E623&gt;=TIME(18,0,0)),"24H Night", IF(AND(L623&gt;=22,L623&lt;=25,E623&lt;TIME(18,0,0)),"24H Day", IF(AND(L623&gt;=11,L623&lt;=13,E623&gt;=TIME(18,0,0)),"12H Night", IF(AND(L623&gt;=11,L623&lt;=13,E623&lt;TIME(18,0,0)),"12H Day", IF(AND(L623&lt;10,E623&gt;=TIME(18,0,0)),"Couple Night", "Couple Day")))))</f>
        <v>24H Night</v>
      </c>
      <c r="P623" s="0" t="n">
        <f aca="false">WEEKDAY(D623,2)</f>
        <v>1</v>
      </c>
      <c r="Q623" s="0" t="n">
        <f aca="false">MONTH(D623)</f>
        <v>3</v>
      </c>
      <c r="R623" s="0" t="str">
        <f aca="false">"Q"&amp;ROUNDUP(MONTH(D623)/3,0)</f>
        <v>Q1</v>
      </c>
    </row>
    <row r="624" customFormat="false" ht="128.35" hidden="false" customHeight="false" outlineLevel="0" collapsed="false">
      <c r="A624" s="7" t="s">
        <v>1770</v>
      </c>
      <c r="B624" s="7" t="s">
        <v>394</v>
      </c>
      <c r="C624" s="13" t="s">
        <v>1771</v>
      </c>
      <c r="D624" s="11" t="n">
        <v>46084</v>
      </c>
      <c r="E624" s="12" t="n">
        <v>0.791666666700625</v>
      </c>
      <c r="F624" s="11" t="n">
        <v>46085</v>
      </c>
      <c r="G624" s="12" t="n">
        <v>0.75</v>
      </c>
      <c r="H624" s="10" t="n">
        <v>46095.7416767361</v>
      </c>
      <c r="I624" s="7" t="n">
        <v>18000</v>
      </c>
      <c r="J624" s="0" t="n">
        <f aca="false">IF(AND(D624&gt;=DATE(YEAR(D624),3,15),D624&lt;=DATE(YEAR(D624),6,10)),1,0)</f>
        <v>0</v>
      </c>
      <c r="K624" s="0" t="e">
        <f aca="false">VLOOKUP(D624,Festival_List!$A$2:$B$100,2,0)</f>
        <v>#N/A</v>
      </c>
      <c r="L624" s="0" t="n">
        <f aca="false">ROUND(((F624+G624)-(D624+E624))*24,0)</f>
        <v>23</v>
      </c>
      <c r="M624" s="0" t="n">
        <f aca="false">IF(OR(WEEKDAY(D624)=1,WEEKDAY(D624)=7),1,0)</f>
        <v>0</v>
      </c>
      <c r="N624" s="0" t="str">
        <f aca="false">IF(AND(MONTH(D624)&gt;=3,MONTH(D624)&lt;=6),"Summer",IF(AND(MONTH(D624)&gt;=7,MONTH(D624)&lt;=9),"Monsoon","Winter"))</f>
        <v>Summer</v>
      </c>
      <c r="O624" s="0" t="str">
        <f aca="false">IF(AND(L624&gt;=22,L624&lt;=25,E624&gt;=TIME(18,0,0)),"24H Night", IF(AND(L624&gt;=22,L624&lt;=25,E624&lt;TIME(18,0,0)),"24H Day", IF(AND(L624&gt;=11,L624&lt;=13,E624&gt;=TIME(18,0,0)),"12H Night", IF(AND(L624&gt;=11,L624&lt;=13,E624&lt;TIME(18,0,0)),"12H Day", IF(AND(L624&lt;10,E624&gt;=TIME(18,0,0)),"Couple Night", "Couple Day")))))</f>
        <v>24H Night</v>
      </c>
      <c r="P624" s="0" t="n">
        <f aca="false">WEEKDAY(D624,2)</f>
        <v>2</v>
      </c>
      <c r="Q624" s="0" t="n">
        <f aca="false">MONTH(D624)</f>
        <v>3</v>
      </c>
      <c r="R624" s="0" t="str">
        <f aca="false">"Q"&amp;ROUNDUP(MONTH(D624)/3,0)</f>
        <v>Q1</v>
      </c>
    </row>
    <row r="625" customFormat="false" ht="141" hidden="false" customHeight="false" outlineLevel="0" collapsed="false">
      <c r="A625" s="7" t="s">
        <v>1772</v>
      </c>
      <c r="B625" s="7" t="s">
        <v>1773</v>
      </c>
      <c r="C625" s="13" t="s">
        <v>1774</v>
      </c>
      <c r="D625" s="11" t="n">
        <v>46086</v>
      </c>
      <c r="E625" s="12" t="n">
        <v>0.791666666700625</v>
      </c>
      <c r="F625" s="11" t="n">
        <v>46087</v>
      </c>
      <c r="G625" s="12" t="n">
        <v>0.75</v>
      </c>
      <c r="H625" s="10" t="n">
        <v>46095.7417421296</v>
      </c>
      <c r="I625" s="7" t="n">
        <v>4500</v>
      </c>
      <c r="J625" s="0" t="n">
        <f aca="false">IF(AND(D625&gt;=DATE(YEAR(D625),3,15),D625&lt;=DATE(YEAR(D625),6,10)),1,0)</f>
        <v>0</v>
      </c>
      <c r="K625" s="0" t="str">
        <f aca="false">VLOOKUP(D625,Festival_List!$A$2:$B$100,2,0)</f>
        <v>Dhuleti</v>
      </c>
      <c r="L625" s="0" t="n">
        <f aca="false">ROUND(((F625+G625)-(D625+E625))*24,0)</f>
        <v>23</v>
      </c>
      <c r="M625" s="0" t="n">
        <f aca="false">IF(OR(WEEKDAY(D625)=1,WEEKDAY(D625)=7),1,0)</f>
        <v>0</v>
      </c>
      <c r="N625" s="0" t="str">
        <f aca="false">IF(AND(MONTH(D625)&gt;=3,MONTH(D625)&lt;=6),"Summer",IF(AND(MONTH(D625)&gt;=7,MONTH(D625)&lt;=9),"Monsoon","Winter"))</f>
        <v>Summer</v>
      </c>
      <c r="O625" s="0" t="str">
        <f aca="false">IF(AND(L625&gt;=22,L625&lt;=25,E625&gt;=TIME(18,0,0)),"24H Night", IF(AND(L625&gt;=22,L625&lt;=25,E625&lt;TIME(18,0,0)),"24H Day", IF(AND(L625&gt;=11,L625&lt;=13,E625&gt;=TIME(18,0,0)),"12H Night", IF(AND(L625&gt;=11,L625&lt;=13,E625&lt;TIME(18,0,0)),"12H Day", IF(AND(L625&lt;10,E625&gt;=TIME(18,0,0)),"Couple Night", "Couple Day")))))</f>
        <v>24H Night</v>
      </c>
      <c r="P625" s="0" t="n">
        <f aca="false">WEEKDAY(D625,2)</f>
        <v>4</v>
      </c>
      <c r="Q625" s="0" t="n">
        <f aca="false">MONTH(D625)</f>
        <v>3</v>
      </c>
      <c r="R625" s="0" t="str">
        <f aca="false">"Q"&amp;ROUNDUP(MONTH(D625)/3,0)</f>
        <v>Q1</v>
      </c>
    </row>
    <row r="626" customFormat="false" ht="141" hidden="false" customHeight="false" outlineLevel="0" collapsed="false">
      <c r="A626" s="7" t="s">
        <v>1775</v>
      </c>
      <c r="B626" s="7" t="s">
        <v>452</v>
      </c>
      <c r="C626" s="13" t="s">
        <v>1776</v>
      </c>
      <c r="D626" s="11" t="n">
        <v>46088</v>
      </c>
      <c r="E626" s="12" t="n">
        <v>0.583333333299375</v>
      </c>
      <c r="F626" s="11" t="n">
        <v>46088</v>
      </c>
      <c r="G626" s="12" t="n">
        <v>0.75</v>
      </c>
      <c r="H626" s="10" t="n">
        <v>46087.7168915509</v>
      </c>
      <c r="I626" s="7" t="n">
        <v>1500</v>
      </c>
      <c r="J626" s="0" t="n">
        <f aca="false">IF(AND(D626&gt;=DATE(YEAR(D626),3,15),D626&lt;=DATE(YEAR(D626),6,10)),1,0)</f>
        <v>0</v>
      </c>
      <c r="K626" s="0" t="e">
        <f aca="false">VLOOKUP(D626,Festival_List!$A$2:$B$100,2,0)</f>
        <v>#N/A</v>
      </c>
      <c r="L626" s="0" t="n">
        <f aca="false">ROUND(((F626+G626)-(D626+E626))*24,0)</f>
        <v>4</v>
      </c>
      <c r="M626" s="0" t="n">
        <f aca="false">IF(OR(WEEKDAY(D626)=1,WEEKDAY(D626)=7),1,0)</f>
        <v>1</v>
      </c>
      <c r="N626" s="0" t="str">
        <f aca="false">IF(AND(MONTH(D626)&gt;=3,MONTH(D626)&lt;=6),"Summer",IF(AND(MONTH(D626)&gt;=7,MONTH(D626)&lt;=9),"Monsoon","Winter"))</f>
        <v>Summer</v>
      </c>
      <c r="O626" s="0" t="str">
        <f aca="false">IF(AND(L626&gt;=22,L626&lt;=25,E626&gt;=TIME(18,0,0)),"24H Night", IF(AND(L626&gt;=22,L626&lt;=25,E626&lt;TIME(18,0,0)),"24H Day", IF(AND(L626&gt;=11,L626&lt;=13,E626&gt;=TIME(18,0,0)),"12H Night", IF(AND(L626&gt;=11,L626&lt;=13,E626&lt;TIME(18,0,0)),"12H Day", IF(AND(L626&lt;10,E626&gt;=TIME(18,0,0)),"Couple Night", "Couple Day")))))</f>
        <v>Couple Day</v>
      </c>
      <c r="P626" s="0" t="n">
        <f aca="false">WEEKDAY(D626,2)</f>
        <v>6</v>
      </c>
      <c r="Q626" s="0" t="n">
        <f aca="false">MONTH(D626)</f>
        <v>3</v>
      </c>
      <c r="R626" s="0" t="str">
        <f aca="false">"Q"&amp;ROUNDUP(MONTH(D626)/3,0)</f>
        <v>Q1</v>
      </c>
    </row>
    <row r="627" customFormat="false" ht="141" hidden="false" customHeight="false" outlineLevel="0" collapsed="false">
      <c r="A627" s="7" t="s">
        <v>1777</v>
      </c>
      <c r="B627" s="7" t="s">
        <v>1778</v>
      </c>
      <c r="C627" s="13" t="s">
        <v>1779</v>
      </c>
      <c r="D627" s="11" t="n">
        <v>46088</v>
      </c>
      <c r="E627" s="12" t="n">
        <v>0.791666666700625</v>
      </c>
      <c r="F627" s="11" t="n">
        <v>46089</v>
      </c>
      <c r="G627" s="12" t="n">
        <v>0.75</v>
      </c>
      <c r="H627" s="10" t="n">
        <v>46087.7152011574</v>
      </c>
      <c r="I627" s="7" t="n">
        <v>7000</v>
      </c>
      <c r="J627" s="0" t="n">
        <f aca="false">IF(AND(D627&gt;=DATE(YEAR(D627),3,15),D627&lt;=DATE(YEAR(D627),6,10)),1,0)</f>
        <v>0</v>
      </c>
      <c r="K627" s="0" t="e">
        <f aca="false">VLOOKUP(D627,Festival_List!$A$2:$B$100,2,0)</f>
        <v>#N/A</v>
      </c>
      <c r="L627" s="0" t="n">
        <f aca="false">ROUND(((F627+G627)-(D627+E627))*24,0)</f>
        <v>23</v>
      </c>
      <c r="M627" s="0" t="n">
        <f aca="false">IF(OR(WEEKDAY(D627)=1,WEEKDAY(D627)=7),1,0)</f>
        <v>1</v>
      </c>
      <c r="N627" s="0" t="str">
        <f aca="false">IF(AND(MONTH(D627)&gt;=3,MONTH(D627)&lt;=6),"Summer",IF(AND(MONTH(D627)&gt;=7,MONTH(D627)&lt;=9),"Monsoon","Winter"))</f>
        <v>Summer</v>
      </c>
      <c r="O627" s="0" t="str">
        <f aca="false">IF(AND(L627&gt;=22,L627&lt;=25,E627&gt;=TIME(18,0,0)),"24H Night", IF(AND(L627&gt;=22,L627&lt;=25,E627&lt;TIME(18,0,0)),"24H Day", IF(AND(L627&gt;=11,L627&lt;=13,E627&gt;=TIME(18,0,0)),"12H Night", IF(AND(L627&gt;=11,L627&lt;=13,E627&lt;TIME(18,0,0)),"12H Day", IF(AND(L627&lt;10,E627&gt;=TIME(18,0,0)),"Couple Night", "Couple Day")))))</f>
        <v>24H Night</v>
      </c>
      <c r="P627" s="0" t="n">
        <f aca="false">WEEKDAY(D627,2)</f>
        <v>6</v>
      </c>
      <c r="Q627" s="0" t="n">
        <f aca="false">MONTH(D627)</f>
        <v>3</v>
      </c>
      <c r="R627" s="0" t="str">
        <f aca="false">"Q"&amp;ROUNDUP(MONTH(D627)/3,0)</f>
        <v>Q1</v>
      </c>
    </row>
    <row r="628" customFormat="false" ht="141" hidden="false" customHeight="false" outlineLevel="0" collapsed="false">
      <c r="A628" s="7" t="s">
        <v>1780</v>
      </c>
      <c r="B628" s="7" t="s">
        <v>1781</v>
      </c>
      <c r="C628" s="13" t="s">
        <v>1782</v>
      </c>
      <c r="D628" s="11" t="n">
        <v>46089</v>
      </c>
      <c r="E628" s="12" t="n">
        <v>0.791666666700625</v>
      </c>
      <c r="F628" s="11" t="n">
        <v>46090</v>
      </c>
      <c r="G628" s="12" t="n">
        <v>0.333333333299375</v>
      </c>
      <c r="H628" s="10" t="n">
        <v>46088.8633115741</v>
      </c>
      <c r="I628" s="7" t="n">
        <v>2500</v>
      </c>
      <c r="J628" s="0" t="n">
        <f aca="false">IF(AND(D628&gt;=DATE(YEAR(D628),3,15),D628&lt;=DATE(YEAR(D628),6,10)),1,0)</f>
        <v>0</v>
      </c>
      <c r="K628" s="0" t="e">
        <f aca="false">VLOOKUP(D628,Festival_List!$A$2:$B$100,2,0)</f>
        <v>#N/A</v>
      </c>
      <c r="L628" s="0" t="n">
        <f aca="false">ROUND(((F628+G628)-(D628+E628))*24,0)</f>
        <v>13</v>
      </c>
      <c r="M628" s="0" t="n">
        <f aca="false">IF(OR(WEEKDAY(D628)=1,WEEKDAY(D628)=7),1,0)</f>
        <v>1</v>
      </c>
      <c r="N628" s="0" t="str">
        <f aca="false">IF(AND(MONTH(D628)&gt;=3,MONTH(D628)&lt;=6),"Summer",IF(AND(MONTH(D628)&gt;=7,MONTH(D628)&lt;=9),"Monsoon","Winter"))</f>
        <v>Summer</v>
      </c>
      <c r="O628" s="0" t="str">
        <f aca="false">IF(AND(L628&gt;=22,L628&lt;=25,E628&gt;=TIME(18,0,0)),"24H Night", IF(AND(L628&gt;=22,L628&lt;=25,E628&lt;TIME(18,0,0)),"24H Day", IF(AND(L628&gt;=11,L628&lt;=13,E628&gt;=TIME(18,0,0)),"12H Night", IF(AND(L628&gt;=11,L628&lt;=13,E628&lt;TIME(18,0,0)),"12H Day", IF(AND(L628&lt;10,E628&gt;=TIME(18,0,0)),"Couple Night", "Couple Day")))))</f>
        <v>12H Night</v>
      </c>
      <c r="P628" s="0" t="n">
        <f aca="false">WEEKDAY(D628,2)</f>
        <v>7</v>
      </c>
      <c r="Q628" s="0" t="n">
        <f aca="false">MONTH(D628)</f>
        <v>3</v>
      </c>
      <c r="R628" s="0" t="str">
        <f aca="false">"Q"&amp;ROUNDUP(MONTH(D628)/3,0)</f>
        <v>Q1</v>
      </c>
    </row>
    <row r="629" customFormat="false" ht="141" hidden="false" customHeight="false" outlineLevel="0" collapsed="false">
      <c r="A629" s="7" t="s">
        <v>1783</v>
      </c>
      <c r="B629" s="7" t="s">
        <v>1784</v>
      </c>
      <c r="C629" s="13" t="s">
        <v>1785</v>
      </c>
      <c r="D629" s="11" t="n">
        <v>46090</v>
      </c>
      <c r="E629" s="12" t="n">
        <v>0.375</v>
      </c>
      <c r="F629" s="11" t="n">
        <v>46090</v>
      </c>
      <c r="G629" s="12" t="n">
        <v>0.770833333299375</v>
      </c>
      <c r="H629" s="10" t="n">
        <v>46089.7771207176</v>
      </c>
      <c r="I629" s="7" t="n">
        <v>4000</v>
      </c>
      <c r="J629" s="0" t="n">
        <f aca="false">IF(AND(D629&gt;=DATE(YEAR(D629),3,15),D629&lt;=DATE(YEAR(D629),6,10)),1,0)</f>
        <v>0</v>
      </c>
      <c r="K629" s="0" t="e">
        <f aca="false">VLOOKUP(D629,Festival_List!$A$2:$B$100,2,0)</f>
        <v>#N/A</v>
      </c>
      <c r="L629" s="0" t="n">
        <f aca="false">ROUND(((F629+G629)-(D629+E629))*24,0)</f>
        <v>9</v>
      </c>
      <c r="M629" s="0" t="n">
        <f aca="false">IF(OR(WEEKDAY(D629)=1,WEEKDAY(D629)=7),1,0)</f>
        <v>0</v>
      </c>
      <c r="N629" s="0" t="str">
        <f aca="false">IF(AND(MONTH(D629)&gt;=3,MONTH(D629)&lt;=6),"Summer",IF(AND(MONTH(D629)&gt;=7,MONTH(D629)&lt;=9),"Monsoon","Winter"))</f>
        <v>Summer</v>
      </c>
      <c r="O629" s="0" t="str">
        <f aca="false">IF(AND(L629&gt;=22,L629&lt;=25,E629&gt;=TIME(18,0,0)),"24H Night", IF(AND(L629&gt;=22,L629&lt;=25,E629&lt;TIME(18,0,0)),"24H Day", IF(AND(L629&gt;=11,L629&lt;=13,E629&gt;=TIME(18,0,0)),"12H Night", IF(AND(L629&gt;=11,L629&lt;=13,E629&lt;TIME(18,0,0)),"12H Day", IF(AND(L629&lt;10,E629&gt;=TIME(18,0,0)),"Couple Night", "Couple Day")))))</f>
        <v>Couple Day</v>
      </c>
      <c r="P629" s="0" t="n">
        <f aca="false">WEEKDAY(D629,2)</f>
        <v>1</v>
      </c>
      <c r="Q629" s="0" t="n">
        <f aca="false">MONTH(D629)</f>
        <v>3</v>
      </c>
      <c r="R629" s="0" t="str">
        <f aca="false">"Q"&amp;ROUNDUP(MONTH(D629)/3,0)</f>
        <v>Q1</v>
      </c>
    </row>
    <row r="630" customFormat="false" ht="115.65" hidden="false" customHeight="false" outlineLevel="0" collapsed="false">
      <c r="A630" s="7" t="s">
        <v>1786</v>
      </c>
      <c r="B630" s="7" t="s">
        <v>634</v>
      </c>
      <c r="C630" s="13" t="s">
        <v>1787</v>
      </c>
      <c r="D630" s="11" t="n">
        <v>46092</v>
      </c>
      <c r="E630" s="12" t="n">
        <v>0.375</v>
      </c>
      <c r="F630" s="11" t="n">
        <v>46092</v>
      </c>
      <c r="G630" s="12" t="n">
        <v>0.75</v>
      </c>
      <c r="H630" s="10" t="n">
        <v>46091.8264216435</v>
      </c>
      <c r="I630" s="7" t="n">
        <v>2500</v>
      </c>
      <c r="J630" s="0" t="n">
        <f aca="false">IF(AND(D630&gt;=DATE(YEAR(D630),3,15),D630&lt;=DATE(YEAR(D630),6,10)),1,0)</f>
        <v>0</v>
      </c>
      <c r="K630" s="0" t="e">
        <f aca="false">VLOOKUP(D630,Festival_List!$A$2:$B$100,2,0)</f>
        <v>#N/A</v>
      </c>
      <c r="L630" s="0" t="n">
        <f aca="false">ROUND(((F630+G630)-(D630+E630))*24,0)</f>
        <v>9</v>
      </c>
      <c r="M630" s="0" t="n">
        <f aca="false">IF(OR(WEEKDAY(D630)=1,WEEKDAY(D630)=7),1,0)</f>
        <v>0</v>
      </c>
      <c r="N630" s="0" t="str">
        <f aca="false">IF(AND(MONTH(D630)&gt;=3,MONTH(D630)&lt;=6),"Summer",IF(AND(MONTH(D630)&gt;=7,MONTH(D630)&lt;=9),"Monsoon","Winter"))</f>
        <v>Summer</v>
      </c>
      <c r="O630" s="0" t="str">
        <f aca="false">IF(AND(L630&gt;=22,L630&lt;=25,E630&gt;=TIME(18,0,0)),"24H Night", IF(AND(L630&gt;=22,L630&lt;=25,E630&lt;TIME(18,0,0)),"24H Day", IF(AND(L630&gt;=11,L630&lt;=13,E630&gt;=TIME(18,0,0)),"12H Night", IF(AND(L630&gt;=11,L630&lt;=13,E630&lt;TIME(18,0,0)),"12H Day", IF(AND(L630&lt;10,E630&gt;=TIME(18,0,0)),"Couple Night", "Couple Day")))))</f>
        <v>Couple Day</v>
      </c>
      <c r="P630" s="0" t="n">
        <f aca="false">WEEKDAY(D630,2)</f>
        <v>3</v>
      </c>
      <c r="Q630" s="0" t="n">
        <f aca="false">MONTH(D630)</f>
        <v>3</v>
      </c>
      <c r="R630" s="0" t="str">
        <f aca="false">"Q"&amp;ROUNDUP(MONTH(D630)/3,0)</f>
        <v>Q1</v>
      </c>
    </row>
    <row r="631" customFormat="false" ht="141" hidden="false" customHeight="false" outlineLevel="0" collapsed="false">
      <c r="A631" s="7" t="s">
        <v>1788</v>
      </c>
      <c r="B631" s="7" t="s">
        <v>1789</v>
      </c>
      <c r="C631" s="13" t="s">
        <v>1790</v>
      </c>
      <c r="D631" s="11" t="n">
        <v>46093</v>
      </c>
      <c r="E631" s="12" t="n">
        <v>0.375</v>
      </c>
      <c r="F631" s="11" t="n">
        <v>46093</v>
      </c>
      <c r="G631" s="12" t="n">
        <v>0.75</v>
      </c>
      <c r="H631" s="10" t="n">
        <v>46092.5626893518</v>
      </c>
      <c r="I631" s="7" t="n">
        <v>3500</v>
      </c>
      <c r="J631" s="0" t="n">
        <f aca="false">IF(AND(D631&gt;=DATE(YEAR(D631),3,15),D631&lt;=DATE(YEAR(D631),6,10)),1,0)</f>
        <v>0</v>
      </c>
      <c r="K631" s="0" t="e">
        <f aca="false">VLOOKUP(D631,Festival_List!$A$2:$B$100,2,0)</f>
        <v>#N/A</v>
      </c>
      <c r="L631" s="0" t="n">
        <f aca="false">ROUND(((F631+G631)-(D631+E631))*24,0)</f>
        <v>9</v>
      </c>
      <c r="M631" s="0" t="n">
        <f aca="false">IF(OR(WEEKDAY(D631)=1,WEEKDAY(D631)=7),1,0)</f>
        <v>0</v>
      </c>
      <c r="N631" s="0" t="str">
        <f aca="false">IF(AND(MONTH(D631)&gt;=3,MONTH(D631)&lt;=6),"Summer",IF(AND(MONTH(D631)&gt;=7,MONTH(D631)&lt;=9),"Monsoon","Winter"))</f>
        <v>Summer</v>
      </c>
      <c r="O631" s="0" t="str">
        <f aca="false">IF(AND(L631&gt;=22,L631&lt;=25,E631&gt;=TIME(18,0,0)),"24H Night", IF(AND(L631&gt;=22,L631&lt;=25,E631&lt;TIME(18,0,0)),"24H Day", IF(AND(L631&gt;=11,L631&lt;=13,E631&gt;=TIME(18,0,0)),"12H Night", IF(AND(L631&gt;=11,L631&lt;=13,E631&lt;TIME(18,0,0)),"12H Day", IF(AND(L631&lt;10,E631&gt;=TIME(18,0,0)),"Couple Night", "Couple Day")))))</f>
        <v>Couple Day</v>
      </c>
      <c r="P631" s="0" t="n">
        <f aca="false">WEEKDAY(D631,2)</f>
        <v>4</v>
      </c>
      <c r="Q631" s="0" t="n">
        <f aca="false">MONTH(D631)</f>
        <v>3</v>
      </c>
      <c r="R631" s="0" t="str">
        <f aca="false">"Q"&amp;ROUNDUP(MONTH(D631)/3,0)</f>
        <v>Q1</v>
      </c>
    </row>
    <row r="632" customFormat="false" ht="115.65" hidden="false" customHeight="false" outlineLevel="0" collapsed="false">
      <c r="A632" s="7" t="s">
        <v>1791</v>
      </c>
      <c r="B632" s="7" t="s">
        <v>1792</v>
      </c>
      <c r="C632" s="13" t="s">
        <v>1793</v>
      </c>
      <c r="D632" s="11" t="n">
        <v>46094</v>
      </c>
      <c r="E632" s="12" t="n">
        <v>0.791666666700625</v>
      </c>
      <c r="F632" s="11" t="n">
        <v>46095</v>
      </c>
      <c r="G632" s="12" t="n">
        <v>0.75</v>
      </c>
      <c r="H632" s="10" t="n">
        <v>46078.7051902778</v>
      </c>
      <c r="I632" s="7" t="n">
        <v>5500</v>
      </c>
      <c r="J632" s="0" t="n">
        <f aca="false">IF(AND(D632&gt;=DATE(YEAR(D632),3,15),D632&lt;=DATE(YEAR(D632),6,10)),1,0)</f>
        <v>0</v>
      </c>
      <c r="K632" s="0" t="e">
        <f aca="false">VLOOKUP(D632,Festival_List!$A$2:$B$100,2,0)</f>
        <v>#N/A</v>
      </c>
      <c r="L632" s="0" t="n">
        <f aca="false">ROUND(((F632+G632)-(D632+E632))*24,0)</f>
        <v>23</v>
      </c>
      <c r="M632" s="0" t="n">
        <f aca="false">IF(OR(WEEKDAY(D632)=1,WEEKDAY(D632)=7),1,0)</f>
        <v>0</v>
      </c>
      <c r="N632" s="0" t="str">
        <f aca="false">IF(AND(MONTH(D632)&gt;=3,MONTH(D632)&lt;=6),"Summer",IF(AND(MONTH(D632)&gt;=7,MONTH(D632)&lt;=9),"Monsoon","Winter"))</f>
        <v>Summer</v>
      </c>
      <c r="O632" s="0" t="str">
        <f aca="false">IF(AND(L632&gt;=22,L632&lt;=25,E632&gt;=TIME(18,0,0)),"24H Night", IF(AND(L632&gt;=22,L632&lt;=25,E632&lt;TIME(18,0,0)),"24H Day", IF(AND(L632&gt;=11,L632&lt;=13,E632&gt;=TIME(18,0,0)),"12H Night", IF(AND(L632&gt;=11,L632&lt;=13,E632&lt;TIME(18,0,0)),"12H Day", IF(AND(L632&lt;10,E632&gt;=TIME(18,0,0)),"Couple Night", "Couple Day")))))</f>
        <v>24H Night</v>
      </c>
      <c r="P632" s="0" t="n">
        <f aca="false">WEEKDAY(D632,2)</f>
        <v>5</v>
      </c>
      <c r="Q632" s="0" t="n">
        <f aca="false">MONTH(D632)</f>
        <v>3</v>
      </c>
      <c r="R632" s="0" t="str">
        <f aca="false">"Q"&amp;ROUNDUP(MONTH(D632)/3,0)</f>
        <v>Q1</v>
      </c>
    </row>
    <row r="633" customFormat="false" ht="115.65" hidden="false" customHeight="false" outlineLevel="0" collapsed="false">
      <c r="A633" s="7" t="s">
        <v>1794</v>
      </c>
      <c r="B633" s="7" t="s">
        <v>1795</v>
      </c>
      <c r="C633" s="13" t="s">
        <v>1796</v>
      </c>
      <c r="D633" s="11" t="n">
        <v>46095</v>
      </c>
      <c r="E633" s="12" t="n">
        <v>0.791666666700625</v>
      </c>
      <c r="F633" s="11" t="n">
        <v>46096</v>
      </c>
      <c r="G633" s="12" t="n">
        <v>0.75</v>
      </c>
      <c r="H633" s="10" t="n">
        <v>46091.5774059028</v>
      </c>
      <c r="I633" s="7" t="n">
        <v>8500</v>
      </c>
      <c r="J633" s="0" t="n">
        <f aca="false">IF(AND(D633&gt;=DATE(YEAR(D633),3,15),D633&lt;=DATE(YEAR(D633),6,10)),1,0)</f>
        <v>0</v>
      </c>
      <c r="K633" s="0" t="e">
        <f aca="false">VLOOKUP(D633,Festival_List!$A$2:$B$100,2,0)</f>
        <v>#N/A</v>
      </c>
      <c r="L633" s="0" t="n">
        <f aca="false">ROUND(((F633+G633)-(D633+E633))*24,0)</f>
        <v>23</v>
      </c>
      <c r="M633" s="0" t="n">
        <f aca="false">IF(OR(WEEKDAY(D633)=1,WEEKDAY(D633)=7),1,0)</f>
        <v>1</v>
      </c>
      <c r="N633" s="0" t="str">
        <f aca="false">IF(AND(MONTH(D633)&gt;=3,MONTH(D633)&lt;=6),"Summer",IF(AND(MONTH(D633)&gt;=7,MONTH(D633)&lt;=9),"Monsoon","Winter"))</f>
        <v>Summer</v>
      </c>
      <c r="O633" s="0" t="str">
        <f aca="false">IF(AND(L633&gt;=22,L633&lt;=25,E633&gt;=TIME(18,0,0)),"24H Night", IF(AND(L633&gt;=22,L633&lt;=25,E633&lt;TIME(18,0,0)),"24H Day", IF(AND(L633&gt;=11,L633&lt;=13,E633&gt;=TIME(18,0,0)),"12H Night", IF(AND(L633&gt;=11,L633&lt;=13,E633&lt;TIME(18,0,0)),"12H Day", IF(AND(L633&lt;10,E633&gt;=TIME(18,0,0)),"Couple Night", "Couple Day")))))</f>
        <v>24H Night</v>
      </c>
      <c r="P633" s="0" t="n">
        <f aca="false">WEEKDAY(D633,2)</f>
        <v>6</v>
      </c>
      <c r="Q633" s="0" t="n">
        <f aca="false">MONTH(D633)</f>
        <v>3</v>
      </c>
      <c r="R633" s="0" t="str">
        <f aca="false">"Q"&amp;ROUNDUP(MONTH(D633)/3,0)</f>
        <v>Q1</v>
      </c>
    </row>
    <row r="634" customFormat="false" ht="141" hidden="false" customHeight="false" outlineLevel="0" collapsed="false">
      <c r="A634" s="7" t="s">
        <v>1797</v>
      </c>
      <c r="B634" s="7" t="s">
        <v>660</v>
      </c>
      <c r="C634" s="13" t="s">
        <v>1798</v>
      </c>
      <c r="D634" s="11" t="n">
        <v>46096</v>
      </c>
      <c r="E634" s="12" t="n">
        <v>0.791666666700625</v>
      </c>
      <c r="F634" s="11" t="n">
        <v>46097</v>
      </c>
      <c r="G634" s="12" t="n">
        <v>0.333333333299375</v>
      </c>
      <c r="H634" s="10" t="n">
        <v>46096.7494033565</v>
      </c>
      <c r="I634" s="7" t="n">
        <v>2500</v>
      </c>
      <c r="J634" s="0" t="n">
        <f aca="false">IF(AND(D634&gt;=DATE(YEAR(D634),3,15),D634&lt;=DATE(YEAR(D634),6,10)),1,0)</f>
        <v>1</v>
      </c>
      <c r="K634" s="0" t="e">
        <f aca="false">VLOOKUP(D634,Festival_List!$A$2:$B$100,2,0)</f>
        <v>#N/A</v>
      </c>
      <c r="L634" s="0" t="n">
        <f aca="false">ROUND(((F634+G634)-(D634+E634))*24,0)</f>
        <v>13</v>
      </c>
      <c r="M634" s="0" t="n">
        <f aca="false">IF(OR(WEEKDAY(D634)=1,WEEKDAY(D634)=7),1,0)</f>
        <v>1</v>
      </c>
      <c r="N634" s="0" t="str">
        <f aca="false">IF(AND(MONTH(D634)&gt;=3,MONTH(D634)&lt;=6),"Summer",IF(AND(MONTH(D634)&gt;=7,MONTH(D634)&lt;=9),"Monsoon","Winter"))</f>
        <v>Summer</v>
      </c>
      <c r="O634" s="0" t="str">
        <f aca="false">IF(AND(L634&gt;=22,L634&lt;=25,E634&gt;=TIME(18,0,0)),"24H Night", IF(AND(L634&gt;=22,L634&lt;=25,E634&lt;TIME(18,0,0)),"24H Day", IF(AND(L634&gt;=11,L634&lt;=13,E634&gt;=TIME(18,0,0)),"12H Night", IF(AND(L634&gt;=11,L634&lt;=13,E634&lt;TIME(18,0,0)),"12H Day", IF(AND(L634&lt;10,E634&gt;=TIME(18,0,0)),"Couple Night", "Couple Day")))))</f>
        <v>12H Night</v>
      </c>
      <c r="P634" s="0" t="n">
        <f aca="false">WEEKDAY(D634,2)</f>
        <v>7</v>
      </c>
      <c r="Q634" s="0" t="n">
        <f aca="false">MONTH(D634)</f>
        <v>3</v>
      </c>
      <c r="R634" s="0" t="str">
        <f aca="false">"Q"&amp;ROUNDUP(MONTH(D634)/3,0)</f>
        <v>Q1</v>
      </c>
    </row>
    <row r="635" customFormat="false" ht="141" hidden="false" customHeight="false" outlineLevel="0" collapsed="false">
      <c r="A635" s="7" t="s">
        <v>1799</v>
      </c>
      <c r="B635" s="7" t="s">
        <v>1800</v>
      </c>
      <c r="C635" s="13" t="s">
        <v>1801</v>
      </c>
      <c r="D635" s="11" t="n">
        <v>46097</v>
      </c>
      <c r="E635" s="12" t="n">
        <v>0.375</v>
      </c>
      <c r="F635" s="11" t="n">
        <v>46097</v>
      </c>
      <c r="G635" s="12" t="n">
        <v>0.75</v>
      </c>
      <c r="H635" s="10" t="n">
        <v>46096.3991648148</v>
      </c>
      <c r="I635" s="7" t="n">
        <v>3500</v>
      </c>
      <c r="J635" s="0" t="n">
        <f aca="false">IF(AND(D635&gt;=DATE(YEAR(D635),3,15),D635&lt;=DATE(YEAR(D635),6,10)),1,0)</f>
        <v>1</v>
      </c>
      <c r="K635" s="0" t="e">
        <f aca="false">VLOOKUP(D635,Festival_List!$A$2:$B$100,2,0)</f>
        <v>#N/A</v>
      </c>
      <c r="L635" s="0" t="n">
        <f aca="false">ROUND(((F635+G635)-(D635+E635))*24,0)</f>
        <v>9</v>
      </c>
      <c r="M635" s="0" t="n">
        <f aca="false">IF(OR(WEEKDAY(D635)=1,WEEKDAY(D635)=7),1,0)</f>
        <v>0</v>
      </c>
      <c r="N635" s="0" t="str">
        <f aca="false">IF(AND(MONTH(D635)&gt;=3,MONTH(D635)&lt;=6),"Summer",IF(AND(MONTH(D635)&gt;=7,MONTH(D635)&lt;=9),"Monsoon","Winter"))</f>
        <v>Summer</v>
      </c>
      <c r="O635" s="0" t="str">
        <f aca="false">IF(AND(L635&gt;=22,L635&lt;=25,E635&gt;=TIME(18,0,0)),"24H Night", IF(AND(L635&gt;=22,L635&lt;=25,E635&lt;TIME(18,0,0)),"24H Day", IF(AND(L635&gt;=11,L635&lt;=13,E635&gt;=TIME(18,0,0)),"12H Night", IF(AND(L635&gt;=11,L635&lt;=13,E635&lt;TIME(18,0,0)),"12H Day", IF(AND(L635&lt;10,E635&gt;=TIME(18,0,0)),"Couple Night", "Couple Day")))))</f>
        <v>Couple Day</v>
      </c>
      <c r="P635" s="0" t="n">
        <f aca="false">WEEKDAY(D635,2)</f>
        <v>1</v>
      </c>
      <c r="Q635" s="0" t="n">
        <f aca="false">MONTH(D635)</f>
        <v>3</v>
      </c>
      <c r="R635" s="0" t="str">
        <f aca="false">"Q"&amp;ROUNDUP(MONTH(D635)/3,0)</f>
        <v>Q1</v>
      </c>
    </row>
    <row r="636" customFormat="false" ht="115.65" hidden="false" customHeight="false" outlineLevel="0" collapsed="false">
      <c r="A636" s="7" t="s">
        <v>1802</v>
      </c>
      <c r="B636" s="7" t="s">
        <v>1803</v>
      </c>
      <c r="C636" s="13" t="s">
        <v>1804</v>
      </c>
      <c r="D636" s="11" t="n">
        <v>46097</v>
      </c>
      <c r="E636" s="12" t="n">
        <v>0.791666666700625</v>
      </c>
      <c r="F636" s="11" t="n">
        <v>46098</v>
      </c>
      <c r="G636" s="12" t="n">
        <v>0.75</v>
      </c>
      <c r="H636" s="10" t="n">
        <v>46095.7813052083</v>
      </c>
      <c r="I636" s="7" t="n">
        <v>5000</v>
      </c>
      <c r="J636" s="0" t="n">
        <f aca="false">IF(AND(D636&gt;=DATE(YEAR(D636),3,15),D636&lt;=DATE(YEAR(D636),6,10)),1,0)</f>
        <v>1</v>
      </c>
      <c r="K636" s="0" t="e">
        <f aca="false">VLOOKUP(D636,Festival_List!$A$2:$B$100,2,0)</f>
        <v>#N/A</v>
      </c>
      <c r="L636" s="0" t="n">
        <f aca="false">ROUND(((F636+G636)-(D636+E636))*24,0)</f>
        <v>23</v>
      </c>
      <c r="M636" s="0" t="n">
        <f aca="false">IF(OR(WEEKDAY(D636)=1,WEEKDAY(D636)=7),1,0)</f>
        <v>0</v>
      </c>
      <c r="N636" s="0" t="str">
        <f aca="false">IF(AND(MONTH(D636)&gt;=3,MONTH(D636)&lt;=6),"Summer",IF(AND(MONTH(D636)&gt;=7,MONTH(D636)&lt;=9),"Monsoon","Winter"))</f>
        <v>Summer</v>
      </c>
      <c r="O636" s="0" t="str">
        <f aca="false">IF(AND(L636&gt;=22,L636&lt;=25,E636&gt;=TIME(18,0,0)),"24H Night", IF(AND(L636&gt;=22,L636&lt;=25,E636&lt;TIME(18,0,0)),"24H Day", IF(AND(L636&gt;=11,L636&lt;=13,E636&gt;=TIME(18,0,0)),"12H Night", IF(AND(L636&gt;=11,L636&lt;=13,E636&lt;TIME(18,0,0)),"12H Day", IF(AND(L636&lt;10,E636&gt;=TIME(18,0,0)),"Couple Night", "Couple Day")))))</f>
        <v>24H Night</v>
      </c>
      <c r="P636" s="0" t="n">
        <f aca="false">WEEKDAY(D636,2)</f>
        <v>1</v>
      </c>
      <c r="Q636" s="0" t="n">
        <f aca="false">MONTH(D636)</f>
        <v>3</v>
      </c>
      <c r="R636" s="0" t="str">
        <f aca="false">"Q"&amp;ROUNDUP(MONTH(D636)/3,0)</f>
        <v>Q1</v>
      </c>
    </row>
    <row r="637" customFormat="false" ht="141" hidden="false" customHeight="false" outlineLevel="0" collapsed="false">
      <c r="A637" s="7" t="s">
        <v>1805</v>
      </c>
      <c r="B637" s="7" t="s">
        <v>1765</v>
      </c>
      <c r="C637" s="13" t="s">
        <v>1806</v>
      </c>
      <c r="D637" s="11" t="n">
        <v>46098</v>
      </c>
      <c r="E637" s="12" t="n">
        <v>0.791666666700625</v>
      </c>
      <c r="F637" s="11" t="n">
        <v>46099</v>
      </c>
      <c r="G637" s="12" t="n">
        <v>0.333333333299375</v>
      </c>
      <c r="H637" s="10" t="n">
        <v>46097.9419950232</v>
      </c>
      <c r="I637" s="7" t="n">
        <v>3000</v>
      </c>
      <c r="J637" s="0" t="n">
        <f aca="false">IF(AND(D637&gt;=DATE(YEAR(D637),3,15),D637&lt;=DATE(YEAR(D637),6,10)),1,0)</f>
        <v>1</v>
      </c>
      <c r="K637" s="0" t="e">
        <f aca="false">VLOOKUP(D637,Festival_List!$A$2:$B$100,2,0)</f>
        <v>#N/A</v>
      </c>
      <c r="L637" s="0" t="n">
        <f aca="false">ROUND(((F637+G637)-(D637+E637))*24,0)</f>
        <v>13</v>
      </c>
      <c r="M637" s="0" t="n">
        <f aca="false">IF(OR(WEEKDAY(D637)=1,WEEKDAY(D637)=7),1,0)</f>
        <v>0</v>
      </c>
      <c r="N637" s="0" t="str">
        <f aca="false">IF(AND(MONTH(D637)&gt;=3,MONTH(D637)&lt;=6),"Summer",IF(AND(MONTH(D637)&gt;=7,MONTH(D637)&lt;=9),"Monsoon","Winter"))</f>
        <v>Summer</v>
      </c>
      <c r="O637" s="0" t="str">
        <f aca="false">IF(AND(L637&gt;=22,L637&lt;=25,E637&gt;=TIME(18,0,0)),"24H Night", IF(AND(L637&gt;=22,L637&lt;=25,E637&lt;TIME(18,0,0)),"24H Day", IF(AND(L637&gt;=11,L637&lt;=13,E637&gt;=TIME(18,0,0)),"12H Night", IF(AND(L637&gt;=11,L637&lt;=13,E637&lt;TIME(18,0,0)),"12H Day", IF(AND(L637&lt;10,E637&gt;=TIME(18,0,0)),"Couple Night", "Couple Day")))))</f>
        <v>12H Night</v>
      </c>
      <c r="P637" s="0" t="n">
        <f aca="false">WEEKDAY(D637,2)</f>
        <v>2</v>
      </c>
      <c r="Q637" s="0" t="n">
        <f aca="false">MONTH(D637)</f>
        <v>3</v>
      </c>
      <c r="R637" s="0" t="str">
        <f aca="false">"Q"&amp;ROUNDUP(MONTH(D637)/3,0)</f>
        <v>Q1</v>
      </c>
    </row>
    <row r="638" customFormat="false" ht="115.65" hidden="false" customHeight="false" outlineLevel="0" collapsed="false">
      <c r="A638" s="7" t="s">
        <v>1807</v>
      </c>
      <c r="B638" s="7" t="s">
        <v>1808</v>
      </c>
      <c r="C638" s="13" t="s">
        <v>1809</v>
      </c>
      <c r="D638" s="11" t="n">
        <v>46099</v>
      </c>
      <c r="E638" s="12" t="n">
        <v>0.791666666700625</v>
      </c>
      <c r="F638" s="11" t="n">
        <v>46100</v>
      </c>
      <c r="G638" s="12" t="n">
        <v>0.333333333299375</v>
      </c>
      <c r="H638" s="10" t="n">
        <v>46099.5868805556</v>
      </c>
      <c r="I638" s="7" t="n">
        <v>3000</v>
      </c>
      <c r="J638" s="0" t="n">
        <f aca="false">IF(AND(D638&gt;=DATE(YEAR(D638),3,15),D638&lt;=DATE(YEAR(D638),6,10)),1,0)</f>
        <v>1</v>
      </c>
      <c r="K638" s="0" t="e">
        <f aca="false">VLOOKUP(D638,Festival_List!$A$2:$B$100,2,0)</f>
        <v>#N/A</v>
      </c>
      <c r="L638" s="0" t="n">
        <f aca="false">ROUND(((F638+G638)-(D638+E638))*24,0)</f>
        <v>13</v>
      </c>
      <c r="M638" s="0" t="n">
        <f aca="false">IF(OR(WEEKDAY(D638)=1,WEEKDAY(D638)=7),1,0)</f>
        <v>0</v>
      </c>
      <c r="N638" s="0" t="str">
        <f aca="false">IF(AND(MONTH(D638)&gt;=3,MONTH(D638)&lt;=6),"Summer",IF(AND(MONTH(D638)&gt;=7,MONTH(D638)&lt;=9),"Monsoon","Winter"))</f>
        <v>Summer</v>
      </c>
      <c r="O638" s="0" t="str">
        <f aca="false">IF(AND(L638&gt;=22,L638&lt;=25,E638&gt;=TIME(18,0,0)),"24H Night", IF(AND(L638&gt;=22,L638&lt;=25,E638&lt;TIME(18,0,0)),"24H Day", IF(AND(L638&gt;=11,L638&lt;=13,E638&gt;=TIME(18,0,0)),"12H Night", IF(AND(L638&gt;=11,L638&lt;=13,E638&lt;TIME(18,0,0)),"12H Day", IF(AND(L638&lt;10,E638&gt;=TIME(18,0,0)),"Couple Night", "Couple Day")))))</f>
        <v>12H Night</v>
      </c>
      <c r="P638" s="0" t="n">
        <f aca="false">WEEKDAY(D638,2)</f>
        <v>3</v>
      </c>
      <c r="Q638" s="0" t="n">
        <f aca="false">MONTH(D638)</f>
        <v>3</v>
      </c>
      <c r="R638" s="0" t="str">
        <f aca="false">"Q"&amp;ROUNDUP(MONTH(D638)/3,0)</f>
        <v>Q1</v>
      </c>
    </row>
    <row r="639" customFormat="false" ht="90.25" hidden="false" customHeight="false" outlineLevel="0" collapsed="false">
      <c r="A639" s="7" t="s">
        <v>1810</v>
      </c>
      <c r="B639" s="7" t="s">
        <v>1811</v>
      </c>
      <c r="C639" s="13" t="s">
        <v>1812</v>
      </c>
      <c r="D639" s="11" t="n">
        <v>46100</v>
      </c>
      <c r="E639" s="12" t="n">
        <v>0.583333333299375</v>
      </c>
      <c r="F639" s="11" t="n">
        <v>46101</v>
      </c>
      <c r="G639" s="12" t="n">
        <v>0.333333333299375</v>
      </c>
      <c r="H639" s="10" t="n">
        <v>46103.9675155093</v>
      </c>
      <c r="I639" s="7" t="n">
        <v>3800</v>
      </c>
      <c r="J639" s="0" t="n">
        <f aca="false">IF(AND(D639&gt;=DATE(YEAR(D639),3,15),D639&lt;=DATE(YEAR(D639),6,10)),1,0)</f>
        <v>1</v>
      </c>
      <c r="K639" s="0" t="e">
        <f aca="false">VLOOKUP(D639,Festival_List!$A$2:$B$100,2,0)</f>
        <v>#N/A</v>
      </c>
      <c r="L639" s="0" t="n">
        <f aca="false">ROUND(((F639+G639)-(D639+E639))*24,0)</f>
        <v>18</v>
      </c>
      <c r="M639" s="0" t="n">
        <f aca="false">IF(OR(WEEKDAY(D639)=1,WEEKDAY(D639)=7),1,0)</f>
        <v>0</v>
      </c>
      <c r="N639" s="0" t="str">
        <f aca="false">IF(AND(MONTH(D639)&gt;=3,MONTH(D639)&lt;=6),"Summer",IF(AND(MONTH(D639)&gt;=7,MONTH(D639)&lt;=9),"Monsoon","Winter"))</f>
        <v>Summer</v>
      </c>
      <c r="O639" s="0" t="str">
        <f aca="false">IF(AND(L639&gt;=22,L639&lt;=25,E639&gt;=TIME(18,0,0)),"24H Night", IF(AND(L639&gt;=22,L639&lt;=25,E639&lt;TIME(18,0,0)),"24H Day", IF(AND(L639&gt;=11,L639&lt;=13,E639&gt;=TIME(18,0,0)),"12H Night", IF(AND(L639&gt;=11,L639&lt;=13,E639&lt;TIME(18,0,0)),"12H Day", IF(AND(L639&lt;10,E639&gt;=TIME(18,0,0)),"Couple Night", "Couple Day")))))</f>
        <v>Couple Day</v>
      </c>
      <c r="P639" s="0" t="n">
        <f aca="false">WEEKDAY(D639,2)</f>
        <v>4</v>
      </c>
      <c r="Q639" s="0" t="n">
        <f aca="false">MONTH(D639)</f>
        <v>3</v>
      </c>
      <c r="R639" s="0" t="str">
        <f aca="false">"Q"&amp;ROUNDUP(MONTH(D639)/3,0)</f>
        <v>Q1</v>
      </c>
    </row>
    <row r="640" customFormat="false" ht="77.6" hidden="false" customHeight="false" outlineLevel="0" collapsed="false">
      <c r="A640" s="7" t="s">
        <v>1813</v>
      </c>
      <c r="B640" s="7" t="s">
        <v>1814</v>
      </c>
      <c r="C640" s="13" t="s">
        <v>1815</v>
      </c>
      <c r="D640" s="11" t="n">
        <v>46101</v>
      </c>
      <c r="E640" s="12" t="n">
        <v>0.416666666700625</v>
      </c>
      <c r="F640" s="11" t="n">
        <v>46101</v>
      </c>
      <c r="G640" s="12" t="n">
        <v>0.75</v>
      </c>
      <c r="H640" s="10" t="n">
        <v>46101.9442861111</v>
      </c>
      <c r="I640" s="7" t="n">
        <v>3300</v>
      </c>
      <c r="J640" s="0" t="n">
        <f aca="false">IF(AND(D640&gt;=DATE(YEAR(D640),3,15),D640&lt;=DATE(YEAR(D640),6,10)),1,0)</f>
        <v>1</v>
      </c>
      <c r="K640" s="0" t="str">
        <f aca="false">VLOOKUP(D640,Festival_List!$A$2:$B$100,2,0)</f>
        <v>Ram Navami</v>
      </c>
      <c r="L640" s="0" t="n">
        <f aca="false">ROUND(((F640+G640)-(D640+E640))*24,0)</f>
        <v>8</v>
      </c>
      <c r="M640" s="0" t="n">
        <f aca="false">IF(OR(WEEKDAY(D640)=1,WEEKDAY(D640)=7),1,0)</f>
        <v>0</v>
      </c>
      <c r="N640" s="0" t="str">
        <f aca="false">IF(AND(MONTH(D640)&gt;=3,MONTH(D640)&lt;=6),"Summer",IF(AND(MONTH(D640)&gt;=7,MONTH(D640)&lt;=9),"Monsoon","Winter"))</f>
        <v>Summer</v>
      </c>
      <c r="O640" s="0" t="str">
        <f aca="false">IF(AND(L640&gt;=22,L640&lt;=25,E640&gt;=TIME(18,0,0)),"24H Night", IF(AND(L640&gt;=22,L640&lt;=25,E640&lt;TIME(18,0,0)),"24H Day", IF(AND(L640&gt;=11,L640&lt;=13,E640&gt;=TIME(18,0,0)),"12H Night", IF(AND(L640&gt;=11,L640&lt;=13,E640&lt;TIME(18,0,0)),"12H Day", IF(AND(L640&lt;10,E640&gt;=TIME(18,0,0)),"Couple Night", "Couple Day")))))</f>
        <v>Couple Day</v>
      </c>
      <c r="P640" s="0" t="n">
        <f aca="false">WEEKDAY(D640,2)</f>
        <v>5</v>
      </c>
      <c r="Q640" s="0" t="n">
        <f aca="false">MONTH(D640)</f>
        <v>3</v>
      </c>
      <c r="R640" s="0" t="str">
        <f aca="false">"Q"&amp;ROUNDUP(MONTH(D640)/3,0)</f>
        <v>Q1</v>
      </c>
    </row>
    <row r="641" customFormat="false" ht="115.65" hidden="false" customHeight="false" outlineLevel="0" collapsed="false">
      <c r="A641" s="7" t="s">
        <v>1816</v>
      </c>
      <c r="B641" s="7" t="s">
        <v>1817</v>
      </c>
      <c r="C641" s="13" t="s">
        <v>1818</v>
      </c>
      <c r="D641" s="11" t="n">
        <v>46101</v>
      </c>
      <c r="E641" s="12" t="n">
        <v>0.791666666700625</v>
      </c>
      <c r="F641" s="11" t="n">
        <v>46102</v>
      </c>
      <c r="G641" s="12" t="n">
        <v>0.75</v>
      </c>
      <c r="H641" s="10" t="n">
        <v>46099.7268690972</v>
      </c>
      <c r="I641" s="7" t="n">
        <v>5500</v>
      </c>
      <c r="J641" s="0" t="n">
        <f aca="false">IF(AND(D641&gt;=DATE(YEAR(D641),3,15),D641&lt;=DATE(YEAR(D641),6,10)),1,0)</f>
        <v>1</v>
      </c>
      <c r="K641" s="0" t="str">
        <f aca="false">VLOOKUP(D641,Festival_List!$A$2:$B$100,2,0)</f>
        <v>Ram Navami</v>
      </c>
      <c r="L641" s="0" t="n">
        <f aca="false">ROUND(((F641+G641)-(D641+E641))*24,0)</f>
        <v>23</v>
      </c>
      <c r="M641" s="0" t="n">
        <f aca="false">IF(OR(WEEKDAY(D641)=1,WEEKDAY(D641)=7),1,0)</f>
        <v>0</v>
      </c>
      <c r="N641" s="0" t="str">
        <f aca="false">IF(AND(MONTH(D641)&gt;=3,MONTH(D641)&lt;=6),"Summer",IF(AND(MONTH(D641)&gt;=7,MONTH(D641)&lt;=9),"Monsoon","Winter"))</f>
        <v>Summer</v>
      </c>
      <c r="O641" s="0" t="str">
        <f aca="false">IF(AND(L641&gt;=22,L641&lt;=25,E641&gt;=TIME(18,0,0)),"24H Night", IF(AND(L641&gt;=22,L641&lt;=25,E641&lt;TIME(18,0,0)),"24H Day", IF(AND(L641&gt;=11,L641&lt;=13,E641&gt;=TIME(18,0,0)),"12H Night", IF(AND(L641&gt;=11,L641&lt;=13,E641&lt;TIME(18,0,0)),"12H Day", IF(AND(L641&lt;10,E641&gt;=TIME(18,0,0)),"Couple Night", "Couple Day")))))</f>
        <v>24H Night</v>
      </c>
      <c r="P641" s="0" t="n">
        <f aca="false">WEEKDAY(D641,2)</f>
        <v>5</v>
      </c>
      <c r="Q641" s="0" t="n">
        <f aca="false">MONTH(D641)</f>
        <v>3</v>
      </c>
      <c r="R641" s="0" t="str">
        <f aca="false">"Q"&amp;ROUNDUP(MONTH(D641)/3,0)</f>
        <v>Q1</v>
      </c>
    </row>
    <row r="642" customFormat="false" ht="141" hidden="false" customHeight="false" outlineLevel="0" collapsed="false">
      <c r="A642" s="7" t="s">
        <v>1819</v>
      </c>
      <c r="B642" s="7" t="s">
        <v>680</v>
      </c>
      <c r="C642" s="13" t="s">
        <v>1820</v>
      </c>
      <c r="D642" s="11" t="n">
        <v>46102</v>
      </c>
      <c r="E642" s="12" t="n">
        <v>0.791666666700625</v>
      </c>
      <c r="F642" s="11" t="n">
        <v>46103</v>
      </c>
      <c r="G642" s="12" t="n">
        <v>0.75</v>
      </c>
      <c r="H642" s="10" t="n">
        <v>46096.5263851852</v>
      </c>
      <c r="I642" s="7" t="n">
        <v>10000</v>
      </c>
      <c r="J642" s="0" t="n">
        <f aca="false">IF(AND(D642&gt;=DATE(YEAR(D642),3,15),D642&lt;=DATE(YEAR(D642),6,10)),1,0)</f>
        <v>1</v>
      </c>
      <c r="K642" s="0" t="e">
        <f aca="false">VLOOKUP(D642,Festival_List!$A$2:$B$100,2,0)</f>
        <v>#N/A</v>
      </c>
      <c r="L642" s="0" t="n">
        <f aca="false">ROUND(((F642+G642)-(D642+E642))*24,0)</f>
        <v>23</v>
      </c>
      <c r="M642" s="0" t="n">
        <f aca="false">IF(OR(WEEKDAY(D642)=1,WEEKDAY(D642)=7),1,0)</f>
        <v>1</v>
      </c>
      <c r="N642" s="0" t="str">
        <f aca="false">IF(AND(MONTH(D642)&gt;=3,MONTH(D642)&lt;=6),"Summer",IF(AND(MONTH(D642)&gt;=7,MONTH(D642)&lt;=9),"Monsoon","Winter"))</f>
        <v>Summer</v>
      </c>
      <c r="O642" s="0" t="str">
        <f aca="false">IF(AND(L642&gt;=22,L642&lt;=25,E642&gt;=TIME(18,0,0)),"24H Night", IF(AND(L642&gt;=22,L642&lt;=25,E642&lt;TIME(18,0,0)),"24H Day", IF(AND(L642&gt;=11,L642&lt;=13,E642&gt;=TIME(18,0,0)),"12H Night", IF(AND(L642&gt;=11,L642&lt;=13,E642&lt;TIME(18,0,0)),"12H Day", IF(AND(L642&lt;10,E642&gt;=TIME(18,0,0)),"Couple Night", "Couple Day")))))</f>
        <v>24H Night</v>
      </c>
      <c r="P642" s="0" t="n">
        <f aca="false">WEEKDAY(D642,2)</f>
        <v>6</v>
      </c>
      <c r="Q642" s="0" t="n">
        <f aca="false">MONTH(D642)</f>
        <v>3</v>
      </c>
      <c r="R642" s="0" t="str">
        <f aca="false">"Q"&amp;ROUNDUP(MONTH(D642)/3,0)</f>
        <v>Q1</v>
      </c>
    </row>
    <row r="643" customFormat="false" ht="64.9" hidden="false" customHeight="false" outlineLevel="0" collapsed="false">
      <c r="A643" s="7" t="s">
        <v>1821</v>
      </c>
      <c r="B643" s="7" t="s">
        <v>1765</v>
      </c>
      <c r="C643" s="13" t="s">
        <v>1822</v>
      </c>
      <c r="D643" s="11" t="n">
        <v>46103</v>
      </c>
      <c r="E643" s="12" t="n">
        <v>0.833333333299375</v>
      </c>
      <c r="F643" s="11" t="n">
        <v>46104</v>
      </c>
      <c r="G643" s="12" t="n">
        <v>0.333333333299375</v>
      </c>
      <c r="H643" s="10" t="n">
        <v>46103.9683081019</v>
      </c>
      <c r="I643" s="7" t="n">
        <v>3000</v>
      </c>
      <c r="J643" s="0" t="n">
        <f aca="false">IF(AND(D643&gt;=DATE(YEAR(D643),3,15),D643&lt;=DATE(YEAR(D643),6,10)),1,0)</f>
        <v>1</v>
      </c>
      <c r="K643" s="0" t="e">
        <f aca="false">VLOOKUP(D643,Festival_List!$A$2:$B$100,2,0)</f>
        <v>#N/A</v>
      </c>
      <c r="L643" s="0" t="n">
        <f aca="false">ROUND(((F643+G643)-(D643+E643))*24,0)</f>
        <v>12</v>
      </c>
      <c r="M643" s="0" t="n">
        <f aca="false">IF(OR(WEEKDAY(D643)=1,WEEKDAY(D643)=7),1,0)</f>
        <v>1</v>
      </c>
      <c r="N643" s="0" t="str">
        <f aca="false">IF(AND(MONTH(D643)&gt;=3,MONTH(D643)&lt;=6),"Summer",IF(AND(MONTH(D643)&gt;=7,MONTH(D643)&lt;=9),"Monsoon","Winter"))</f>
        <v>Summer</v>
      </c>
      <c r="O643" s="0" t="str">
        <f aca="false">IF(AND(L643&gt;=22,L643&lt;=25,E643&gt;=TIME(18,0,0)),"24H Night", IF(AND(L643&gt;=22,L643&lt;=25,E643&lt;TIME(18,0,0)),"24H Day", IF(AND(L643&gt;=11,L643&lt;=13,E643&gt;=TIME(18,0,0)),"12H Night", IF(AND(L643&gt;=11,L643&lt;=13,E643&lt;TIME(18,0,0)),"12H Day", IF(AND(L643&lt;10,E643&gt;=TIME(18,0,0)),"Couple Night", "Couple Day")))))</f>
        <v>12H Night</v>
      </c>
      <c r="P643" s="0" t="n">
        <f aca="false">WEEKDAY(D643,2)</f>
        <v>7</v>
      </c>
      <c r="Q643" s="0" t="n">
        <f aca="false">MONTH(D643)</f>
        <v>3</v>
      </c>
      <c r="R643" s="0" t="str">
        <f aca="false">"Q"&amp;ROUNDUP(MONTH(D643)/3,0)</f>
        <v>Q1</v>
      </c>
    </row>
    <row r="644" customFormat="false" ht="128.35" hidden="false" customHeight="false" outlineLevel="0" collapsed="false">
      <c r="A644" s="7" t="s">
        <v>1823</v>
      </c>
      <c r="B644" s="7" t="s">
        <v>1811</v>
      </c>
      <c r="C644" s="13" t="s">
        <v>1824</v>
      </c>
      <c r="D644" s="11" t="n">
        <v>46104</v>
      </c>
      <c r="E644" s="12" t="n">
        <v>0.416666666700625</v>
      </c>
      <c r="F644" s="11" t="n">
        <v>46104</v>
      </c>
      <c r="G644" s="12" t="n">
        <v>0.75</v>
      </c>
      <c r="H644" s="10" t="n">
        <v>46099.8473638889</v>
      </c>
      <c r="I644" s="7" t="n">
        <v>4000</v>
      </c>
      <c r="J644" s="0" t="n">
        <f aca="false">IF(AND(D644&gt;=DATE(YEAR(D644),3,15),D644&lt;=DATE(YEAR(D644),6,10)),1,0)</f>
        <v>1</v>
      </c>
      <c r="K644" s="0" t="e">
        <f aca="false">VLOOKUP(D644,Festival_List!$A$2:$B$100,2,0)</f>
        <v>#N/A</v>
      </c>
      <c r="L644" s="0" t="n">
        <f aca="false">ROUND(((F644+G644)-(D644+E644))*24,0)</f>
        <v>8</v>
      </c>
      <c r="M644" s="0" t="n">
        <f aca="false">IF(OR(WEEKDAY(D644)=1,WEEKDAY(D644)=7),1,0)</f>
        <v>0</v>
      </c>
      <c r="N644" s="0" t="str">
        <f aca="false">IF(AND(MONTH(D644)&gt;=3,MONTH(D644)&lt;=6),"Summer",IF(AND(MONTH(D644)&gt;=7,MONTH(D644)&lt;=9),"Monsoon","Winter"))</f>
        <v>Summer</v>
      </c>
      <c r="O644" s="0" t="str">
        <f aca="false">IF(AND(L644&gt;=22,L644&lt;=25,E644&gt;=TIME(18,0,0)),"24H Night", IF(AND(L644&gt;=22,L644&lt;=25,E644&lt;TIME(18,0,0)),"24H Day", IF(AND(L644&gt;=11,L644&lt;=13,E644&gt;=TIME(18,0,0)),"12H Night", IF(AND(L644&gt;=11,L644&lt;=13,E644&lt;TIME(18,0,0)),"12H Day", IF(AND(L644&lt;10,E644&gt;=TIME(18,0,0)),"Couple Night", "Couple Day")))))</f>
        <v>Couple Day</v>
      </c>
      <c r="P644" s="0" t="n">
        <f aca="false">WEEKDAY(D644,2)</f>
        <v>1</v>
      </c>
      <c r="Q644" s="0" t="n">
        <f aca="false">MONTH(D644)</f>
        <v>3</v>
      </c>
      <c r="R644" s="0" t="str">
        <f aca="false">"Q"&amp;ROUNDUP(MONTH(D644)/3,0)</f>
        <v>Q1</v>
      </c>
    </row>
    <row r="645" customFormat="false" ht="141" hidden="false" customHeight="false" outlineLevel="0" collapsed="false">
      <c r="A645" s="7" t="s">
        <v>1825</v>
      </c>
      <c r="B645" s="7" t="s">
        <v>1826</v>
      </c>
      <c r="C645" s="13" t="s">
        <v>1827</v>
      </c>
      <c r="D645" s="11" t="n">
        <v>46105</v>
      </c>
      <c r="E645" s="12" t="n">
        <v>0.375</v>
      </c>
      <c r="F645" s="11" t="n">
        <v>46105</v>
      </c>
      <c r="G645" s="12" t="n">
        <v>0.75</v>
      </c>
      <c r="H645" s="10" t="n">
        <v>46102.4198965278</v>
      </c>
      <c r="I645" s="7" t="n">
        <v>4000</v>
      </c>
      <c r="J645" s="0" t="n">
        <f aca="false">IF(AND(D645&gt;=DATE(YEAR(D645),3,15),D645&lt;=DATE(YEAR(D645),6,10)),1,0)</f>
        <v>1</v>
      </c>
      <c r="K645" s="0" t="e">
        <f aca="false">VLOOKUP(D645,Festival_List!$A$2:$B$100,2,0)</f>
        <v>#N/A</v>
      </c>
      <c r="L645" s="0" t="n">
        <f aca="false">ROUND(((F645+G645)-(D645+E645))*24,0)</f>
        <v>9</v>
      </c>
      <c r="M645" s="0" t="n">
        <f aca="false">IF(OR(WEEKDAY(D645)=1,WEEKDAY(D645)=7),1,0)</f>
        <v>0</v>
      </c>
      <c r="N645" s="0" t="str">
        <f aca="false">IF(AND(MONTH(D645)&gt;=3,MONTH(D645)&lt;=6),"Summer",IF(AND(MONTH(D645)&gt;=7,MONTH(D645)&lt;=9),"Monsoon","Winter"))</f>
        <v>Summer</v>
      </c>
      <c r="O645" s="0" t="str">
        <f aca="false">IF(AND(L645&gt;=22,L645&lt;=25,E645&gt;=TIME(18,0,0)),"24H Night", IF(AND(L645&gt;=22,L645&lt;=25,E645&lt;TIME(18,0,0)),"24H Day", IF(AND(L645&gt;=11,L645&lt;=13,E645&gt;=TIME(18,0,0)),"12H Night", IF(AND(L645&gt;=11,L645&lt;=13,E645&lt;TIME(18,0,0)),"12H Day", IF(AND(L645&lt;10,E645&gt;=TIME(18,0,0)),"Couple Night", "Couple Day")))))</f>
        <v>Couple Day</v>
      </c>
      <c r="P645" s="0" t="n">
        <f aca="false">WEEKDAY(D645,2)</f>
        <v>2</v>
      </c>
      <c r="Q645" s="0" t="n">
        <f aca="false">MONTH(D645)</f>
        <v>3</v>
      </c>
      <c r="R645" s="0" t="str">
        <f aca="false">"Q"&amp;ROUNDUP(MONTH(D645)/3,0)</f>
        <v>Q1</v>
      </c>
    </row>
    <row r="646" customFormat="false" ht="90.25" hidden="false" customHeight="false" outlineLevel="0" collapsed="false">
      <c r="A646" s="7" t="s">
        <v>1828</v>
      </c>
      <c r="B646" s="7" t="s">
        <v>409</v>
      </c>
      <c r="C646" s="13" t="s">
        <v>1829</v>
      </c>
      <c r="D646" s="11" t="n">
        <v>46109</v>
      </c>
      <c r="E646" s="12" t="n">
        <v>0.375</v>
      </c>
      <c r="F646" s="11" t="n">
        <v>46109</v>
      </c>
      <c r="G646" s="12" t="n">
        <v>0.75</v>
      </c>
      <c r="H646" s="10" t="n">
        <v>46108.5544168981</v>
      </c>
      <c r="I646" s="7" t="n">
        <v>3000</v>
      </c>
      <c r="J646" s="0" t="n">
        <f aca="false">IF(AND(D646&gt;=DATE(YEAR(D646),3,15),D646&lt;=DATE(YEAR(D646),6,10)),1,0)</f>
        <v>1</v>
      </c>
      <c r="K646" s="0" t="e">
        <f aca="false">VLOOKUP(D646,Festival_List!$A$2:$B$100,2,0)</f>
        <v>#N/A</v>
      </c>
      <c r="L646" s="0" t="n">
        <f aca="false">ROUND(((F646+G646)-(D646+E646))*24,0)</f>
        <v>9</v>
      </c>
      <c r="M646" s="0" t="n">
        <f aca="false">IF(OR(WEEKDAY(D646)=1,WEEKDAY(D646)=7),1,0)</f>
        <v>1</v>
      </c>
      <c r="N646" s="0" t="str">
        <f aca="false">IF(AND(MONTH(D646)&gt;=3,MONTH(D646)&lt;=6),"Summer",IF(AND(MONTH(D646)&gt;=7,MONTH(D646)&lt;=9),"Monsoon","Winter"))</f>
        <v>Summer</v>
      </c>
      <c r="O646" s="0" t="str">
        <f aca="false">IF(AND(L646&gt;=22,L646&lt;=25,E646&gt;=TIME(18,0,0)),"24H Night", IF(AND(L646&gt;=22,L646&lt;=25,E646&lt;TIME(18,0,0)),"24H Day", IF(AND(L646&gt;=11,L646&lt;=13,E646&gt;=TIME(18,0,0)),"12H Night", IF(AND(L646&gt;=11,L646&lt;=13,E646&lt;TIME(18,0,0)),"12H Day", IF(AND(L646&lt;10,E646&gt;=TIME(18,0,0)),"Couple Night", "Couple Day")))))</f>
        <v>Couple Day</v>
      </c>
      <c r="P646" s="0" t="n">
        <f aca="false">WEEKDAY(D646,2)</f>
        <v>6</v>
      </c>
      <c r="Q646" s="0" t="n">
        <f aca="false">MONTH(D646)</f>
        <v>3</v>
      </c>
      <c r="R646" s="0" t="str">
        <f aca="false">"Q"&amp;ROUNDUP(MONTH(D646)/3,0)</f>
        <v>Q1</v>
      </c>
    </row>
    <row r="647" customFormat="false" ht="128.35" hidden="false" customHeight="false" outlineLevel="0" collapsed="false">
      <c r="A647" s="7" t="s">
        <v>1830</v>
      </c>
      <c r="B647" s="7" t="s">
        <v>1831</v>
      </c>
      <c r="C647" s="13" t="s">
        <v>1832</v>
      </c>
      <c r="D647" s="11" t="n">
        <v>46109</v>
      </c>
      <c r="E647" s="12" t="n">
        <v>0.791666666700625</v>
      </c>
      <c r="F647" s="11" t="n">
        <v>46110</v>
      </c>
      <c r="G647" s="12" t="n">
        <v>0.75</v>
      </c>
      <c r="H647" s="10" t="n">
        <v>46104.4471105324</v>
      </c>
      <c r="I647" s="7" t="n">
        <v>10000</v>
      </c>
      <c r="J647" s="0" t="n">
        <f aca="false">IF(AND(D647&gt;=DATE(YEAR(D647),3,15),D647&lt;=DATE(YEAR(D647),6,10)),1,0)</f>
        <v>1</v>
      </c>
      <c r="K647" s="0" t="e">
        <f aca="false">VLOOKUP(D647,Festival_List!$A$2:$B$100,2,0)</f>
        <v>#N/A</v>
      </c>
      <c r="L647" s="0" t="n">
        <f aca="false">ROUND(((F647+G647)-(D647+E647))*24,0)</f>
        <v>23</v>
      </c>
      <c r="M647" s="0" t="n">
        <f aca="false">IF(OR(WEEKDAY(D647)=1,WEEKDAY(D647)=7),1,0)</f>
        <v>1</v>
      </c>
      <c r="N647" s="0" t="str">
        <f aca="false">IF(AND(MONTH(D647)&gt;=3,MONTH(D647)&lt;=6),"Summer",IF(AND(MONTH(D647)&gt;=7,MONTH(D647)&lt;=9),"Monsoon","Winter"))</f>
        <v>Summer</v>
      </c>
      <c r="O647" s="0" t="str">
        <f aca="false">IF(AND(L647&gt;=22,L647&lt;=25,E647&gt;=TIME(18,0,0)),"24H Night", IF(AND(L647&gt;=22,L647&lt;=25,E647&lt;TIME(18,0,0)),"24H Day", IF(AND(L647&gt;=11,L647&lt;=13,E647&gt;=TIME(18,0,0)),"12H Night", IF(AND(L647&gt;=11,L647&lt;=13,E647&lt;TIME(18,0,0)),"12H Day", IF(AND(L647&lt;10,E647&gt;=TIME(18,0,0)),"Couple Night", "Couple Day")))))</f>
        <v>24H Night</v>
      </c>
      <c r="P647" s="0" t="n">
        <f aca="false">WEEKDAY(D647,2)</f>
        <v>6</v>
      </c>
      <c r="Q647" s="0" t="n">
        <f aca="false">MONTH(D647)</f>
        <v>3</v>
      </c>
      <c r="R647" s="0" t="str">
        <f aca="false">"Q"&amp;ROUNDUP(MONTH(D647)/3,0)</f>
        <v>Q1</v>
      </c>
    </row>
    <row r="648" customFormat="false" ht="115.65" hidden="false" customHeight="false" outlineLevel="0" collapsed="false">
      <c r="A648" s="7" t="s">
        <v>1833</v>
      </c>
      <c r="B648" s="7" t="s">
        <v>1834</v>
      </c>
      <c r="C648" s="13" t="s">
        <v>1835</v>
      </c>
      <c r="D648" s="11" t="n">
        <v>46110</v>
      </c>
      <c r="E648" s="12" t="n">
        <v>0.791666666700625</v>
      </c>
      <c r="F648" s="11" t="n">
        <v>46111</v>
      </c>
      <c r="G648" s="12" t="n">
        <v>0.75</v>
      </c>
      <c r="H648" s="10" t="n">
        <v>46109.6060688657</v>
      </c>
      <c r="I648" s="7" t="n">
        <v>4500</v>
      </c>
      <c r="J648" s="0" t="n">
        <f aca="false">IF(AND(D648&gt;=DATE(YEAR(D648),3,15),D648&lt;=DATE(YEAR(D648),6,10)),1,0)</f>
        <v>1</v>
      </c>
      <c r="K648" s="0" t="e">
        <f aca="false">VLOOKUP(D648,Festival_List!$A$2:$B$100,2,0)</f>
        <v>#N/A</v>
      </c>
      <c r="L648" s="0" t="n">
        <f aca="false">ROUND(((F648+G648)-(D648+E648))*24,0)</f>
        <v>23</v>
      </c>
      <c r="M648" s="0" t="n">
        <f aca="false">IF(OR(WEEKDAY(D648)=1,WEEKDAY(D648)=7),1,0)</f>
        <v>1</v>
      </c>
      <c r="N648" s="0" t="str">
        <f aca="false">IF(AND(MONTH(D648)&gt;=3,MONTH(D648)&lt;=6),"Summer",IF(AND(MONTH(D648)&gt;=7,MONTH(D648)&lt;=9),"Monsoon","Winter"))</f>
        <v>Summer</v>
      </c>
      <c r="O648" s="0" t="str">
        <f aca="false">IF(AND(L648&gt;=22,L648&lt;=25,E648&gt;=TIME(18,0,0)),"24H Night", IF(AND(L648&gt;=22,L648&lt;=25,E648&lt;TIME(18,0,0)),"24H Day", IF(AND(L648&gt;=11,L648&lt;=13,E648&gt;=TIME(18,0,0)),"12H Night", IF(AND(L648&gt;=11,L648&lt;=13,E648&lt;TIME(18,0,0)),"12H Day", IF(AND(L648&lt;10,E648&gt;=TIME(18,0,0)),"Couple Night", "Couple Day")))))</f>
        <v>24H Night</v>
      </c>
      <c r="P648" s="0" t="n">
        <f aca="false">WEEKDAY(D648,2)</f>
        <v>7</v>
      </c>
      <c r="Q648" s="0" t="n">
        <f aca="false">MONTH(D648)</f>
        <v>3</v>
      </c>
      <c r="R648" s="0" t="str">
        <f aca="false">"Q"&amp;ROUNDUP(MONTH(D648)/3,0)</f>
        <v>Q1</v>
      </c>
    </row>
    <row r="649" customFormat="false" ht="141" hidden="false" customHeight="false" outlineLevel="0" collapsed="false">
      <c r="A649" s="7" t="s">
        <v>1836</v>
      </c>
      <c r="B649" s="7" t="s">
        <v>1837</v>
      </c>
      <c r="C649" s="13" t="s">
        <v>1838</v>
      </c>
      <c r="D649" s="11" t="n">
        <v>46111</v>
      </c>
      <c r="E649" s="12" t="n">
        <v>0.791666666700625</v>
      </c>
      <c r="F649" s="11" t="n">
        <v>46112</v>
      </c>
      <c r="G649" s="12" t="n">
        <v>0.75</v>
      </c>
      <c r="H649" s="10" t="n">
        <v>46101.9214755787</v>
      </c>
      <c r="I649" s="7" t="n">
        <v>5500</v>
      </c>
      <c r="J649" s="0" t="n">
        <f aca="false">IF(AND(D649&gt;=DATE(YEAR(D649),3,15),D649&lt;=DATE(YEAR(D649),6,10)),1,0)</f>
        <v>1</v>
      </c>
      <c r="K649" s="0" t="e">
        <f aca="false">VLOOKUP(D649,Festival_List!$A$2:$B$100,2,0)</f>
        <v>#N/A</v>
      </c>
      <c r="L649" s="0" t="n">
        <f aca="false">ROUND(((F649+G649)-(D649+E649))*24,0)</f>
        <v>23</v>
      </c>
      <c r="M649" s="0" t="n">
        <f aca="false">IF(OR(WEEKDAY(D649)=1,WEEKDAY(D649)=7),1,0)</f>
        <v>0</v>
      </c>
      <c r="N649" s="0" t="str">
        <f aca="false">IF(AND(MONTH(D649)&gt;=3,MONTH(D649)&lt;=6),"Summer",IF(AND(MONTH(D649)&gt;=7,MONTH(D649)&lt;=9),"Monsoon","Winter"))</f>
        <v>Summer</v>
      </c>
      <c r="O649" s="0" t="str">
        <f aca="false">IF(AND(L649&gt;=22,L649&lt;=25,E649&gt;=TIME(18,0,0)),"24H Night", IF(AND(L649&gt;=22,L649&lt;=25,E649&lt;TIME(18,0,0)),"24H Day", IF(AND(L649&gt;=11,L649&lt;=13,E649&gt;=TIME(18,0,0)),"12H Night", IF(AND(L649&gt;=11,L649&lt;=13,E649&lt;TIME(18,0,0)),"12H Day", IF(AND(L649&lt;10,E649&gt;=TIME(18,0,0)),"Couple Night", "Couple Day")))))</f>
        <v>24H Night</v>
      </c>
      <c r="P649" s="0" t="n">
        <f aca="false">WEEKDAY(D649,2)</f>
        <v>1</v>
      </c>
      <c r="Q649" s="0" t="n">
        <f aca="false">MONTH(D649)</f>
        <v>3</v>
      </c>
      <c r="R649" s="0" t="str">
        <f aca="false">"Q"&amp;ROUNDUP(MONTH(D649)/3,0)</f>
        <v>Q1</v>
      </c>
    </row>
    <row r="650" customFormat="false" ht="90.25" hidden="false" customHeight="false" outlineLevel="0" collapsed="false">
      <c r="A650" s="7" t="s">
        <v>1839</v>
      </c>
      <c r="B650" s="7" t="s">
        <v>1840</v>
      </c>
      <c r="C650" s="13" t="s">
        <v>1841</v>
      </c>
      <c r="D650" s="11" t="n">
        <v>46113</v>
      </c>
      <c r="E650" s="12" t="n">
        <v>0.375</v>
      </c>
      <c r="F650" s="11" t="n">
        <v>46113</v>
      </c>
      <c r="G650" s="12" t="n">
        <v>0.75</v>
      </c>
      <c r="H650" s="10" t="n">
        <v>46109.9646759259</v>
      </c>
      <c r="I650" s="7" t="n">
        <v>4000</v>
      </c>
      <c r="J650" s="0" t="n">
        <f aca="false">IF(AND(D650&gt;=DATE(YEAR(D650),3,15),D650&lt;=DATE(YEAR(D650),6,10)),1,0)</f>
        <v>1</v>
      </c>
      <c r="K650" s="0" t="e">
        <f aca="false">VLOOKUP(D650,Festival_List!$A$2:$B$100,2,0)</f>
        <v>#N/A</v>
      </c>
      <c r="L650" s="0" t="n">
        <f aca="false">ROUND(((F650+G650)-(D650+E650))*24,0)</f>
        <v>9</v>
      </c>
      <c r="M650" s="0" t="n">
        <f aca="false">IF(OR(WEEKDAY(D650)=1,WEEKDAY(D650)=7),1,0)</f>
        <v>0</v>
      </c>
      <c r="N650" s="0" t="str">
        <f aca="false">IF(AND(MONTH(D650)&gt;=3,MONTH(D650)&lt;=6),"Summer",IF(AND(MONTH(D650)&gt;=7,MONTH(D650)&lt;=9),"Monsoon","Winter"))</f>
        <v>Summer</v>
      </c>
      <c r="O650" s="0" t="str">
        <f aca="false">IF(AND(L650&gt;=22,L650&lt;=25,E650&gt;=TIME(18,0,0)),"24H Night", IF(AND(L650&gt;=22,L650&lt;=25,E650&lt;TIME(18,0,0)),"24H Day", IF(AND(L650&gt;=11,L650&lt;=13,E650&gt;=TIME(18,0,0)),"12H Night", IF(AND(L650&gt;=11,L650&lt;=13,E650&lt;TIME(18,0,0)),"12H Day", IF(AND(L650&lt;10,E650&gt;=TIME(18,0,0)),"Couple Night", "Couple Day")))))</f>
        <v>Couple Day</v>
      </c>
      <c r="P650" s="0" t="n">
        <f aca="false">WEEKDAY(D650,2)</f>
        <v>3</v>
      </c>
      <c r="Q650" s="0" t="n">
        <f aca="false">MONTH(D650)</f>
        <v>4</v>
      </c>
      <c r="R650" s="0" t="str">
        <f aca="false">"Q"&amp;ROUNDUP(MONTH(D650)/3,0)</f>
        <v>Q2</v>
      </c>
    </row>
    <row r="651" customFormat="false" ht="115.65" hidden="false" customHeight="false" outlineLevel="0" collapsed="false">
      <c r="A651" s="7" t="s">
        <v>1842</v>
      </c>
      <c r="B651" s="7" t="s">
        <v>1843</v>
      </c>
      <c r="C651" s="13" t="s">
        <v>1804</v>
      </c>
      <c r="D651" s="11" t="n">
        <v>46114</v>
      </c>
      <c r="E651" s="12" t="n">
        <v>0.791666666700625</v>
      </c>
      <c r="F651" s="11" t="n">
        <v>46115</v>
      </c>
      <c r="G651" s="12" t="n">
        <v>0.75</v>
      </c>
      <c r="H651" s="10" t="n">
        <v>46113.5503732639</v>
      </c>
      <c r="I651" s="7" t="n">
        <v>5000</v>
      </c>
      <c r="J651" s="0" t="n">
        <f aca="false">IF(AND(D651&gt;=DATE(YEAR(D651),3,15),D651&lt;=DATE(YEAR(D651),6,10)),1,0)</f>
        <v>1</v>
      </c>
      <c r="K651" s="0" t="e">
        <f aca="false">VLOOKUP(D651,Festival_List!$A$2:$B$100,2,0)</f>
        <v>#N/A</v>
      </c>
      <c r="L651" s="0" t="n">
        <f aca="false">ROUND(((F651+G651)-(D651+E651))*24,0)</f>
        <v>23</v>
      </c>
      <c r="M651" s="0" t="n">
        <f aca="false">IF(OR(WEEKDAY(D651)=1,WEEKDAY(D651)=7),1,0)</f>
        <v>0</v>
      </c>
      <c r="N651" s="0" t="str">
        <f aca="false">IF(AND(MONTH(D651)&gt;=3,MONTH(D651)&lt;=6),"Summer",IF(AND(MONTH(D651)&gt;=7,MONTH(D651)&lt;=9),"Monsoon","Winter"))</f>
        <v>Summer</v>
      </c>
      <c r="O651" s="0" t="str">
        <f aca="false">IF(AND(L651&gt;=22,L651&lt;=25,E651&gt;=TIME(18,0,0)),"24H Night", IF(AND(L651&gt;=22,L651&lt;=25,E651&lt;TIME(18,0,0)),"24H Day", IF(AND(L651&gt;=11,L651&lt;=13,E651&gt;=TIME(18,0,0)),"12H Night", IF(AND(L651&gt;=11,L651&lt;=13,E651&lt;TIME(18,0,0)),"12H Day", IF(AND(L651&lt;10,E651&gt;=TIME(18,0,0)),"Couple Night", "Couple Day")))))</f>
        <v>24H Night</v>
      </c>
      <c r="P651" s="0" t="n">
        <f aca="false">WEEKDAY(D651,2)</f>
        <v>4</v>
      </c>
      <c r="Q651" s="0" t="n">
        <f aca="false">MONTH(D651)</f>
        <v>4</v>
      </c>
      <c r="R651" s="0" t="str">
        <f aca="false">"Q"&amp;ROUNDUP(MONTH(D651)/3,0)</f>
        <v>Q2</v>
      </c>
    </row>
    <row r="652" customFormat="false" ht="115.65" hidden="false" customHeight="false" outlineLevel="0" collapsed="false">
      <c r="A652" s="7" t="s">
        <v>1844</v>
      </c>
      <c r="B652" s="7" t="s">
        <v>1845</v>
      </c>
      <c r="C652" s="13" t="s">
        <v>1846</v>
      </c>
      <c r="D652" s="11" t="n">
        <v>46115</v>
      </c>
      <c r="E652" s="12" t="n">
        <v>0.791666666700625</v>
      </c>
      <c r="F652" s="11" t="n">
        <v>46116</v>
      </c>
      <c r="G652" s="12" t="n">
        <v>0.333333333299375</v>
      </c>
      <c r="H652" s="10" t="n">
        <v>46111.5052944445</v>
      </c>
      <c r="I652" s="7" t="n">
        <v>3000</v>
      </c>
      <c r="J652" s="0" t="n">
        <f aca="false">IF(AND(D652&gt;=DATE(YEAR(D652),3,15),D652&lt;=DATE(YEAR(D652),6,10)),1,0)</f>
        <v>1</v>
      </c>
      <c r="K652" s="0" t="e">
        <f aca="false">VLOOKUP(D652,Festival_List!$A$2:$B$100,2,0)</f>
        <v>#N/A</v>
      </c>
      <c r="L652" s="0" t="n">
        <f aca="false">ROUND(((F652+G652)-(D652+E652))*24,0)</f>
        <v>13</v>
      </c>
      <c r="M652" s="0" t="n">
        <f aca="false">IF(OR(WEEKDAY(D652)=1,WEEKDAY(D652)=7),1,0)</f>
        <v>0</v>
      </c>
      <c r="N652" s="0" t="str">
        <f aca="false">IF(AND(MONTH(D652)&gt;=3,MONTH(D652)&lt;=6),"Summer",IF(AND(MONTH(D652)&gt;=7,MONTH(D652)&lt;=9),"Monsoon","Winter"))</f>
        <v>Summer</v>
      </c>
      <c r="O652" s="0" t="str">
        <f aca="false">IF(AND(L652&gt;=22,L652&lt;=25,E652&gt;=TIME(18,0,0)),"24H Night", IF(AND(L652&gt;=22,L652&lt;=25,E652&lt;TIME(18,0,0)),"24H Day", IF(AND(L652&gt;=11,L652&lt;=13,E652&gt;=TIME(18,0,0)),"12H Night", IF(AND(L652&gt;=11,L652&lt;=13,E652&lt;TIME(18,0,0)),"12H Day", IF(AND(L652&lt;10,E652&gt;=TIME(18,0,0)),"Couple Night", "Couple Day")))))</f>
        <v>12H Night</v>
      </c>
      <c r="P652" s="0" t="n">
        <f aca="false">WEEKDAY(D652,2)</f>
        <v>5</v>
      </c>
      <c r="Q652" s="0" t="n">
        <f aca="false">MONTH(D652)</f>
        <v>4</v>
      </c>
      <c r="R652" s="0" t="str">
        <f aca="false">"Q"&amp;ROUNDUP(MONTH(D652)/3,0)</f>
        <v>Q2</v>
      </c>
    </row>
    <row r="653" customFormat="false" ht="141" hidden="false" customHeight="false" outlineLevel="0" collapsed="false">
      <c r="A653" s="7" t="s">
        <v>1847</v>
      </c>
      <c r="B653" s="7" t="s">
        <v>1848</v>
      </c>
      <c r="C653" s="13" t="s">
        <v>1849</v>
      </c>
      <c r="D653" s="11" t="n">
        <v>46116</v>
      </c>
      <c r="E653" s="12" t="n">
        <v>0.791666666700625</v>
      </c>
      <c r="F653" s="11" t="n">
        <v>46117</v>
      </c>
      <c r="G653" s="12" t="n">
        <v>0.75</v>
      </c>
      <c r="H653" s="10" t="n">
        <v>46110.5566538194</v>
      </c>
      <c r="I653" s="7" t="n">
        <v>12000</v>
      </c>
      <c r="J653" s="0" t="n">
        <f aca="false">IF(AND(D653&gt;=DATE(YEAR(D653),3,15),D653&lt;=DATE(YEAR(D653),6,10)),1,0)</f>
        <v>1</v>
      </c>
      <c r="K653" s="0" t="e">
        <f aca="false">VLOOKUP(D653,Festival_List!$A$2:$B$100,2,0)</f>
        <v>#N/A</v>
      </c>
      <c r="L653" s="0" t="n">
        <f aca="false">ROUND(((F653+G653)-(D653+E653))*24,0)</f>
        <v>23</v>
      </c>
      <c r="M653" s="0" t="n">
        <f aca="false">IF(OR(WEEKDAY(D653)=1,WEEKDAY(D653)=7),1,0)</f>
        <v>1</v>
      </c>
      <c r="N653" s="0" t="str">
        <f aca="false">IF(AND(MONTH(D653)&gt;=3,MONTH(D653)&lt;=6),"Summer",IF(AND(MONTH(D653)&gt;=7,MONTH(D653)&lt;=9),"Monsoon","Winter"))</f>
        <v>Summer</v>
      </c>
      <c r="O653" s="0" t="str">
        <f aca="false">IF(AND(L653&gt;=22,L653&lt;=25,E653&gt;=TIME(18,0,0)),"24H Night", IF(AND(L653&gt;=22,L653&lt;=25,E653&lt;TIME(18,0,0)),"24H Day", IF(AND(L653&gt;=11,L653&lt;=13,E653&gt;=TIME(18,0,0)),"12H Night", IF(AND(L653&gt;=11,L653&lt;=13,E653&lt;TIME(18,0,0)),"12H Day", IF(AND(L653&lt;10,E653&gt;=TIME(18,0,0)),"Couple Night", "Couple Day")))))</f>
        <v>24H Night</v>
      </c>
      <c r="P653" s="0" t="n">
        <f aca="false">WEEKDAY(D653,2)</f>
        <v>6</v>
      </c>
      <c r="Q653" s="0" t="n">
        <f aca="false">MONTH(D653)</f>
        <v>4</v>
      </c>
      <c r="R653" s="0" t="str">
        <f aca="false">"Q"&amp;ROUNDUP(MONTH(D653)/3,0)</f>
        <v>Q2</v>
      </c>
    </row>
    <row r="654" customFormat="false" ht="102.95" hidden="false" customHeight="false" outlineLevel="0" collapsed="false">
      <c r="A654" s="7" t="s">
        <v>1850</v>
      </c>
      <c r="B654" s="7" t="s">
        <v>1611</v>
      </c>
      <c r="C654" s="13" t="s">
        <v>1851</v>
      </c>
      <c r="D654" s="11" t="n">
        <v>46118</v>
      </c>
      <c r="E654" s="12" t="n">
        <v>0.375</v>
      </c>
      <c r="F654" s="11" t="n">
        <v>46118</v>
      </c>
      <c r="G654" s="12" t="n">
        <v>0.75</v>
      </c>
      <c r="H654" s="10" t="n">
        <v>46116.548719213</v>
      </c>
      <c r="I654" s="7" t="n">
        <v>4000</v>
      </c>
      <c r="J654" s="0" t="n">
        <f aca="false">IF(AND(D654&gt;=DATE(YEAR(D654),3,15),D654&lt;=DATE(YEAR(D654),6,10)),1,0)</f>
        <v>1</v>
      </c>
      <c r="K654" s="0" t="e">
        <f aca="false">VLOOKUP(D654,Festival_List!$A$2:$B$100,2,0)</f>
        <v>#N/A</v>
      </c>
      <c r="L654" s="0" t="n">
        <f aca="false">ROUND(((F654+G654)-(D654+E654))*24,0)</f>
        <v>9</v>
      </c>
      <c r="M654" s="0" t="n">
        <f aca="false">IF(OR(WEEKDAY(D654)=1,WEEKDAY(D654)=7),1,0)</f>
        <v>0</v>
      </c>
      <c r="N654" s="0" t="str">
        <f aca="false">IF(AND(MONTH(D654)&gt;=3,MONTH(D654)&lt;=6),"Summer",IF(AND(MONTH(D654)&gt;=7,MONTH(D654)&lt;=9),"Monsoon","Winter"))</f>
        <v>Summer</v>
      </c>
      <c r="O654" s="0" t="str">
        <f aca="false">IF(AND(L654&gt;=22,L654&lt;=25,E654&gt;=TIME(18,0,0)),"24H Night", IF(AND(L654&gt;=22,L654&lt;=25,E654&lt;TIME(18,0,0)),"24H Day", IF(AND(L654&gt;=11,L654&lt;=13,E654&gt;=TIME(18,0,0)),"12H Night", IF(AND(L654&gt;=11,L654&lt;=13,E654&lt;TIME(18,0,0)),"12H Day", IF(AND(L654&lt;10,E654&gt;=TIME(18,0,0)),"Couple Night", "Couple Day")))))</f>
        <v>Couple Day</v>
      </c>
      <c r="P654" s="0" t="n">
        <f aca="false">WEEKDAY(D654,2)</f>
        <v>1</v>
      </c>
      <c r="Q654" s="0" t="n">
        <f aca="false">MONTH(D654)</f>
        <v>4</v>
      </c>
      <c r="R654" s="0" t="str">
        <f aca="false">"Q"&amp;ROUNDUP(MONTH(D654)/3,0)</f>
        <v>Q2</v>
      </c>
    </row>
    <row r="655" customFormat="false" ht="115.65" hidden="false" customHeight="false" outlineLevel="0" collapsed="false">
      <c r="A655" s="7" t="s">
        <v>1852</v>
      </c>
      <c r="B655" s="7" t="s">
        <v>1853</v>
      </c>
      <c r="C655" s="13" t="s">
        <v>1854</v>
      </c>
      <c r="D655" s="11" t="n">
        <v>46120</v>
      </c>
      <c r="E655" s="12" t="n">
        <v>0.458333333299375</v>
      </c>
      <c r="F655" s="11" t="n">
        <v>46120</v>
      </c>
      <c r="G655" s="12" t="n">
        <v>0.75</v>
      </c>
      <c r="H655" s="10" t="n">
        <v>46120.6735596065</v>
      </c>
      <c r="I655" s="7" t="n">
        <v>2500</v>
      </c>
      <c r="J655" s="0" t="n">
        <f aca="false">IF(AND(D655&gt;=DATE(YEAR(D655),3,15),D655&lt;=DATE(YEAR(D655),6,10)),1,0)</f>
        <v>1</v>
      </c>
      <c r="K655" s="0" t="e">
        <f aca="false">VLOOKUP(D655,Festival_List!$A$2:$B$100,2,0)</f>
        <v>#N/A</v>
      </c>
      <c r="L655" s="0" t="n">
        <f aca="false">ROUND(((F655+G655)-(D655+E655))*24,0)</f>
        <v>7</v>
      </c>
      <c r="M655" s="0" t="n">
        <f aca="false">IF(OR(WEEKDAY(D655)=1,WEEKDAY(D655)=7),1,0)</f>
        <v>0</v>
      </c>
      <c r="N655" s="0" t="str">
        <f aca="false">IF(AND(MONTH(D655)&gt;=3,MONTH(D655)&lt;=6),"Summer",IF(AND(MONTH(D655)&gt;=7,MONTH(D655)&lt;=9),"Monsoon","Winter"))</f>
        <v>Summer</v>
      </c>
      <c r="O655" s="0" t="str">
        <f aca="false">IF(AND(L655&gt;=22,L655&lt;=25,E655&gt;=TIME(18,0,0)),"24H Night", IF(AND(L655&gt;=22,L655&lt;=25,E655&lt;TIME(18,0,0)),"24H Day", IF(AND(L655&gt;=11,L655&lt;=13,E655&gt;=TIME(18,0,0)),"12H Night", IF(AND(L655&gt;=11,L655&lt;=13,E655&lt;TIME(18,0,0)),"12H Day", IF(AND(L655&lt;10,E655&gt;=TIME(18,0,0)),"Couple Night", "Couple Day")))))</f>
        <v>Couple Day</v>
      </c>
      <c r="P655" s="0" t="n">
        <f aca="false">WEEKDAY(D655,2)</f>
        <v>3</v>
      </c>
      <c r="Q655" s="0" t="n">
        <f aca="false">MONTH(D655)</f>
        <v>4</v>
      </c>
      <c r="R655" s="0" t="str">
        <f aca="false">"Q"&amp;ROUNDUP(MONTH(D655)/3,0)</f>
        <v>Q2</v>
      </c>
    </row>
    <row r="656" customFormat="false" ht="77.6" hidden="false" customHeight="false" outlineLevel="0" collapsed="false">
      <c r="A656" s="7" t="s">
        <v>1855</v>
      </c>
      <c r="B656" s="7" t="s">
        <v>1856</v>
      </c>
      <c r="C656" s="13" t="s">
        <v>1857</v>
      </c>
      <c r="D656" s="11" t="n">
        <v>46121</v>
      </c>
      <c r="E656" s="12" t="n">
        <v>0.583333333299375</v>
      </c>
      <c r="F656" s="11" t="n">
        <v>46121</v>
      </c>
      <c r="G656" s="12" t="n">
        <v>0.75</v>
      </c>
      <c r="H656" s="10" t="n">
        <v>46121.6178449074</v>
      </c>
      <c r="I656" s="7" t="n">
        <v>2500</v>
      </c>
      <c r="J656" s="0" t="n">
        <f aca="false">IF(AND(D656&gt;=DATE(YEAR(D656),3,15),D656&lt;=DATE(YEAR(D656),6,10)),1,0)</f>
        <v>1</v>
      </c>
      <c r="K656" s="0" t="e">
        <f aca="false">VLOOKUP(D656,Festival_List!$A$2:$B$100,2,0)</f>
        <v>#N/A</v>
      </c>
      <c r="L656" s="0" t="n">
        <f aca="false">ROUND(((F656+G656)-(D656+E656))*24,0)</f>
        <v>4</v>
      </c>
      <c r="M656" s="0" t="n">
        <f aca="false">IF(OR(WEEKDAY(D656)=1,WEEKDAY(D656)=7),1,0)</f>
        <v>0</v>
      </c>
      <c r="N656" s="0" t="str">
        <f aca="false">IF(AND(MONTH(D656)&gt;=3,MONTH(D656)&lt;=6),"Summer",IF(AND(MONTH(D656)&gt;=7,MONTH(D656)&lt;=9),"Monsoon","Winter"))</f>
        <v>Summer</v>
      </c>
      <c r="O656" s="0" t="str">
        <f aca="false">IF(AND(L656&gt;=22,L656&lt;=25,E656&gt;=TIME(18,0,0)),"24H Night", IF(AND(L656&gt;=22,L656&lt;=25,E656&lt;TIME(18,0,0)),"24H Day", IF(AND(L656&gt;=11,L656&lt;=13,E656&gt;=TIME(18,0,0)),"12H Night", IF(AND(L656&gt;=11,L656&lt;=13,E656&lt;TIME(18,0,0)),"12H Day", IF(AND(L656&lt;10,E656&gt;=TIME(18,0,0)),"Couple Night", "Couple Day")))))</f>
        <v>Couple Day</v>
      </c>
      <c r="P656" s="0" t="n">
        <f aca="false">WEEKDAY(D656,2)</f>
        <v>4</v>
      </c>
      <c r="Q656" s="0" t="n">
        <f aca="false">MONTH(D656)</f>
        <v>4</v>
      </c>
      <c r="R656" s="0" t="str">
        <f aca="false">"Q"&amp;ROUNDUP(MONTH(D656)/3,0)</f>
        <v>Q2</v>
      </c>
    </row>
    <row r="657" customFormat="false" ht="141" hidden="false" customHeight="false" outlineLevel="0" collapsed="false">
      <c r="A657" s="7" t="s">
        <v>1858</v>
      </c>
      <c r="B657" s="7" t="s">
        <v>1859</v>
      </c>
      <c r="C657" s="13" t="s">
        <v>1860</v>
      </c>
      <c r="D657" s="11" t="n">
        <v>46121</v>
      </c>
      <c r="E657" s="12" t="n">
        <v>0.791666666700625</v>
      </c>
      <c r="F657" s="11" t="n">
        <v>46122</v>
      </c>
      <c r="G657" s="12" t="n">
        <v>0.75</v>
      </c>
      <c r="H657" s="10" t="n">
        <v>46121.8353584491</v>
      </c>
      <c r="I657" s="7" t="n">
        <v>5000</v>
      </c>
      <c r="J657" s="0" t="n">
        <f aca="false">IF(AND(D657&gt;=DATE(YEAR(D657),3,15),D657&lt;=DATE(YEAR(D657),6,10)),1,0)</f>
        <v>1</v>
      </c>
      <c r="K657" s="0" t="e">
        <f aca="false">VLOOKUP(D657,Festival_List!$A$2:$B$100,2,0)</f>
        <v>#N/A</v>
      </c>
      <c r="L657" s="0" t="n">
        <f aca="false">ROUND(((F657+G657)-(D657+E657))*24,0)</f>
        <v>23</v>
      </c>
      <c r="M657" s="0" t="n">
        <f aca="false">IF(OR(WEEKDAY(D657)=1,WEEKDAY(D657)=7),1,0)</f>
        <v>0</v>
      </c>
      <c r="N657" s="0" t="str">
        <f aca="false">IF(AND(MONTH(D657)&gt;=3,MONTH(D657)&lt;=6),"Summer",IF(AND(MONTH(D657)&gt;=7,MONTH(D657)&lt;=9),"Monsoon","Winter"))</f>
        <v>Summer</v>
      </c>
      <c r="O657" s="0" t="str">
        <f aca="false">IF(AND(L657&gt;=22,L657&lt;=25,E657&gt;=TIME(18,0,0)),"24H Night", IF(AND(L657&gt;=22,L657&lt;=25,E657&lt;TIME(18,0,0)),"24H Day", IF(AND(L657&gt;=11,L657&lt;=13,E657&gt;=TIME(18,0,0)),"12H Night", IF(AND(L657&gt;=11,L657&lt;=13,E657&lt;TIME(18,0,0)),"12H Day", IF(AND(L657&lt;10,E657&gt;=TIME(18,0,0)),"Couple Night", "Couple Day")))))</f>
        <v>24H Night</v>
      </c>
      <c r="P657" s="0" t="n">
        <f aca="false">WEEKDAY(D657,2)</f>
        <v>4</v>
      </c>
      <c r="Q657" s="0" t="n">
        <f aca="false">MONTH(D657)</f>
        <v>4</v>
      </c>
      <c r="R657" s="0" t="str">
        <f aca="false">"Q"&amp;ROUNDUP(MONTH(D657)/3,0)</f>
        <v>Q2</v>
      </c>
    </row>
    <row r="658" customFormat="false" ht="102.95" hidden="false" customHeight="false" outlineLevel="0" collapsed="false">
      <c r="A658" s="7" t="s">
        <v>1861</v>
      </c>
      <c r="B658" s="7" t="s">
        <v>934</v>
      </c>
      <c r="C658" s="13" t="s">
        <v>1862</v>
      </c>
      <c r="D658" s="11" t="n">
        <v>46123</v>
      </c>
      <c r="E658" s="12" t="n">
        <v>0.375</v>
      </c>
      <c r="F658" s="11" t="n">
        <v>46123</v>
      </c>
      <c r="G658" s="12" t="n">
        <v>0.75</v>
      </c>
      <c r="H658" s="10" t="n">
        <v>46123.7601053241</v>
      </c>
      <c r="I658" s="7" t="n">
        <v>4000</v>
      </c>
      <c r="J658" s="0" t="n">
        <f aca="false">IF(AND(D658&gt;=DATE(YEAR(D658),3,15),D658&lt;=DATE(YEAR(D658),6,10)),1,0)</f>
        <v>1</v>
      </c>
      <c r="K658" s="0" t="e">
        <f aca="false">VLOOKUP(D658,Festival_List!$A$2:$B$100,2,0)</f>
        <v>#N/A</v>
      </c>
      <c r="L658" s="0" t="n">
        <f aca="false">ROUND(((F658+G658)-(D658+E658))*24,0)</f>
        <v>9</v>
      </c>
      <c r="M658" s="0" t="n">
        <f aca="false">IF(OR(WEEKDAY(D658)=1,WEEKDAY(D658)=7),1,0)</f>
        <v>1</v>
      </c>
      <c r="N658" s="0" t="str">
        <f aca="false">IF(AND(MONTH(D658)&gt;=3,MONTH(D658)&lt;=6),"Summer",IF(AND(MONTH(D658)&gt;=7,MONTH(D658)&lt;=9),"Monsoon","Winter"))</f>
        <v>Summer</v>
      </c>
      <c r="O658" s="0" t="str">
        <f aca="false">IF(AND(L658&gt;=22,L658&lt;=25,E658&gt;=TIME(18,0,0)),"24H Night", IF(AND(L658&gt;=22,L658&lt;=25,E658&lt;TIME(18,0,0)),"24H Day", IF(AND(L658&gt;=11,L658&lt;=13,E658&gt;=TIME(18,0,0)),"12H Night", IF(AND(L658&gt;=11,L658&lt;=13,E658&lt;TIME(18,0,0)),"12H Day", IF(AND(L658&lt;10,E658&gt;=TIME(18,0,0)),"Couple Night", "Couple Day")))))</f>
        <v>Couple Day</v>
      </c>
      <c r="P658" s="0" t="n">
        <f aca="false">WEEKDAY(D658,2)</f>
        <v>6</v>
      </c>
      <c r="Q658" s="0" t="n">
        <f aca="false">MONTH(D658)</f>
        <v>4</v>
      </c>
      <c r="R658" s="0" t="str">
        <f aca="false">"Q"&amp;ROUNDUP(MONTH(D658)/3,0)</f>
        <v>Q2</v>
      </c>
    </row>
    <row r="659" customFormat="false" ht="115.65" hidden="false" customHeight="false" outlineLevel="0" collapsed="false">
      <c r="A659" s="7" t="s">
        <v>1863</v>
      </c>
      <c r="B659" s="7" t="s">
        <v>1864</v>
      </c>
      <c r="C659" s="13" t="s">
        <v>1865</v>
      </c>
      <c r="D659" s="11" t="n">
        <v>46123</v>
      </c>
      <c r="E659" s="12" t="n">
        <v>0.791666666700625</v>
      </c>
      <c r="F659" s="11" t="n">
        <v>46124</v>
      </c>
      <c r="G659" s="12" t="n">
        <v>0.75</v>
      </c>
      <c r="H659" s="10" t="n">
        <v>46123.7977283565</v>
      </c>
      <c r="I659" s="7" t="n">
        <v>12000</v>
      </c>
      <c r="J659" s="0" t="n">
        <f aca="false">IF(AND(D659&gt;=DATE(YEAR(D659),3,15),D659&lt;=DATE(YEAR(D659),6,10)),1,0)</f>
        <v>1</v>
      </c>
      <c r="K659" s="0" t="e">
        <f aca="false">VLOOKUP(D659,Festival_List!$A$2:$B$100,2,0)</f>
        <v>#N/A</v>
      </c>
      <c r="L659" s="0" t="n">
        <f aca="false">ROUND(((F659+G659)-(D659+E659))*24,0)</f>
        <v>23</v>
      </c>
      <c r="M659" s="0" t="n">
        <f aca="false">IF(OR(WEEKDAY(D659)=1,WEEKDAY(D659)=7),1,0)</f>
        <v>1</v>
      </c>
      <c r="N659" s="0" t="str">
        <f aca="false">IF(AND(MONTH(D659)&gt;=3,MONTH(D659)&lt;=6),"Summer",IF(AND(MONTH(D659)&gt;=7,MONTH(D659)&lt;=9),"Monsoon","Winter"))</f>
        <v>Summer</v>
      </c>
      <c r="O659" s="0" t="str">
        <f aca="false">IF(AND(L659&gt;=22,L659&lt;=25,E659&gt;=TIME(18,0,0)),"24H Night", IF(AND(L659&gt;=22,L659&lt;=25,E659&lt;TIME(18,0,0)),"24H Day", IF(AND(L659&gt;=11,L659&lt;=13,E659&gt;=TIME(18,0,0)),"12H Night", IF(AND(L659&gt;=11,L659&lt;=13,E659&lt;TIME(18,0,0)),"12H Day", IF(AND(L659&lt;10,E659&gt;=TIME(18,0,0)),"Couple Night", "Couple Day")))))</f>
        <v>24H Night</v>
      </c>
      <c r="P659" s="0" t="n">
        <f aca="false">WEEKDAY(D659,2)</f>
        <v>6</v>
      </c>
      <c r="Q659" s="0" t="n">
        <f aca="false">MONTH(D659)</f>
        <v>4</v>
      </c>
      <c r="R659" s="0" t="str">
        <f aca="false">"Q"&amp;ROUNDUP(MONTH(D659)/3,0)</f>
        <v>Q2</v>
      </c>
    </row>
    <row r="660" customFormat="false" ht="115.65" hidden="false" customHeight="false" outlineLevel="0" collapsed="false">
      <c r="A660" s="7" t="s">
        <v>1866</v>
      </c>
      <c r="B660" s="7" t="s">
        <v>1867</v>
      </c>
      <c r="C660" s="13" t="s">
        <v>1868</v>
      </c>
      <c r="D660" s="11" t="n">
        <v>46125</v>
      </c>
      <c r="E660" s="12" t="n">
        <v>0.375</v>
      </c>
      <c r="F660" s="11" t="n">
        <v>46126</v>
      </c>
      <c r="G660" s="12" t="n">
        <v>0.333333333299375</v>
      </c>
      <c r="H660" s="10" t="n">
        <v>46120.5764027778</v>
      </c>
      <c r="I660" s="7" t="n">
        <v>5000</v>
      </c>
      <c r="J660" s="0" t="n">
        <f aca="false">IF(AND(D660&gt;=DATE(YEAR(D660),3,15),D660&lt;=DATE(YEAR(D660),6,10)),1,0)</f>
        <v>1</v>
      </c>
      <c r="K660" s="0" t="e">
        <f aca="false">VLOOKUP(D660,Festival_List!$A$2:$B$100,2,0)</f>
        <v>#N/A</v>
      </c>
      <c r="L660" s="0" t="n">
        <f aca="false">ROUND(((F660+G660)-(D660+E660))*24,0)</f>
        <v>23</v>
      </c>
      <c r="M660" s="0" t="n">
        <f aca="false">IF(OR(WEEKDAY(D660)=1,WEEKDAY(D660)=7),1,0)</f>
        <v>0</v>
      </c>
      <c r="N660" s="0" t="str">
        <f aca="false">IF(AND(MONTH(D660)&gt;=3,MONTH(D660)&lt;=6),"Summer",IF(AND(MONTH(D660)&gt;=7,MONTH(D660)&lt;=9),"Monsoon","Winter"))</f>
        <v>Summer</v>
      </c>
      <c r="O660" s="0" t="str">
        <f aca="false">IF(AND(L660&gt;=22,L660&lt;=25,E660&gt;=TIME(18,0,0)),"24H Night", IF(AND(L660&gt;=22,L660&lt;=25,E660&lt;TIME(18,0,0)),"24H Day", IF(AND(L660&gt;=11,L660&lt;=13,E660&gt;=TIME(18,0,0)),"12H Night", IF(AND(L660&gt;=11,L660&lt;=13,E660&lt;TIME(18,0,0)),"12H Day", IF(AND(L660&lt;10,E660&gt;=TIME(18,0,0)),"Couple Night", "Couple Day")))))</f>
        <v>24H Day</v>
      </c>
      <c r="P660" s="0" t="n">
        <f aca="false">WEEKDAY(D660,2)</f>
        <v>1</v>
      </c>
      <c r="Q660" s="0" t="n">
        <f aca="false">MONTH(D660)</f>
        <v>4</v>
      </c>
      <c r="R660" s="0" t="str">
        <f aca="false">"Q"&amp;ROUNDUP(MONTH(D660)/3,0)</f>
        <v>Q2</v>
      </c>
    </row>
    <row r="661" customFormat="false" ht="128.35" hidden="false" customHeight="false" outlineLevel="0" collapsed="false">
      <c r="A661" s="7" t="s">
        <v>1869</v>
      </c>
      <c r="B661" s="7" t="s">
        <v>1870</v>
      </c>
      <c r="C661" s="13" t="s">
        <v>1871</v>
      </c>
      <c r="D661" s="11" t="n">
        <v>46126</v>
      </c>
      <c r="E661" s="12" t="n">
        <v>0.5</v>
      </c>
      <c r="F661" s="11" t="n">
        <v>46126</v>
      </c>
      <c r="G661" s="12" t="n">
        <v>0.75</v>
      </c>
      <c r="H661" s="10" t="n">
        <v>46121.384230787</v>
      </c>
      <c r="I661" s="7" t="n">
        <v>3500</v>
      </c>
      <c r="J661" s="0" t="n">
        <f aca="false">IF(AND(D661&gt;=DATE(YEAR(D661),3,15),D661&lt;=DATE(YEAR(D661),6,10)),1,0)</f>
        <v>1</v>
      </c>
      <c r="K661" s="0" t="e">
        <f aca="false">VLOOKUP(D661,Festival_List!$A$2:$B$100,2,0)</f>
        <v>#N/A</v>
      </c>
      <c r="L661" s="0" t="n">
        <f aca="false">ROUND(((F661+G661)-(D661+E661))*24,0)</f>
        <v>6</v>
      </c>
      <c r="M661" s="0" t="n">
        <f aca="false">IF(OR(WEEKDAY(D661)=1,WEEKDAY(D661)=7),1,0)</f>
        <v>0</v>
      </c>
      <c r="N661" s="0" t="str">
        <f aca="false">IF(AND(MONTH(D661)&gt;=3,MONTH(D661)&lt;=6),"Summer",IF(AND(MONTH(D661)&gt;=7,MONTH(D661)&lt;=9),"Monsoon","Winter"))</f>
        <v>Summer</v>
      </c>
      <c r="O661" s="0" t="str">
        <f aca="false">IF(AND(L661&gt;=22,L661&lt;=25,E661&gt;=TIME(18,0,0)),"24H Night", IF(AND(L661&gt;=22,L661&lt;=25,E661&lt;TIME(18,0,0)),"24H Day", IF(AND(L661&gt;=11,L661&lt;=13,E661&gt;=TIME(18,0,0)),"12H Night", IF(AND(L661&gt;=11,L661&lt;=13,E661&lt;TIME(18,0,0)),"12H Day", IF(AND(L661&lt;10,E661&gt;=TIME(18,0,0)),"Couple Night", "Couple Day")))))</f>
        <v>Couple Day</v>
      </c>
      <c r="P661" s="0" t="n">
        <f aca="false">WEEKDAY(D661,2)</f>
        <v>2</v>
      </c>
      <c r="Q661" s="0" t="n">
        <f aca="false">MONTH(D661)</f>
        <v>4</v>
      </c>
      <c r="R661" s="0" t="str">
        <f aca="false">"Q"&amp;ROUNDUP(MONTH(D661)/3,0)</f>
        <v>Q2</v>
      </c>
    </row>
    <row r="662" customFormat="false" ht="77.6" hidden="false" customHeight="false" outlineLevel="0" collapsed="false">
      <c r="A662" s="7" t="s">
        <v>1872</v>
      </c>
      <c r="B662" s="7" t="s">
        <v>1873</v>
      </c>
      <c r="C662" s="13" t="s">
        <v>1874</v>
      </c>
      <c r="D662" s="11" t="n">
        <v>46127</v>
      </c>
      <c r="E662" s="12" t="n">
        <v>0.5</v>
      </c>
      <c r="F662" s="11" t="n">
        <v>46127</v>
      </c>
      <c r="G662" s="12" t="n">
        <v>0.75</v>
      </c>
      <c r="H662" s="10" t="n">
        <v>46128.5296949074</v>
      </c>
      <c r="I662" s="7" t="n">
        <v>3000</v>
      </c>
      <c r="J662" s="0" t="n">
        <f aca="false">IF(AND(D662&gt;=DATE(YEAR(D662),3,15),D662&lt;=DATE(YEAR(D662),6,10)),1,0)</f>
        <v>1</v>
      </c>
      <c r="K662" s="0" t="e">
        <f aca="false">VLOOKUP(D662,Festival_List!$A$2:$B$100,2,0)</f>
        <v>#N/A</v>
      </c>
      <c r="L662" s="0" t="n">
        <f aca="false">ROUND(((F662+G662)-(D662+E662))*24,0)</f>
        <v>6</v>
      </c>
      <c r="M662" s="0" t="n">
        <f aca="false">IF(OR(WEEKDAY(D662)=1,WEEKDAY(D662)=7),1,0)</f>
        <v>0</v>
      </c>
      <c r="N662" s="0" t="str">
        <f aca="false">IF(AND(MONTH(D662)&gt;=3,MONTH(D662)&lt;=6),"Summer",IF(AND(MONTH(D662)&gt;=7,MONTH(D662)&lt;=9),"Monsoon","Winter"))</f>
        <v>Summer</v>
      </c>
      <c r="O662" s="0" t="str">
        <f aca="false">IF(AND(L662&gt;=22,L662&lt;=25,E662&gt;=TIME(18,0,0)),"24H Night", IF(AND(L662&gt;=22,L662&lt;=25,E662&lt;TIME(18,0,0)),"24H Day", IF(AND(L662&gt;=11,L662&lt;=13,E662&gt;=TIME(18,0,0)),"12H Night", IF(AND(L662&gt;=11,L662&lt;=13,E662&lt;TIME(18,0,0)),"12H Day", IF(AND(L662&lt;10,E662&gt;=TIME(18,0,0)),"Couple Night", "Couple Day")))))</f>
        <v>Couple Day</v>
      </c>
      <c r="P662" s="0" t="n">
        <f aca="false">WEEKDAY(D662,2)</f>
        <v>3</v>
      </c>
      <c r="Q662" s="0" t="n">
        <f aca="false">MONTH(D662)</f>
        <v>4</v>
      </c>
      <c r="R662" s="0" t="str">
        <f aca="false">"Q"&amp;ROUNDUP(MONTH(D662)/3,0)</f>
        <v>Q2</v>
      </c>
    </row>
    <row r="663" customFormat="false" ht="115.65" hidden="false" customHeight="false" outlineLevel="0" collapsed="false">
      <c r="A663" s="7" t="s">
        <v>1875</v>
      </c>
      <c r="B663" s="7" t="s">
        <v>1714</v>
      </c>
      <c r="C663" s="13" t="s">
        <v>1876</v>
      </c>
      <c r="D663" s="11" t="n">
        <v>46127</v>
      </c>
      <c r="E663" s="12" t="n">
        <v>0.791666666700625</v>
      </c>
      <c r="F663" s="11" t="n">
        <v>46128</v>
      </c>
      <c r="G663" s="12" t="n">
        <v>0.75</v>
      </c>
      <c r="H663" s="10" t="n">
        <v>46127.7896428241</v>
      </c>
      <c r="I663" s="7" t="n">
        <v>5000</v>
      </c>
      <c r="J663" s="0" t="n">
        <f aca="false">IF(AND(D663&gt;=DATE(YEAR(D663),3,15),D663&lt;=DATE(YEAR(D663),6,10)),1,0)</f>
        <v>1</v>
      </c>
      <c r="K663" s="0" t="e">
        <f aca="false">VLOOKUP(D663,Festival_List!$A$2:$B$100,2,0)</f>
        <v>#N/A</v>
      </c>
      <c r="L663" s="0" t="n">
        <f aca="false">ROUND(((F663+G663)-(D663+E663))*24,0)</f>
        <v>23</v>
      </c>
      <c r="M663" s="0" t="n">
        <f aca="false">IF(OR(WEEKDAY(D663)=1,WEEKDAY(D663)=7),1,0)</f>
        <v>0</v>
      </c>
      <c r="N663" s="0" t="str">
        <f aca="false">IF(AND(MONTH(D663)&gt;=3,MONTH(D663)&lt;=6),"Summer",IF(AND(MONTH(D663)&gt;=7,MONTH(D663)&lt;=9),"Monsoon","Winter"))</f>
        <v>Summer</v>
      </c>
      <c r="O663" s="0" t="str">
        <f aca="false">IF(AND(L663&gt;=22,L663&lt;=25,E663&gt;=TIME(18,0,0)),"24H Night", IF(AND(L663&gt;=22,L663&lt;=25,E663&lt;TIME(18,0,0)),"24H Day", IF(AND(L663&gt;=11,L663&lt;=13,E663&gt;=TIME(18,0,0)),"12H Night", IF(AND(L663&gt;=11,L663&lt;=13,E663&lt;TIME(18,0,0)),"12H Day", IF(AND(L663&lt;10,E663&gt;=TIME(18,0,0)),"Couple Night", "Couple Day")))))</f>
        <v>24H Night</v>
      </c>
      <c r="P663" s="0" t="n">
        <f aca="false">WEEKDAY(D663,2)</f>
        <v>3</v>
      </c>
      <c r="Q663" s="0" t="n">
        <f aca="false">MONTH(D663)</f>
        <v>4</v>
      </c>
      <c r="R663" s="0" t="str">
        <f aca="false">"Q"&amp;ROUNDUP(MONTH(D663)/3,0)</f>
        <v>Q2</v>
      </c>
    </row>
    <row r="664" customFormat="false" ht="141" hidden="false" customHeight="false" outlineLevel="0" collapsed="false">
      <c r="A664" s="7" t="s">
        <v>1877</v>
      </c>
      <c r="B664" s="7" t="s">
        <v>1878</v>
      </c>
      <c r="C664" s="13" t="s">
        <v>1879</v>
      </c>
      <c r="D664" s="11" t="n">
        <v>46129</v>
      </c>
      <c r="E664" s="12" t="n">
        <v>0.4375</v>
      </c>
      <c r="F664" s="11" t="n">
        <v>46129</v>
      </c>
      <c r="G664" s="12" t="n">
        <v>0.75</v>
      </c>
      <c r="H664" s="10" t="n">
        <v>46129.5280927083</v>
      </c>
      <c r="I664" s="7" t="n">
        <v>4000</v>
      </c>
      <c r="J664" s="0" t="n">
        <f aca="false">IF(AND(D664&gt;=DATE(YEAR(D664),3,15),D664&lt;=DATE(YEAR(D664),6,10)),1,0)</f>
        <v>1</v>
      </c>
      <c r="K664" s="0" t="e">
        <f aca="false">VLOOKUP(D664,Festival_List!$A$2:$B$100,2,0)</f>
        <v>#N/A</v>
      </c>
      <c r="L664" s="0" t="n">
        <f aca="false">ROUND(((F664+G664)-(D664+E664))*24,0)</f>
        <v>8</v>
      </c>
      <c r="M664" s="0" t="n">
        <f aca="false">IF(OR(WEEKDAY(D664)=1,WEEKDAY(D664)=7),1,0)</f>
        <v>0</v>
      </c>
      <c r="N664" s="0" t="str">
        <f aca="false">IF(AND(MONTH(D664)&gt;=3,MONTH(D664)&lt;=6),"Summer",IF(AND(MONTH(D664)&gt;=7,MONTH(D664)&lt;=9),"Monsoon","Winter"))</f>
        <v>Summer</v>
      </c>
      <c r="O664" s="0" t="str">
        <f aca="false">IF(AND(L664&gt;=22,L664&lt;=25,E664&gt;=TIME(18,0,0)),"24H Night", IF(AND(L664&gt;=22,L664&lt;=25,E664&lt;TIME(18,0,0)),"24H Day", IF(AND(L664&gt;=11,L664&lt;=13,E664&gt;=TIME(18,0,0)),"12H Night", IF(AND(L664&gt;=11,L664&lt;=13,E664&lt;TIME(18,0,0)),"12H Day", IF(AND(L664&lt;10,E664&gt;=TIME(18,0,0)),"Couple Night", "Couple Day")))))</f>
        <v>Couple Day</v>
      </c>
      <c r="P664" s="0" t="n">
        <f aca="false">WEEKDAY(D664,2)</f>
        <v>5</v>
      </c>
      <c r="Q664" s="0" t="n">
        <f aca="false">MONTH(D664)</f>
        <v>4</v>
      </c>
      <c r="R664" s="0" t="str">
        <f aca="false">"Q"&amp;ROUNDUP(MONTH(D664)/3,0)</f>
        <v>Q2</v>
      </c>
    </row>
    <row r="665" customFormat="false" ht="141" hidden="false" customHeight="false" outlineLevel="0" collapsed="false">
      <c r="A665" s="7" t="s">
        <v>1880</v>
      </c>
      <c r="B665" s="7" t="s">
        <v>1881</v>
      </c>
      <c r="C665" s="13" t="s">
        <v>1882</v>
      </c>
      <c r="D665" s="11" t="n">
        <v>46129</v>
      </c>
      <c r="E665" s="12" t="n">
        <v>0.791666666700625</v>
      </c>
      <c r="F665" s="11" t="n">
        <v>46130</v>
      </c>
      <c r="G665" s="12" t="n">
        <v>0.75</v>
      </c>
      <c r="H665" s="10" t="n">
        <v>46129.788897338</v>
      </c>
      <c r="I665" s="7" t="n">
        <v>5000</v>
      </c>
      <c r="J665" s="0" t="n">
        <f aca="false">IF(AND(D665&gt;=DATE(YEAR(D665),3,15),D665&lt;=DATE(YEAR(D665),6,10)),1,0)</f>
        <v>1</v>
      </c>
      <c r="K665" s="0" t="e">
        <f aca="false">VLOOKUP(D665,Festival_List!$A$2:$B$100,2,0)</f>
        <v>#N/A</v>
      </c>
      <c r="L665" s="0" t="n">
        <f aca="false">ROUND(((F665+G665)-(D665+E665))*24,0)</f>
        <v>23</v>
      </c>
      <c r="M665" s="0" t="n">
        <f aca="false">IF(OR(WEEKDAY(D665)=1,WEEKDAY(D665)=7),1,0)</f>
        <v>0</v>
      </c>
      <c r="N665" s="0" t="str">
        <f aca="false">IF(AND(MONTH(D665)&gt;=3,MONTH(D665)&lt;=6),"Summer",IF(AND(MONTH(D665)&gt;=7,MONTH(D665)&lt;=9),"Monsoon","Winter"))</f>
        <v>Summer</v>
      </c>
      <c r="O665" s="0" t="str">
        <f aca="false">IF(AND(L665&gt;=22,L665&lt;=25,E665&gt;=TIME(18,0,0)),"24H Night", IF(AND(L665&gt;=22,L665&lt;=25,E665&lt;TIME(18,0,0)),"24H Day", IF(AND(L665&gt;=11,L665&lt;=13,E665&gt;=TIME(18,0,0)),"12H Night", IF(AND(L665&gt;=11,L665&lt;=13,E665&lt;TIME(18,0,0)),"12H Day", IF(AND(L665&lt;10,E665&gt;=TIME(18,0,0)),"Couple Night", "Couple Day")))))</f>
        <v>24H Night</v>
      </c>
      <c r="P665" s="0" t="n">
        <f aca="false">WEEKDAY(D665,2)</f>
        <v>5</v>
      </c>
      <c r="Q665" s="0" t="n">
        <f aca="false">MONTH(D665)</f>
        <v>4</v>
      </c>
      <c r="R665" s="0" t="str">
        <f aca="false">"Q"&amp;ROUNDUP(MONTH(D665)/3,0)</f>
        <v>Q2</v>
      </c>
    </row>
    <row r="666" customFormat="false" ht="141" hidden="false" customHeight="false" outlineLevel="0" collapsed="false">
      <c r="A666" s="7" t="s">
        <v>1883</v>
      </c>
      <c r="B666" s="7" t="s">
        <v>1884</v>
      </c>
      <c r="C666" s="13" t="s">
        <v>1885</v>
      </c>
      <c r="D666" s="11" t="n">
        <v>46130</v>
      </c>
      <c r="E666" s="12" t="n">
        <v>0.791666666700625</v>
      </c>
      <c r="F666" s="11" t="n">
        <v>46131</v>
      </c>
      <c r="G666" s="12" t="n">
        <v>0.75</v>
      </c>
      <c r="H666" s="10" t="n">
        <v>46129.9286577546</v>
      </c>
      <c r="I666" s="7" t="n">
        <v>11000</v>
      </c>
      <c r="J666" s="0" t="n">
        <f aca="false">IF(AND(D666&gt;=DATE(YEAR(D666),3,15),D666&lt;=DATE(YEAR(D666),6,10)),1,0)</f>
        <v>1</v>
      </c>
      <c r="K666" s="0" t="e">
        <f aca="false">VLOOKUP(D666,Festival_List!$A$2:$B$100,2,0)</f>
        <v>#N/A</v>
      </c>
      <c r="L666" s="0" t="n">
        <f aca="false">ROUND(((F666+G666)-(D666+E666))*24,0)</f>
        <v>23</v>
      </c>
      <c r="M666" s="0" t="n">
        <f aca="false">IF(OR(WEEKDAY(D666)=1,WEEKDAY(D666)=7),1,0)</f>
        <v>1</v>
      </c>
      <c r="N666" s="0" t="str">
        <f aca="false">IF(AND(MONTH(D666)&gt;=3,MONTH(D666)&lt;=6),"Summer",IF(AND(MONTH(D666)&gt;=7,MONTH(D666)&lt;=9),"Monsoon","Winter"))</f>
        <v>Summer</v>
      </c>
      <c r="O666" s="0" t="str">
        <f aca="false">IF(AND(L666&gt;=22,L666&lt;=25,E666&gt;=TIME(18,0,0)),"24H Night", IF(AND(L666&gt;=22,L666&lt;=25,E666&lt;TIME(18,0,0)),"24H Day", IF(AND(L666&gt;=11,L666&lt;=13,E666&gt;=TIME(18,0,0)),"12H Night", IF(AND(L666&gt;=11,L666&lt;=13,E666&lt;TIME(18,0,0)),"12H Day", IF(AND(L666&lt;10,E666&gt;=TIME(18,0,0)),"Couple Night", "Couple Day")))))</f>
        <v>24H Night</v>
      </c>
      <c r="P666" s="0" t="n">
        <f aca="false">WEEKDAY(D666,2)</f>
        <v>6</v>
      </c>
      <c r="Q666" s="0" t="n">
        <f aca="false">MONTH(D666)</f>
        <v>4</v>
      </c>
      <c r="R666" s="0" t="str">
        <f aca="false">"Q"&amp;ROUNDUP(MONTH(D666)/3,0)</f>
        <v>Q2</v>
      </c>
    </row>
    <row r="667" customFormat="false" ht="141" hidden="false" customHeight="false" outlineLevel="0" collapsed="false">
      <c r="A667" s="7" t="s">
        <v>1886</v>
      </c>
      <c r="B667" s="7" t="s">
        <v>1689</v>
      </c>
      <c r="C667" s="13" t="s">
        <v>1887</v>
      </c>
      <c r="D667" s="11" t="n">
        <v>46131</v>
      </c>
      <c r="E667" s="12" t="n">
        <v>0.791666666700625</v>
      </c>
      <c r="F667" s="11" t="n">
        <v>46132</v>
      </c>
      <c r="G667" s="12" t="n">
        <v>0.75</v>
      </c>
      <c r="H667" s="10" t="n">
        <v>46131.7814298611</v>
      </c>
      <c r="I667" s="7" t="n">
        <v>5000</v>
      </c>
      <c r="J667" s="0" t="n">
        <f aca="false">IF(AND(D667&gt;=DATE(YEAR(D667),3,15),D667&lt;=DATE(YEAR(D667),6,10)),1,0)</f>
        <v>1</v>
      </c>
      <c r="K667" s="0" t="e">
        <f aca="false">VLOOKUP(D667,Festival_List!$A$2:$B$100,2,0)</f>
        <v>#N/A</v>
      </c>
      <c r="L667" s="0" t="n">
        <f aca="false">ROUND(((F667+G667)-(D667+E667))*24,0)</f>
        <v>23</v>
      </c>
      <c r="M667" s="0" t="n">
        <f aca="false">IF(OR(WEEKDAY(D667)=1,WEEKDAY(D667)=7),1,0)</f>
        <v>1</v>
      </c>
      <c r="N667" s="0" t="str">
        <f aca="false">IF(AND(MONTH(D667)&gt;=3,MONTH(D667)&lt;=6),"Summer",IF(AND(MONTH(D667)&gt;=7,MONTH(D667)&lt;=9),"Monsoon","Winter"))</f>
        <v>Summer</v>
      </c>
      <c r="O667" s="0" t="str">
        <f aca="false">IF(AND(L667&gt;=22,L667&lt;=25,E667&gt;=TIME(18,0,0)),"24H Night", IF(AND(L667&gt;=22,L667&lt;=25,E667&lt;TIME(18,0,0)),"24H Day", IF(AND(L667&gt;=11,L667&lt;=13,E667&gt;=TIME(18,0,0)),"12H Night", IF(AND(L667&gt;=11,L667&lt;=13,E667&lt;TIME(18,0,0)),"12H Day", IF(AND(L667&lt;10,E667&gt;=TIME(18,0,0)),"Couple Night", "Couple Day")))))</f>
        <v>24H Night</v>
      </c>
      <c r="P667" s="0" t="n">
        <f aca="false">WEEKDAY(D667,2)</f>
        <v>7</v>
      </c>
      <c r="Q667" s="0" t="n">
        <f aca="false">MONTH(D667)</f>
        <v>4</v>
      </c>
      <c r="R667" s="0" t="str">
        <f aca="false">"Q"&amp;ROUNDUP(MONTH(D667)/3,0)</f>
        <v>Q2</v>
      </c>
    </row>
    <row r="668" customFormat="false" ht="115.65" hidden="false" customHeight="false" outlineLevel="0" collapsed="false">
      <c r="A668" s="7" t="s">
        <v>1888</v>
      </c>
      <c r="B668" s="7" t="s">
        <v>1889</v>
      </c>
      <c r="C668" s="13" t="s">
        <v>1890</v>
      </c>
      <c r="D668" s="11" t="n">
        <v>46133</v>
      </c>
      <c r="E668" s="12" t="n">
        <v>0.791666666700625</v>
      </c>
      <c r="F668" s="11" t="n">
        <v>46134</v>
      </c>
      <c r="G668" s="12" t="n">
        <v>0.75</v>
      </c>
      <c r="H668" s="10" t="n">
        <v>46132.6926070602</v>
      </c>
      <c r="I668" s="7" t="n">
        <v>5000</v>
      </c>
      <c r="J668" s="0" t="n">
        <f aca="false">IF(AND(D668&gt;=DATE(YEAR(D668),3,15),D668&lt;=DATE(YEAR(D668),6,10)),1,0)</f>
        <v>1</v>
      </c>
      <c r="K668" s="0" t="e">
        <f aca="false">VLOOKUP(D668,Festival_List!$A$2:$B$100,2,0)</f>
        <v>#N/A</v>
      </c>
      <c r="L668" s="0" t="n">
        <f aca="false">ROUND(((F668+G668)-(D668+E668))*24,0)</f>
        <v>23</v>
      </c>
      <c r="M668" s="0" t="n">
        <f aca="false">IF(OR(WEEKDAY(D668)=1,WEEKDAY(D668)=7),1,0)</f>
        <v>0</v>
      </c>
      <c r="N668" s="0" t="str">
        <f aca="false">IF(AND(MONTH(D668)&gt;=3,MONTH(D668)&lt;=6),"Summer",IF(AND(MONTH(D668)&gt;=7,MONTH(D668)&lt;=9),"Monsoon","Winter"))</f>
        <v>Summer</v>
      </c>
      <c r="O668" s="0" t="str">
        <f aca="false">IF(AND(L668&gt;=22,L668&lt;=25,E668&gt;=TIME(18,0,0)),"24H Night", IF(AND(L668&gt;=22,L668&lt;=25,E668&lt;TIME(18,0,0)),"24H Day", IF(AND(L668&gt;=11,L668&lt;=13,E668&gt;=TIME(18,0,0)),"12H Night", IF(AND(L668&gt;=11,L668&lt;=13,E668&lt;TIME(18,0,0)),"12H Day", IF(AND(L668&lt;10,E668&gt;=TIME(18,0,0)),"Couple Night", "Couple Day")))))</f>
        <v>24H Night</v>
      </c>
      <c r="P668" s="0" t="n">
        <f aca="false">WEEKDAY(D668,2)</f>
        <v>2</v>
      </c>
      <c r="Q668" s="0" t="n">
        <f aca="false">MONTH(D668)</f>
        <v>4</v>
      </c>
      <c r="R668" s="0" t="str">
        <f aca="false">"Q"&amp;ROUNDUP(MONTH(D668)/3,0)</f>
        <v>Q2</v>
      </c>
    </row>
    <row r="669" customFormat="false" ht="179.1" hidden="false" customHeight="false" outlineLevel="0" collapsed="false">
      <c r="A669" s="7" t="s">
        <v>1891</v>
      </c>
      <c r="B669" s="7" t="s">
        <v>769</v>
      </c>
      <c r="C669" s="13" t="s">
        <v>1892</v>
      </c>
      <c r="D669" s="11" t="n">
        <v>46134</v>
      </c>
      <c r="E669" s="12" t="n">
        <v>0.791666666700625</v>
      </c>
      <c r="F669" s="11" t="n">
        <v>46135</v>
      </c>
      <c r="G669" s="12" t="n">
        <v>0.75</v>
      </c>
      <c r="H669" s="10" t="n">
        <v>46128.7132373843</v>
      </c>
      <c r="I669" s="7" t="n">
        <v>5000</v>
      </c>
      <c r="J669" s="0" t="n">
        <f aca="false">IF(AND(D669&gt;=DATE(YEAR(D669),3,15),D669&lt;=DATE(YEAR(D669),6,10)),1,0)</f>
        <v>1</v>
      </c>
      <c r="K669" s="0" t="e">
        <f aca="false">VLOOKUP(D669,Festival_List!$A$2:$B$100,2,0)</f>
        <v>#N/A</v>
      </c>
      <c r="L669" s="0" t="n">
        <f aca="false">ROUND(((F669+G669)-(D669+E669))*24,0)</f>
        <v>23</v>
      </c>
      <c r="M669" s="0" t="n">
        <f aca="false">IF(OR(WEEKDAY(D669)=1,WEEKDAY(D669)=7),1,0)</f>
        <v>0</v>
      </c>
      <c r="N669" s="0" t="str">
        <f aca="false">IF(AND(MONTH(D669)&gt;=3,MONTH(D669)&lt;=6),"Summer",IF(AND(MONTH(D669)&gt;=7,MONTH(D669)&lt;=9),"Monsoon","Winter"))</f>
        <v>Summer</v>
      </c>
      <c r="O669" s="0" t="str">
        <f aca="false">IF(AND(L669&gt;=22,L669&lt;=25,E669&gt;=TIME(18,0,0)),"24H Night", IF(AND(L669&gt;=22,L669&lt;=25,E669&lt;TIME(18,0,0)),"24H Day", IF(AND(L669&gt;=11,L669&lt;=13,E669&gt;=TIME(18,0,0)),"12H Night", IF(AND(L669&gt;=11,L669&lt;=13,E669&lt;TIME(18,0,0)),"12H Day", IF(AND(L669&lt;10,E669&gt;=TIME(18,0,0)),"Couple Night", "Couple Day")))))</f>
        <v>24H Night</v>
      </c>
      <c r="P669" s="0" t="n">
        <f aca="false">WEEKDAY(D669,2)</f>
        <v>3</v>
      </c>
      <c r="Q669" s="0" t="n">
        <f aca="false">MONTH(D669)</f>
        <v>4</v>
      </c>
      <c r="R669" s="0" t="str">
        <f aca="false">"Q"&amp;ROUNDUP(MONTH(D669)/3,0)</f>
        <v>Q2</v>
      </c>
    </row>
    <row r="670" customFormat="false" ht="115.65" hidden="false" customHeight="false" outlineLevel="0" collapsed="false">
      <c r="A670" s="7" t="s">
        <v>1893</v>
      </c>
      <c r="B670" s="7" t="s">
        <v>1894</v>
      </c>
      <c r="C670" s="13" t="s">
        <v>1895</v>
      </c>
      <c r="D670" s="11" t="n">
        <v>46135</v>
      </c>
      <c r="E670" s="12" t="n">
        <v>0.791666666700625</v>
      </c>
      <c r="F670" s="11" t="n">
        <v>46136</v>
      </c>
      <c r="G670" s="12" t="n">
        <v>0.75</v>
      </c>
      <c r="H670" s="10" t="n">
        <v>46135.5458724537</v>
      </c>
      <c r="I670" s="7" t="n">
        <v>5000</v>
      </c>
      <c r="J670" s="0" t="n">
        <f aca="false">IF(AND(D670&gt;=DATE(YEAR(D670),3,15),D670&lt;=DATE(YEAR(D670),6,10)),1,0)</f>
        <v>1</v>
      </c>
      <c r="K670" s="0" t="e">
        <f aca="false">VLOOKUP(D670,Festival_List!$A$2:$B$100,2,0)</f>
        <v>#N/A</v>
      </c>
      <c r="L670" s="0" t="n">
        <f aca="false">ROUND(((F670+G670)-(D670+E670))*24,0)</f>
        <v>23</v>
      </c>
      <c r="M670" s="0" t="n">
        <f aca="false">IF(OR(WEEKDAY(D670)=1,WEEKDAY(D670)=7),1,0)</f>
        <v>0</v>
      </c>
      <c r="N670" s="0" t="str">
        <f aca="false">IF(AND(MONTH(D670)&gt;=3,MONTH(D670)&lt;=6),"Summer",IF(AND(MONTH(D670)&gt;=7,MONTH(D670)&lt;=9),"Monsoon","Winter"))</f>
        <v>Summer</v>
      </c>
      <c r="O670" s="0" t="str">
        <f aca="false">IF(AND(L670&gt;=22,L670&lt;=25,E670&gt;=TIME(18,0,0)),"24H Night", IF(AND(L670&gt;=22,L670&lt;=25,E670&lt;TIME(18,0,0)),"24H Day", IF(AND(L670&gt;=11,L670&lt;=13,E670&gt;=TIME(18,0,0)),"12H Night", IF(AND(L670&gt;=11,L670&lt;=13,E670&lt;TIME(18,0,0)),"12H Day", IF(AND(L670&lt;10,E670&gt;=TIME(18,0,0)),"Couple Night", "Couple Day")))))</f>
        <v>24H Night</v>
      </c>
      <c r="P670" s="0" t="n">
        <f aca="false">WEEKDAY(D670,2)</f>
        <v>4</v>
      </c>
      <c r="Q670" s="0" t="n">
        <f aca="false">MONTH(D670)</f>
        <v>4</v>
      </c>
      <c r="R670" s="0" t="str">
        <f aca="false">"Q"&amp;ROUNDUP(MONTH(D670)/3,0)</f>
        <v>Q2</v>
      </c>
    </row>
    <row r="671" customFormat="false" ht="115.65" hidden="false" customHeight="false" outlineLevel="0" collapsed="false">
      <c r="A671" s="7" t="s">
        <v>1896</v>
      </c>
      <c r="B671" s="7" t="s">
        <v>1897</v>
      </c>
      <c r="C671" s="13" t="s">
        <v>1625</v>
      </c>
      <c r="D671" s="11" t="n">
        <v>46136</v>
      </c>
      <c r="E671" s="12" t="n">
        <v>0.791666666700625</v>
      </c>
      <c r="F671" s="11" t="n">
        <v>46137</v>
      </c>
      <c r="G671" s="12" t="n">
        <v>0.333333333299375</v>
      </c>
      <c r="H671" s="10" t="n">
        <v>46136.906665625</v>
      </c>
      <c r="I671" s="7" t="n">
        <v>3000</v>
      </c>
      <c r="J671" s="0" t="n">
        <f aca="false">IF(AND(D671&gt;=DATE(YEAR(D671),3,15),D671&lt;=DATE(YEAR(D671),6,10)),1,0)</f>
        <v>1</v>
      </c>
      <c r="K671" s="0" t="e">
        <f aca="false">VLOOKUP(D671,Festival_List!$A$2:$B$100,2,0)</f>
        <v>#N/A</v>
      </c>
      <c r="L671" s="0" t="n">
        <f aca="false">ROUND(((F671+G671)-(D671+E671))*24,0)</f>
        <v>13</v>
      </c>
      <c r="M671" s="0" t="n">
        <f aca="false">IF(OR(WEEKDAY(D671)=1,WEEKDAY(D671)=7),1,0)</f>
        <v>0</v>
      </c>
      <c r="N671" s="0" t="str">
        <f aca="false">IF(AND(MONTH(D671)&gt;=3,MONTH(D671)&lt;=6),"Summer",IF(AND(MONTH(D671)&gt;=7,MONTH(D671)&lt;=9),"Monsoon","Winter"))</f>
        <v>Summer</v>
      </c>
      <c r="O671" s="0" t="str">
        <f aca="false">IF(AND(L671&gt;=22,L671&lt;=25,E671&gt;=TIME(18,0,0)),"24H Night", IF(AND(L671&gt;=22,L671&lt;=25,E671&lt;TIME(18,0,0)),"24H Day", IF(AND(L671&gt;=11,L671&lt;=13,E671&gt;=TIME(18,0,0)),"12H Night", IF(AND(L671&gt;=11,L671&lt;=13,E671&lt;TIME(18,0,0)),"12H Day", IF(AND(L671&lt;10,E671&gt;=TIME(18,0,0)),"Couple Night", "Couple Day")))))</f>
        <v>12H Night</v>
      </c>
      <c r="P671" s="0" t="n">
        <f aca="false">WEEKDAY(D671,2)</f>
        <v>5</v>
      </c>
      <c r="Q671" s="0" t="n">
        <f aca="false">MONTH(D671)</f>
        <v>4</v>
      </c>
      <c r="R671" s="0" t="str">
        <f aca="false">"Q"&amp;ROUNDUP(MONTH(D671)/3,0)</f>
        <v>Q2</v>
      </c>
    </row>
    <row r="672" customFormat="false" ht="153.7" hidden="false" customHeight="false" outlineLevel="0" collapsed="false">
      <c r="A672" s="7" t="s">
        <v>1898</v>
      </c>
      <c r="B672" s="7" t="s">
        <v>1899</v>
      </c>
      <c r="C672" s="13" t="s">
        <v>1900</v>
      </c>
      <c r="D672" s="11" t="n">
        <v>46137</v>
      </c>
      <c r="E672" s="12" t="n">
        <v>0.416666666700625</v>
      </c>
      <c r="F672" s="11" t="n">
        <v>46137</v>
      </c>
      <c r="G672" s="12" t="n">
        <v>0.75</v>
      </c>
      <c r="H672" s="10" t="n">
        <v>46134.6552642361</v>
      </c>
      <c r="I672" s="7" t="n">
        <v>4500</v>
      </c>
      <c r="J672" s="0" t="n">
        <f aca="false">IF(AND(D672&gt;=DATE(YEAR(D672),3,15),D672&lt;=DATE(YEAR(D672),6,10)),1,0)</f>
        <v>1</v>
      </c>
      <c r="K672" s="0" t="e">
        <f aca="false">VLOOKUP(D672,Festival_List!$A$2:$B$100,2,0)</f>
        <v>#N/A</v>
      </c>
      <c r="L672" s="0" t="n">
        <f aca="false">ROUND(((F672+G672)-(D672+E672))*24,0)</f>
        <v>8</v>
      </c>
      <c r="M672" s="0" t="n">
        <f aca="false">IF(OR(WEEKDAY(D672)=1,WEEKDAY(D672)=7),1,0)</f>
        <v>1</v>
      </c>
      <c r="N672" s="0" t="str">
        <f aca="false">IF(AND(MONTH(D672)&gt;=3,MONTH(D672)&lt;=6),"Summer",IF(AND(MONTH(D672)&gt;=7,MONTH(D672)&lt;=9),"Monsoon","Winter"))</f>
        <v>Summer</v>
      </c>
      <c r="O672" s="0" t="str">
        <f aca="false">IF(AND(L672&gt;=22,L672&lt;=25,E672&gt;=TIME(18,0,0)),"24H Night", IF(AND(L672&gt;=22,L672&lt;=25,E672&lt;TIME(18,0,0)),"24H Day", IF(AND(L672&gt;=11,L672&lt;=13,E672&gt;=TIME(18,0,0)),"12H Night", IF(AND(L672&gt;=11,L672&lt;=13,E672&lt;TIME(18,0,0)),"12H Day", IF(AND(L672&lt;10,E672&gt;=TIME(18,0,0)),"Couple Night", "Couple Day")))))</f>
        <v>Couple Day</v>
      </c>
      <c r="P672" s="0" t="n">
        <f aca="false">WEEKDAY(D672,2)</f>
        <v>6</v>
      </c>
      <c r="Q672" s="0" t="n">
        <f aca="false">MONTH(D672)</f>
        <v>4</v>
      </c>
      <c r="R672" s="0" t="str">
        <f aca="false">"Q"&amp;ROUNDUP(MONTH(D672)/3,0)</f>
        <v>Q2</v>
      </c>
    </row>
    <row r="673" customFormat="false" ht="90.25" hidden="false" customHeight="false" outlineLevel="0" collapsed="false">
      <c r="A673" s="7" t="s">
        <v>1901</v>
      </c>
      <c r="B673" s="7" t="s">
        <v>1902</v>
      </c>
      <c r="C673" s="13" t="s">
        <v>1903</v>
      </c>
      <c r="D673" s="11" t="n">
        <v>46137</v>
      </c>
      <c r="E673" s="12" t="n">
        <v>0.791666666700625</v>
      </c>
      <c r="F673" s="11" t="n">
        <v>46138</v>
      </c>
      <c r="G673" s="12" t="n">
        <v>0.75</v>
      </c>
      <c r="H673" s="10" t="n">
        <v>46133.9238083333</v>
      </c>
      <c r="I673" s="7" t="n">
        <v>12000</v>
      </c>
      <c r="J673" s="0" t="n">
        <f aca="false">IF(AND(D673&gt;=DATE(YEAR(D673),3,15),D673&lt;=DATE(YEAR(D673),6,10)),1,0)</f>
        <v>1</v>
      </c>
      <c r="K673" s="0" t="e">
        <f aca="false">VLOOKUP(D673,Festival_List!$A$2:$B$100,2,0)</f>
        <v>#N/A</v>
      </c>
      <c r="L673" s="0" t="n">
        <f aca="false">ROUND(((F673+G673)-(D673+E673))*24,0)</f>
        <v>23</v>
      </c>
      <c r="M673" s="0" t="n">
        <f aca="false">IF(OR(WEEKDAY(D673)=1,WEEKDAY(D673)=7),1,0)</f>
        <v>1</v>
      </c>
      <c r="N673" s="0" t="str">
        <f aca="false">IF(AND(MONTH(D673)&gt;=3,MONTH(D673)&lt;=6),"Summer",IF(AND(MONTH(D673)&gt;=7,MONTH(D673)&lt;=9),"Monsoon","Winter"))</f>
        <v>Summer</v>
      </c>
      <c r="O673" s="0" t="str">
        <f aca="false">IF(AND(L673&gt;=22,L673&lt;=25,E673&gt;=TIME(18,0,0)),"24H Night", IF(AND(L673&gt;=22,L673&lt;=25,E673&lt;TIME(18,0,0)),"24H Day", IF(AND(L673&gt;=11,L673&lt;=13,E673&gt;=TIME(18,0,0)),"12H Night", IF(AND(L673&gt;=11,L673&lt;=13,E673&lt;TIME(18,0,0)),"12H Day", IF(AND(L673&lt;10,E673&gt;=TIME(18,0,0)),"Couple Night", "Couple Day")))))</f>
        <v>24H Night</v>
      </c>
      <c r="P673" s="0" t="n">
        <f aca="false">WEEKDAY(D673,2)</f>
        <v>6</v>
      </c>
      <c r="Q673" s="0" t="n">
        <f aca="false">MONTH(D673)</f>
        <v>4</v>
      </c>
      <c r="R673" s="0" t="str">
        <f aca="false">"Q"&amp;ROUNDUP(MONTH(D673)/3,0)</f>
        <v>Q2</v>
      </c>
    </row>
    <row r="674" customFormat="false" ht="115.65" hidden="false" customHeight="false" outlineLevel="0" collapsed="false">
      <c r="A674" s="7" t="s">
        <v>1904</v>
      </c>
      <c r="B674" s="7" t="s">
        <v>1905</v>
      </c>
      <c r="C674" s="13" t="s">
        <v>1906</v>
      </c>
      <c r="D674" s="11" t="n">
        <v>46138</v>
      </c>
      <c r="E674" s="12" t="n">
        <v>0.875</v>
      </c>
      <c r="F674" s="11" t="n">
        <v>46138</v>
      </c>
      <c r="G674" s="12" t="n">
        <v>0.958333333299375</v>
      </c>
      <c r="H674" s="10" t="n">
        <v>46139.7266821759</v>
      </c>
      <c r="I674" s="7" t="n">
        <v>1000</v>
      </c>
      <c r="J674" s="0" t="n">
        <f aca="false">IF(AND(D674&gt;=DATE(YEAR(D674),3,15),D674&lt;=DATE(YEAR(D674),6,10)),1,0)</f>
        <v>1</v>
      </c>
      <c r="K674" s="0" t="e">
        <f aca="false">VLOOKUP(D674,Festival_List!$A$2:$B$100,2,0)</f>
        <v>#N/A</v>
      </c>
      <c r="L674" s="0" t="n">
        <f aca="false">ROUND(((F674+G674)-(D674+E674))*24,0)</f>
        <v>2</v>
      </c>
      <c r="M674" s="0" t="n">
        <f aca="false">IF(OR(WEEKDAY(D674)=1,WEEKDAY(D674)=7),1,0)</f>
        <v>1</v>
      </c>
      <c r="N674" s="0" t="str">
        <f aca="false">IF(AND(MONTH(D674)&gt;=3,MONTH(D674)&lt;=6),"Summer",IF(AND(MONTH(D674)&gt;=7,MONTH(D674)&lt;=9),"Monsoon","Winter"))</f>
        <v>Summer</v>
      </c>
      <c r="O674" s="0" t="str">
        <f aca="false">IF(AND(L674&gt;=22,L674&lt;=25,E674&gt;=TIME(18,0,0)),"24H Night", IF(AND(L674&gt;=22,L674&lt;=25,E674&lt;TIME(18,0,0)),"24H Day", IF(AND(L674&gt;=11,L674&lt;=13,E674&gt;=TIME(18,0,0)),"12H Night", IF(AND(L674&gt;=11,L674&lt;=13,E674&lt;TIME(18,0,0)),"12H Day", IF(AND(L674&lt;10,E674&gt;=TIME(18,0,0)),"Couple Night", "Couple Day")))))</f>
        <v>Couple Night</v>
      </c>
      <c r="P674" s="0" t="n">
        <f aca="false">WEEKDAY(D674,2)</f>
        <v>7</v>
      </c>
      <c r="Q674" s="0" t="n">
        <f aca="false">MONTH(D674)</f>
        <v>4</v>
      </c>
      <c r="R674" s="0" t="str">
        <f aca="false">"Q"&amp;ROUNDUP(MONTH(D674)/3,0)</f>
        <v>Q2</v>
      </c>
    </row>
    <row r="675" customFormat="false" ht="77.6" hidden="false" customHeight="false" outlineLevel="0" collapsed="false">
      <c r="A675" s="7" t="s">
        <v>1907</v>
      </c>
      <c r="B675" s="7" t="s">
        <v>1908</v>
      </c>
      <c r="C675" s="13" t="s">
        <v>1909</v>
      </c>
      <c r="D675" s="11" t="n">
        <v>46139</v>
      </c>
      <c r="E675" s="12" t="n">
        <v>0.583333333299375</v>
      </c>
      <c r="F675" s="11" t="n">
        <v>46139</v>
      </c>
      <c r="G675" s="12" t="n">
        <v>0.75</v>
      </c>
      <c r="H675" s="10" t="n">
        <v>46139.5549322917</v>
      </c>
      <c r="I675" s="7" t="n">
        <v>2000</v>
      </c>
      <c r="J675" s="0" t="n">
        <f aca="false">IF(AND(D675&gt;=DATE(YEAR(D675),3,15),D675&lt;=DATE(YEAR(D675),6,10)),1,0)</f>
        <v>1</v>
      </c>
      <c r="K675" s="0" t="e">
        <f aca="false">VLOOKUP(D675,Festival_List!$A$2:$B$100,2,0)</f>
        <v>#N/A</v>
      </c>
      <c r="L675" s="0" t="n">
        <f aca="false">ROUND(((F675+G675)-(D675+E675))*24,0)</f>
        <v>4</v>
      </c>
      <c r="M675" s="0" t="n">
        <f aca="false">IF(OR(WEEKDAY(D675)=1,WEEKDAY(D675)=7),1,0)</f>
        <v>0</v>
      </c>
      <c r="N675" s="0" t="str">
        <f aca="false">IF(AND(MONTH(D675)&gt;=3,MONTH(D675)&lt;=6),"Summer",IF(AND(MONTH(D675)&gt;=7,MONTH(D675)&lt;=9),"Monsoon","Winter"))</f>
        <v>Summer</v>
      </c>
      <c r="O675" s="0" t="str">
        <f aca="false">IF(AND(L675&gt;=22,L675&lt;=25,E675&gt;=TIME(18,0,0)),"24H Night", IF(AND(L675&gt;=22,L675&lt;=25,E675&lt;TIME(18,0,0)),"24H Day", IF(AND(L675&gt;=11,L675&lt;=13,E675&gt;=TIME(18,0,0)),"12H Night", IF(AND(L675&gt;=11,L675&lt;=13,E675&lt;TIME(18,0,0)),"12H Day", IF(AND(L675&lt;10,E675&gt;=TIME(18,0,0)),"Couple Night", "Couple Day")))))</f>
        <v>Couple Day</v>
      </c>
      <c r="P675" s="0" t="n">
        <f aca="false">WEEKDAY(D675,2)</f>
        <v>1</v>
      </c>
      <c r="Q675" s="0" t="n">
        <f aca="false">MONTH(D675)</f>
        <v>4</v>
      </c>
      <c r="R675" s="0" t="str">
        <f aca="false">"Q"&amp;ROUNDUP(MONTH(D675)/3,0)</f>
        <v>Q2</v>
      </c>
    </row>
    <row r="676" customFormat="false" ht="102.95" hidden="false" customHeight="false" outlineLevel="0" collapsed="false">
      <c r="A676" s="7" t="s">
        <v>1910</v>
      </c>
      <c r="B676" s="7" t="s">
        <v>1911</v>
      </c>
      <c r="C676" s="13" t="s">
        <v>1912</v>
      </c>
      <c r="D676" s="11" t="n">
        <v>46139</v>
      </c>
      <c r="E676" s="12" t="n">
        <v>0.833333333299375</v>
      </c>
      <c r="F676" s="11" t="n">
        <v>46140</v>
      </c>
      <c r="G676" s="12" t="n">
        <v>0.75</v>
      </c>
      <c r="H676" s="10" t="n">
        <v>46139.8291420139</v>
      </c>
      <c r="I676" s="7" t="n">
        <v>4500</v>
      </c>
      <c r="J676" s="0" t="n">
        <f aca="false">IF(AND(D676&gt;=DATE(YEAR(D676),3,15),D676&lt;=DATE(YEAR(D676),6,10)),1,0)</f>
        <v>1</v>
      </c>
      <c r="K676" s="0" t="e">
        <f aca="false">VLOOKUP(D676,Festival_List!$A$2:$B$100,2,0)</f>
        <v>#N/A</v>
      </c>
      <c r="L676" s="0" t="n">
        <f aca="false">ROUND(((F676+G676)-(D676+E676))*24,0)</f>
        <v>22</v>
      </c>
      <c r="M676" s="0" t="n">
        <f aca="false">IF(OR(WEEKDAY(D676)=1,WEEKDAY(D676)=7),1,0)</f>
        <v>0</v>
      </c>
      <c r="N676" s="0" t="str">
        <f aca="false">IF(AND(MONTH(D676)&gt;=3,MONTH(D676)&lt;=6),"Summer",IF(AND(MONTH(D676)&gt;=7,MONTH(D676)&lt;=9),"Monsoon","Winter"))</f>
        <v>Summer</v>
      </c>
      <c r="O676" s="0" t="str">
        <f aca="false">IF(AND(L676&gt;=22,L676&lt;=25,E676&gt;=TIME(18,0,0)),"24H Night", IF(AND(L676&gt;=22,L676&lt;=25,E676&lt;TIME(18,0,0)),"24H Day", IF(AND(L676&gt;=11,L676&lt;=13,E676&gt;=TIME(18,0,0)),"12H Night", IF(AND(L676&gt;=11,L676&lt;=13,E676&lt;TIME(18,0,0)),"12H Day", IF(AND(L676&lt;10,E676&gt;=TIME(18,0,0)),"Couple Night", "Couple Day")))))</f>
        <v>24H Night</v>
      </c>
      <c r="P676" s="0" t="n">
        <f aca="false">WEEKDAY(D676,2)</f>
        <v>1</v>
      </c>
      <c r="Q676" s="0" t="n">
        <f aca="false">MONTH(D676)</f>
        <v>4</v>
      </c>
      <c r="R676" s="0" t="str">
        <f aca="false">"Q"&amp;ROUNDUP(MONTH(D676)/3,0)</f>
        <v>Q2</v>
      </c>
    </row>
    <row r="677" customFormat="false" ht="141" hidden="false" customHeight="false" outlineLevel="0" collapsed="false">
      <c r="A677" s="7" t="s">
        <v>1913</v>
      </c>
      <c r="B677" s="7" t="s">
        <v>1914</v>
      </c>
      <c r="C677" s="13" t="s">
        <v>1915</v>
      </c>
      <c r="D677" s="11" t="n">
        <v>46140</v>
      </c>
      <c r="E677" s="12" t="n">
        <v>0.791666666700625</v>
      </c>
      <c r="F677" s="11" t="n">
        <v>46141</v>
      </c>
      <c r="G677" s="12" t="n">
        <v>0.75</v>
      </c>
      <c r="H677" s="10" t="n">
        <v>46139.9500988426</v>
      </c>
      <c r="I677" s="7" t="n">
        <v>5500</v>
      </c>
      <c r="J677" s="0" t="n">
        <f aca="false">IF(AND(D677&gt;=DATE(YEAR(D677),3,15),D677&lt;=DATE(YEAR(D677),6,10)),1,0)</f>
        <v>1</v>
      </c>
      <c r="K677" s="0" t="e">
        <f aca="false">VLOOKUP(D677,Festival_List!$A$2:$B$100,2,0)</f>
        <v>#N/A</v>
      </c>
      <c r="L677" s="0" t="n">
        <f aca="false">ROUND(((F677+G677)-(D677+E677))*24,0)</f>
        <v>23</v>
      </c>
      <c r="M677" s="0" t="n">
        <f aca="false">IF(OR(WEEKDAY(D677)=1,WEEKDAY(D677)=7),1,0)</f>
        <v>0</v>
      </c>
      <c r="N677" s="0" t="str">
        <f aca="false">IF(AND(MONTH(D677)&gt;=3,MONTH(D677)&lt;=6),"Summer",IF(AND(MONTH(D677)&gt;=7,MONTH(D677)&lt;=9),"Monsoon","Winter"))</f>
        <v>Summer</v>
      </c>
      <c r="O677" s="0" t="str">
        <f aca="false">IF(AND(L677&gt;=22,L677&lt;=25,E677&gt;=TIME(18,0,0)),"24H Night", IF(AND(L677&gt;=22,L677&lt;=25,E677&lt;TIME(18,0,0)),"24H Day", IF(AND(L677&gt;=11,L677&lt;=13,E677&gt;=TIME(18,0,0)),"12H Night", IF(AND(L677&gt;=11,L677&lt;=13,E677&lt;TIME(18,0,0)),"12H Day", IF(AND(L677&lt;10,E677&gt;=TIME(18,0,0)),"Couple Night", "Couple Day")))))</f>
        <v>24H Night</v>
      </c>
      <c r="P677" s="0" t="n">
        <f aca="false">WEEKDAY(D677,2)</f>
        <v>2</v>
      </c>
      <c r="Q677" s="0" t="n">
        <f aca="false">MONTH(D677)</f>
        <v>4</v>
      </c>
      <c r="R677" s="0" t="str">
        <f aca="false">"Q"&amp;ROUNDUP(MONTH(D677)/3,0)</f>
        <v>Q2</v>
      </c>
    </row>
    <row r="678" customFormat="false" ht="141" hidden="false" customHeight="false" outlineLevel="0" collapsed="false">
      <c r="A678" s="7" t="s">
        <v>1916</v>
      </c>
      <c r="B678" s="7" t="s">
        <v>1917</v>
      </c>
      <c r="C678" s="13" t="s">
        <v>1918</v>
      </c>
      <c r="D678" s="11" t="n">
        <v>46142</v>
      </c>
      <c r="E678" s="12" t="n">
        <v>0.791666666700625</v>
      </c>
      <c r="F678" s="11" t="n">
        <v>46143</v>
      </c>
      <c r="G678" s="12" t="n">
        <v>0.75</v>
      </c>
      <c r="H678" s="10" t="n">
        <v>46141.8125575232</v>
      </c>
      <c r="I678" s="7" t="n">
        <v>5000</v>
      </c>
      <c r="J678" s="0" t="n">
        <f aca="false">IF(AND(D678&gt;=DATE(YEAR(D678),3,15),D678&lt;=DATE(YEAR(D678),6,10)),1,0)</f>
        <v>1</v>
      </c>
      <c r="K678" s="0" t="e">
        <f aca="false">VLOOKUP(D678,Festival_List!$A$2:$B$100,2,0)</f>
        <v>#N/A</v>
      </c>
      <c r="L678" s="0" t="n">
        <f aca="false">ROUND(((F678+G678)-(D678+E678))*24,0)</f>
        <v>23</v>
      </c>
      <c r="M678" s="0" t="n">
        <f aca="false">IF(OR(WEEKDAY(D678)=1,WEEKDAY(D678)=7),1,0)</f>
        <v>0</v>
      </c>
      <c r="N678" s="0" t="str">
        <f aca="false">IF(AND(MONTH(D678)&gt;=3,MONTH(D678)&lt;=6),"Summer",IF(AND(MONTH(D678)&gt;=7,MONTH(D678)&lt;=9),"Monsoon","Winter"))</f>
        <v>Summer</v>
      </c>
      <c r="O678" s="0" t="str">
        <f aca="false">IF(AND(L678&gt;=22,L678&lt;=25,E678&gt;=TIME(18,0,0)),"24H Night", IF(AND(L678&gt;=22,L678&lt;=25,E678&lt;TIME(18,0,0)),"24H Day", IF(AND(L678&gt;=11,L678&lt;=13,E678&gt;=TIME(18,0,0)),"12H Night", IF(AND(L678&gt;=11,L678&lt;=13,E678&lt;TIME(18,0,0)),"12H Day", IF(AND(L678&lt;10,E678&gt;=TIME(18,0,0)),"Couple Night", "Couple Day")))))</f>
        <v>24H Night</v>
      </c>
      <c r="P678" s="0" t="n">
        <f aca="false">WEEKDAY(D678,2)</f>
        <v>4</v>
      </c>
      <c r="Q678" s="0" t="n">
        <f aca="false">MONTH(D678)</f>
        <v>4</v>
      </c>
      <c r="R678" s="0" t="str">
        <f aca="false">"Q"&amp;ROUNDUP(MONTH(D678)/3,0)</f>
        <v>Q2</v>
      </c>
    </row>
    <row r="679" customFormat="false" ht="115.65" hidden="false" customHeight="false" outlineLevel="0" collapsed="false">
      <c r="A679" s="7" t="s">
        <v>1919</v>
      </c>
      <c r="B679" s="7" t="s">
        <v>1881</v>
      </c>
      <c r="C679" s="13" t="s">
        <v>1920</v>
      </c>
      <c r="D679" s="11" t="n">
        <v>46143</v>
      </c>
      <c r="E679" s="12" t="n">
        <v>0.791666666700625</v>
      </c>
      <c r="F679" s="11" t="n">
        <v>46144</v>
      </c>
      <c r="G679" s="12" t="n">
        <v>0.75</v>
      </c>
      <c r="H679" s="10" t="n">
        <v>46143.7626358796</v>
      </c>
      <c r="I679" s="7" t="n">
        <v>4500</v>
      </c>
      <c r="J679" s="0" t="n">
        <f aca="false">IF(AND(D679&gt;=DATE(YEAR(D679),3,15),D679&lt;=DATE(YEAR(D679),6,10)),1,0)</f>
        <v>1</v>
      </c>
      <c r="K679" s="0" t="e">
        <f aca="false">VLOOKUP(D679,Festival_List!$A$2:$B$100,2,0)</f>
        <v>#N/A</v>
      </c>
      <c r="L679" s="0" t="n">
        <f aca="false">ROUND(((F679+G679)-(D679+E679))*24,0)</f>
        <v>23</v>
      </c>
      <c r="M679" s="0" t="n">
        <f aca="false">IF(OR(WEEKDAY(D679)=1,WEEKDAY(D679)=7),1,0)</f>
        <v>0</v>
      </c>
      <c r="N679" s="0" t="str">
        <f aca="false">IF(AND(MONTH(D679)&gt;=3,MONTH(D679)&lt;=6),"Summer",IF(AND(MONTH(D679)&gt;=7,MONTH(D679)&lt;=9),"Monsoon","Winter"))</f>
        <v>Summer</v>
      </c>
      <c r="O679" s="0" t="str">
        <f aca="false">IF(AND(L679&gt;=22,L679&lt;=25,E679&gt;=TIME(18,0,0)),"24H Night", IF(AND(L679&gt;=22,L679&lt;=25,E679&lt;TIME(18,0,0)),"24H Day", IF(AND(L679&gt;=11,L679&lt;=13,E679&gt;=TIME(18,0,0)),"12H Night", IF(AND(L679&gt;=11,L679&lt;=13,E679&lt;TIME(18,0,0)),"12H Day", IF(AND(L679&lt;10,E679&gt;=TIME(18,0,0)),"Couple Night", "Couple Day")))))</f>
        <v>24H Night</v>
      </c>
      <c r="P679" s="0" t="n">
        <f aca="false">WEEKDAY(D679,2)</f>
        <v>5</v>
      </c>
      <c r="Q679" s="0" t="n">
        <f aca="false">MONTH(D679)</f>
        <v>5</v>
      </c>
      <c r="R679" s="0" t="str">
        <f aca="false">"Q"&amp;ROUNDUP(MONTH(D679)/3,0)</f>
        <v>Q2</v>
      </c>
    </row>
    <row r="680" customFormat="false" ht="141" hidden="false" customHeight="false" outlineLevel="0" collapsed="false">
      <c r="A680" s="7" t="s">
        <v>1921</v>
      </c>
      <c r="B680" s="7" t="s">
        <v>1922</v>
      </c>
      <c r="C680" s="13" t="s">
        <v>1923</v>
      </c>
      <c r="D680" s="11" t="n">
        <v>46144</v>
      </c>
      <c r="E680" s="12" t="n">
        <v>0.791666666700625</v>
      </c>
      <c r="F680" s="11" t="n">
        <v>46145</v>
      </c>
      <c r="G680" s="12" t="n">
        <v>0.75</v>
      </c>
      <c r="H680" s="10" t="n">
        <v>46141.599909838</v>
      </c>
      <c r="I680" s="7" t="n">
        <v>13500</v>
      </c>
      <c r="J680" s="0" t="n">
        <f aca="false">IF(AND(D680&gt;=DATE(YEAR(D680),3,15),D680&lt;=DATE(YEAR(D680),6,10)),1,0)</f>
        <v>1</v>
      </c>
      <c r="K680" s="0" t="e">
        <f aca="false">VLOOKUP(D680,Festival_List!$A$2:$B$100,2,0)</f>
        <v>#N/A</v>
      </c>
      <c r="L680" s="0" t="n">
        <f aca="false">ROUND(((F680+G680)-(D680+E680))*24,0)</f>
        <v>23</v>
      </c>
      <c r="M680" s="0" t="n">
        <f aca="false">IF(OR(WEEKDAY(D680)=1,WEEKDAY(D680)=7),1,0)</f>
        <v>1</v>
      </c>
      <c r="N680" s="0" t="str">
        <f aca="false">IF(AND(MONTH(D680)&gt;=3,MONTH(D680)&lt;=6),"Summer",IF(AND(MONTH(D680)&gt;=7,MONTH(D680)&lt;=9),"Monsoon","Winter"))</f>
        <v>Summer</v>
      </c>
      <c r="O680" s="0" t="str">
        <f aca="false">IF(AND(L680&gt;=22,L680&lt;=25,E680&gt;=TIME(18,0,0)),"24H Night", IF(AND(L680&gt;=22,L680&lt;=25,E680&lt;TIME(18,0,0)),"24H Day", IF(AND(L680&gt;=11,L680&lt;=13,E680&gt;=TIME(18,0,0)),"12H Night", IF(AND(L680&gt;=11,L680&lt;=13,E680&lt;TIME(18,0,0)),"12H Day", IF(AND(L680&lt;10,E680&gt;=TIME(18,0,0)),"Couple Night", "Couple Day")))))</f>
        <v>24H Night</v>
      </c>
      <c r="P680" s="0" t="n">
        <f aca="false">WEEKDAY(D680,2)</f>
        <v>6</v>
      </c>
      <c r="Q680" s="0" t="n">
        <f aca="false">MONTH(D680)</f>
        <v>5</v>
      </c>
      <c r="R680" s="0" t="str">
        <f aca="false">"Q"&amp;ROUNDUP(MONTH(D680)/3,0)</f>
        <v>Q2</v>
      </c>
    </row>
    <row r="681" customFormat="false" ht="102.95" hidden="false" customHeight="false" outlineLevel="0" collapsed="false">
      <c r="A681" s="7" t="s">
        <v>1924</v>
      </c>
      <c r="B681" s="7" t="s">
        <v>1925</v>
      </c>
      <c r="C681" s="13" t="s">
        <v>1926</v>
      </c>
      <c r="D681" s="11" t="n">
        <v>46146</v>
      </c>
      <c r="E681" s="12" t="n">
        <v>0.375</v>
      </c>
      <c r="F681" s="11" t="n">
        <v>46146</v>
      </c>
      <c r="G681" s="12" t="n">
        <v>0.75</v>
      </c>
      <c r="H681" s="10" t="n">
        <v>46146.734753125</v>
      </c>
      <c r="I681" s="7" t="n">
        <v>3500</v>
      </c>
      <c r="J681" s="0" t="n">
        <f aca="false">IF(AND(D681&gt;=DATE(YEAR(D681),3,15),D681&lt;=DATE(YEAR(D681),6,10)),1,0)</f>
        <v>1</v>
      </c>
      <c r="K681" s="0" t="e">
        <f aca="false">VLOOKUP(D681,Festival_List!$A$2:$B$100,2,0)</f>
        <v>#N/A</v>
      </c>
      <c r="L681" s="0" t="n">
        <f aca="false">ROUND(((F681+G681)-(D681+E681))*24,0)</f>
        <v>9</v>
      </c>
      <c r="M681" s="0" t="n">
        <f aca="false">IF(OR(WEEKDAY(D681)=1,WEEKDAY(D681)=7),1,0)</f>
        <v>0</v>
      </c>
      <c r="N681" s="0" t="str">
        <f aca="false">IF(AND(MONTH(D681)&gt;=3,MONTH(D681)&lt;=6),"Summer",IF(AND(MONTH(D681)&gt;=7,MONTH(D681)&lt;=9),"Monsoon","Winter"))</f>
        <v>Summer</v>
      </c>
      <c r="O681" s="0" t="str">
        <f aca="false">IF(AND(L681&gt;=22,L681&lt;=25,E681&gt;=TIME(18,0,0)),"24H Night", IF(AND(L681&gt;=22,L681&lt;=25,E681&lt;TIME(18,0,0)),"24H Day", IF(AND(L681&gt;=11,L681&lt;=13,E681&gt;=TIME(18,0,0)),"12H Night", IF(AND(L681&gt;=11,L681&lt;=13,E681&lt;TIME(18,0,0)),"12H Day", IF(AND(L681&lt;10,E681&gt;=TIME(18,0,0)),"Couple Night", "Couple Day")))))</f>
        <v>Couple Day</v>
      </c>
      <c r="P681" s="0" t="n">
        <f aca="false">WEEKDAY(D681,2)</f>
        <v>1</v>
      </c>
      <c r="Q681" s="0" t="n">
        <f aca="false">MONTH(D681)</f>
        <v>5</v>
      </c>
      <c r="R681" s="0" t="str">
        <f aca="false">"Q"&amp;ROUNDUP(MONTH(D681)/3,0)</f>
        <v>Q2</v>
      </c>
    </row>
    <row r="682" customFormat="false" ht="141" hidden="false" customHeight="false" outlineLevel="0" collapsed="false">
      <c r="A682" s="7" t="s">
        <v>1927</v>
      </c>
      <c r="B682" s="7" t="s">
        <v>1928</v>
      </c>
      <c r="C682" s="13" t="s">
        <v>1929</v>
      </c>
      <c r="D682" s="11" t="n">
        <v>46147</v>
      </c>
      <c r="E682" s="12" t="n">
        <v>0.375</v>
      </c>
      <c r="F682" s="11" t="n">
        <v>46147</v>
      </c>
      <c r="G682" s="12" t="n">
        <v>0.75</v>
      </c>
      <c r="H682" s="10" t="n">
        <v>46147.8047092593</v>
      </c>
      <c r="I682" s="7" t="n">
        <v>5500</v>
      </c>
      <c r="J682" s="0" t="n">
        <f aca="false">IF(AND(D682&gt;=DATE(YEAR(D682),3,15),D682&lt;=DATE(YEAR(D682),6,10)),1,0)</f>
        <v>1</v>
      </c>
      <c r="K682" s="0" t="e">
        <f aca="false">VLOOKUP(D682,Festival_List!$A$2:$B$100,2,0)</f>
        <v>#N/A</v>
      </c>
      <c r="L682" s="0" t="n">
        <f aca="false">ROUND(((F682+G682)-(D682+E682))*24,0)</f>
        <v>9</v>
      </c>
      <c r="M682" s="0" t="n">
        <f aca="false">IF(OR(WEEKDAY(D682)=1,WEEKDAY(D682)=7),1,0)</f>
        <v>0</v>
      </c>
      <c r="N682" s="0" t="str">
        <f aca="false">IF(AND(MONTH(D682)&gt;=3,MONTH(D682)&lt;=6),"Summer",IF(AND(MONTH(D682)&gt;=7,MONTH(D682)&lt;=9),"Monsoon","Winter"))</f>
        <v>Summer</v>
      </c>
      <c r="O682" s="0" t="str">
        <f aca="false">IF(AND(L682&gt;=22,L682&lt;=25,E682&gt;=TIME(18,0,0)),"24H Night", IF(AND(L682&gt;=22,L682&lt;=25,E682&lt;TIME(18,0,0)),"24H Day", IF(AND(L682&gt;=11,L682&lt;=13,E682&gt;=TIME(18,0,0)),"12H Night", IF(AND(L682&gt;=11,L682&lt;=13,E682&lt;TIME(18,0,0)),"12H Day", IF(AND(L682&lt;10,E682&gt;=TIME(18,0,0)),"Couple Night", "Couple Day")))))</f>
        <v>Couple Day</v>
      </c>
      <c r="P682" s="0" t="n">
        <f aca="false">WEEKDAY(D682,2)</f>
        <v>2</v>
      </c>
      <c r="Q682" s="0" t="n">
        <f aca="false">MONTH(D682)</f>
        <v>5</v>
      </c>
      <c r="R682" s="0" t="str">
        <f aca="false">"Q"&amp;ROUNDUP(MONTH(D682)/3,0)</f>
        <v>Q2</v>
      </c>
    </row>
    <row r="683" customFormat="false" ht="115.65" hidden="false" customHeight="false" outlineLevel="0" collapsed="false">
      <c r="A683" s="7" t="s">
        <v>1930</v>
      </c>
      <c r="B683" s="7" t="s">
        <v>1931</v>
      </c>
      <c r="C683" s="13" t="s">
        <v>1932</v>
      </c>
      <c r="D683" s="11" t="n">
        <v>46147</v>
      </c>
      <c r="E683" s="12" t="n">
        <v>0.791666666700625</v>
      </c>
      <c r="F683" s="11" t="n">
        <v>46148</v>
      </c>
      <c r="G683" s="12" t="n">
        <v>0.75</v>
      </c>
      <c r="H683" s="10" t="n">
        <v>46145.5873096065</v>
      </c>
      <c r="I683" s="7" t="n">
        <v>5000</v>
      </c>
      <c r="J683" s="0" t="n">
        <f aca="false">IF(AND(D683&gt;=DATE(YEAR(D683),3,15),D683&lt;=DATE(YEAR(D683),6,10)),1,0)</f>
        <v>1</v>
      </c>
      <c r="K683" s="0" t="e">
        <f aca="false">VLOOKUP(D683,Festival_List!$A$2:$B$100,2,0)</f>
        <v>#N/A</v>
      </c>
      <c r="L683" s="0" t="n">
        <f aca="false">ROUND(((F683+G683)-(D683+E683))*24,0)</f>
        <v>23</v>
      </c>
      <c r="M683" s="0" t="n">
        <f aca="false">IF(OR(WEEKDAY(D683)=1,WEEKDAY(D683)=7),1,0)</f>
        <v>0</v>
      </c>
      <c r="N683" s="0" t="str">
        <f aca="false">IF(AND(MONTH(D683)&gt;=3,MONTH(D683)&lt;=6),"Summer",IF(AND(MONTH(D683)&gt;=7,MONTH(D683)&lt;=9),"Monsoon","Winter"))</f>
        <v>Summer</v>
      </c>
      <c r="O683" s="0" t="str">
        <f aca="false">IF(AND(L683&gt;=22,L683&lt;=25,E683&gt;=TIME(18,0,0)),"24H Night", IF(AND(L683&gt;=22,L683&lt;=25,E683&lt;TIME(18,0,0)),"24H Day", IF(AND(L683&gt;=11,L683&lt;=13,E683&gt;=TIME(18,0,0)),"12H Night", IF(AND(L683&gt;=11,L683&lt;=13,E683&lt;TIME(18,0,0)),"12H Day", IF(AND(L683&lt;10,E683&gt;=TIME(18,0,0)),"Couple Night", "Couple Day")))))</f>
        <v>24H Night</v>
      </c>
      <c r="P683" s="0" t="n">
        <f aca="false">WEEKDAY(D683,2)</f>
        <v>2</v>
      </c>
      <c r="Q683" s="0" t="n">
        <f aca="false">MONTH(D683)</f>
        <v>5</v>
      </c>
      <c r="R683" s="0" t="str">
        <f aca="false">"Q"&amp;ROUNDUP(MONTH(D683)/3,0)</f>
        <v>Q2</v>
      </c>
    </row>
    <row r="684" customFormat="false" ht="115.65" hidden="false" customHeight="false" outlineLevel="0" collapsed="false">
      <c r="A684" s="7" t="s">
        <v>1933</v>
      </c>
      <c r="B684" s="7" t="s">
        <v>1934</v>
      </c>
      <c r="C684" s="13" t="s">
        <v>1935</v>
      </c>
      <c r="D684" s="11" t="n">
        <v>46148</v>
      </c>
      <c r="E684" s="12" t="n">
        <v>0.791666666700625</v>
      </c>
      <c r="F684" s="11" t="n">
        <v>46149</v>
      </c>
      <c r="G684" s="12" t="n">
        <v>0.75</v>
      </c>
      <c r="H684" s="10" t="n">
        <v>46146.5417325231</v>
      </c>
      <c r="I684" s="7" t="n">
        <v>5000</v>
      </c>
      <c r="J684" s="0" t="n">
        <f aca="false">IF(AND(D684&gt;=DATE(YEAR(D684),3,15),D684&lt;=DATE(YEAR(D684),6,10)),1,0)</f>
        <v>1</v>
      </c>
      <c r="K684" s="0" t="e">
        <f aca="false">VLOOKUP(D684,Festival_List!$A$2:$B$100,2,0)</f>
        <v>#N/A</v>
      </c>
      <c r="L684" s="0" t="n">
        <f aca="false">ROUND(((F684+G684)-(D684+E684))*24,0)</f>
        <v>23</v>
      </c>
      <c r="M684" s="0" t="n">
        <f aca="false">IF(OR(WEEKDAY(D684)=1,WEEKDAY(D684)=7),1,0)</f>
        <v>0</v>
      </c>
      <c r="N684" s="0" t="str">
        <f aca="false">IF(AND(MONTH(D684)&gt;=3,MONTH(D684)&lt;=6),"Summer",IF(AND(MONTH(D684)&gt;=7,MONTH(D684)&lt;=9),"Monsoon","Winter"))</f>
        <v>Summer</v>
      </c>
      <c r="O684" s="0" t="str">
        <f aca="false">IF(AND(L684&gt;=22,L684&lt;=25,E684&gt;=TIME(18,0,0)),"24H Night", IF(AND(L684&gt;=22,L684&lt;=25,E684&lt;TIME(18,0,0)),"24H Day", IF(AND(L684&gt;=11,L684&lt;=13,E684&gt;=TIME(18,0,0)),"12H Night", IF(AND(L684&gt;=11,L684&lt;=13,E684&lt;TIME(18,0,0)),"12H Day", IF(AND(L684&lt;10,E684&gt;=TIME(18,0,0)),"Couple Night", "Couple Day")))))</f>
        <v>24H Night</v>
      </c>
      <c r="P684" s="0" t="n">
        <f aca="false">WEEKDAY(D684,2)</f>
        <v>3</v>
      </c>
      <c r="Q684" s="0" t="n">
        <f aca="false">MONTH(D684)</f>
        <v>5</v>
      </c>
      <c r="R684" s="0" t="str">
        <f aca="false">"Q"&amp;ROUNDUP(MONTH(D684)/3,0)</f>
        <v>Q2</v>
      </c>
    </row>
    <row r="685" customFormat="false" ht="115.65" hidden="false" customHeight="false" outlineLevel="0" collapsed="false">
      <c r="A685" s="7" t="s">
        <v>1936</v>
      </c>
      <c r="B685" s="7" t="s">
        <v>1937</v>
      </c>
      <c r="C685" s="13" t="s">
        <v>1938</v>
      </c>
      <c r="D685" s="11" t="n">
        <v>46149</v>
      </c>
      <c r="E685" s="12" t="n">
        <v>0.791666666700625</v>
      </c>
      <c r="F685" s="11" t="n">
        <v>46150</v>
      </c>
      <c r="G685" s="12" t="n">
        <v>0.75</v>
      </c>
      <c r="H685" s="10" t="n">
        <v>46148.6269002315</v>
      </c>
      <c r="I685" s="7" t="n">
        <v>5000</v>
      </c>
      <c r="J685" s="0" t="n">
        <f aca="false">IF(AND(D685&gt;=DATE(YEAR(D685),3,15),D685&lt;=DATE(YEAR(D685),6,10)),1,0)</f>
        <v>1</v>
      </c>
      <c r="K685" s="0" t="e">
        <f aca="false">VLOOKUP(D685,Festival_List!$A$2:$B$100,2,0)</f>
        <v>#N/A</v>
      </c>
      <c r="L685" s="0" t="n">
        <f aca="false">ROUND(((F685+G685)-(D685+E685))*24,0)</f>
        <v>23</v>
      </c>
      <c r="M685" s="0" t="n">
        <f aca="false">IF(OR(WEEKDAY(D685)=1,WEEKDAY(D685)=7),1,0)</f>
        <v>0</v>
      </c>
      <c r="N685" s="0" t="str">
        <f aca="false">IF(AND(MONTH(D685)&gt;=3,MONTH(D685)&lt;=6),"Summer",IF(AND(MONTH(D685)&gt;=7,MONTH(D685)&lt;=9),"Monsoon","Winter"))</f>
        <v>Summer</v>
      </c>
      <c r="O685" s="0" t="str">
        <f aca="false">IF(AND(L685&gt;=22,L685&lt;=25,E685&gt;=TIME(18,0,0)),"24H Night", IF(AND(L685&gt;=22,L685&lt;=25,E685&lt;TIME(18,0,0)),"24H Day", IF(AND(L685&gt;=11,L685&lt;=13,E685&gt;=TIME(18,0,0)),"12H Night", IF(AND(L685&gt;=11,L685&lt;=13,E685&lt;TIME(18,0,0)),"12H Day", IF(AND(L685&lt;10,E685&gt;=TIME(18,0,0)),"Couple Night", "Couple Day")))))</f>
        <v>24H Night</v>
      </c>
      <c r="P685" s="0" t="n">
        <f aca="false">WEEKDAY(D685,2)</f>
        <v>4</v>
      </c>
      <c r="Q685" s="0" t="n">
        <f aca="false">MONTH(D685)</f>
        <v>5</v>
      </c>
      <c r="R685" s="0" t="str">
        <f aca="false">"Q"&amp;ROUNDUP(MONTH(D685)/3,0)</f>
        <v>Q2</v>
      </c>
    </row>
    <row r="686" customFormat="false" ht="141" hidden="false" customHeight="false" outlineLevel="0" collapsed="false">
      <c r="A686" s="7" t="s">
        <v>1939</v>
      </c>
      <c r="B686" s="7" t="s">
        <v>1940</v>
      </c>
      <c r="C686" s="13" t="s">
        <v>1941</v>
      </c>
      <c r="D686" s="11" t="n">
        <v>46150</v>
      </c>
      <c r="E686" s="12" t="n">
        <v>0.791666666700625</v>
      </c>
      <c r="F686" s="11" t="n">
        <v>46151</v>
      </c>
      <c r="G686" s="12" t="n">
        <v>0.75</v>
      </c>
      <c r="H686" s="10" t="n">
        <v>46145.9022774306</v>
      </c>
      <c r="I686" s="7" t="n">
        <v>6000</v>
      </c>
      <c r="J686" s="0" t="n">
        <f aca="false">IF(AND(D686&gt;=DATE(YEAR(D686),3,15),D686&lt;=DATE(YEAR(D686),6,10)),1,0)</f>
        <v>1</v>
      </c>
      <c r="K686" s="0" t="e">
        <f aca="false">VLOOKUP(D686,Festival_List!$A$2:$B$100,2,0)</f>
        <v>#N/A</v>
      </c>
      <c r="L686" s="0" t="n">
        <f aca="false">ROUND(((F686+G686)-(D686+E686))*24,0)</f>
        <v>23</v>
      </c>
      <c r="M686" s="0" t="n">
        <f aca="false">IF(OR(WEEKDAY(D686)=1,WEEKDAY(D686)=7),1,0)</f>
        <v>0</v>
      </c>
      <c r="N686" s="0" t="str">
        <f aca="false">IF(AND(MONTH(D686)&gt;=3,MONTH(D686)&lt;=6),"Summer",IF(AND(MONTH(D686)&gt;=7,MONTH(D686)&lt;=9),"Monsoon","Winter"))</f>
        <v>Summer</v>
      </c>
      <c r="O686" s="0" t="str">
        <f aca="false">IF(AND(L686&gt;=22,L686&lt;=25,E686&gt;=TIME(18,0,0)),"24H Night", IF(AND(L686&gt;=22,L686&lt;=25,E686&lt;TIME(18,0,0)),"24H Day", IF(AND(L686&gt;=11,L686&lt;=13,E686&gt;=TIME(18,0,0)),"12H Night", IF(AND(L686&gt;=11,L686&lt;=13,E686&lt;TIME(18,0,0)),"12H Day", IF(AND(L686&lt;10,E686&gt;=TIME(18,0,0)),"Couple Night", "Couple Day")))))</f>
        <v>24H Night</v>
      </c>
      <c r="P686" s="0" t="n">
        <f aca="false">WEEKDAY(D686,2)</f>
        <v>5</v>
      </c>
      <c r="Q686" s="0" t="n">
        <f aca="false">MONTH(D686)</f>
        <v>5</v>
      </c>
      <c r="R686" s="0" t="str">
        <f aca="false">"Q"&amp;ROUNDUP(MONTH(D686)/3,0)</f>
        <v>Q2</v>
      </c>
    </row>
    <row r="687" customFormat="false" ht="153.7" hidden="false" customHeight="false" outlineLevel="0" collapsed="false">
      <c r="A687" s="7" t="s">
        <v>1942</v>
      </c>
      <c r="B687" s="7" t="s">
        <v>1943</v>
      </c>
      <c r="C687" s="13" t="s">
        <v>1944</v>
      </c>
      <c r="D687" s="11" t="n">
        <v>46151</v>
      </c>
      <c r="E687" s="12" t="n">
        <v>0.791666666700625</v>
      </c>
      <c r="F687" s="11" t="n">
        <v>46152</v>
      </c>
      <c r="G687" s="12" t="n">
        <v>0.75</v>
      </c>
      <c r="H687" s="10" t="n">
        <v>46148.7312850695</v>
      </c>
      <c r="I687" s="7" t="n">
        <v>13500</v>
      </c>
      <c r="J687" s="0" t="n">
        <f aca="false">IF(AND(D687&gt;=DATE(YEAR(D687),3,15),D687&lt;=DATE(YEAR(D687),6,10)),1,0)</f>
        <v>1</v>
      </c>
      <c r="K687" s="0" t="e">
        <f aca="false">VLOOKUP(D687,Festival_List!$A$2:$B$100,2,0)</f>
        <v>#N/A</v>
      </c>
      <c r="L687" s="0" t="n">
        <f aca="false">ROUND(((F687+G687)-(D687+E687))*24,0)</f>
        <v>23</v>
      </c>
      <c r="M687" s="0" t="n">
        <f aca="false">IF(OR(WEEKDAY(D687)=1,WEEKDAY(D687)=7),1,0)</f>
        <v>1</v>
      </c>
      <c r="N687" s="0" t="str">
        <f aca="false">IF(AND(MONTH(D687)&gt;=3,MONTH(D687)&lt;=6),"Summer",IF(AND(MONTH(D687)&gt;=7,MONTH(D687)&lt;=9),"Monsoon","Winter"))</f>
        <v>Summer</v>
      </c>
      <c r="O687" s="0" t="str">
        <f aca="false">IF(AND(L687&gt;=22,L687&lt;=25,E687&gt;=TIME(18,0,0)),"24H Night", IF(AND(L687&gt;=22,L687&lt;=25,E687&lt;TIME(18,0,0)),"24H Day", IF(AND(L687&gt;=11,L687&lt;=13,E687&gt;=TIME(18,0,0)),"12H Night", IF(AND(L687&gt;=11,L687&lt;=13,E687&lt;TIME(18,0,0)),"12H Day", IF(AND(L687&lt;10,E687&gt;=TIME(18,0,0)),"Couple Night", "Couple Day")))))</f>
        <v>24H Night</v>
      </c>
      <c r="P687" s="0" t="n">
        <f aca="false">WEEKDAY(D687,2)</f>
        <v>6</v>
      </c>
      <c r="Q687" s="0" t="n">
        <f aca="false">MONTH(D687)</f>
        <v>5</v>
      </c>
      <c r="R687" s="0" t="str">
        <f aca="false">"Q"&amp;ROUNDUP(MONTH(D687)/3,0)</f>
        <v>Q2</v>
      </c>
    </row>
    <row r="688" customFormat="false" ht="141" hidden="false" customHeight="false" outlineLevel="0" collapsed="false">
      <c r="A688" s="7" t="s">
        <v>1945</v>
      </c>
      <c r="B688" s="7" t="s">
        <v>1946</v>
      </c>
      <c r="C688" s="13" t="s">
        <v>1947</v>
      </c>
      <c r="D688" s="11" t="n">
        <v>46152</v>
      </c>
      <c r="E688" s="12" t="n">
        <v>0.833333333299375</v>
      </c>
      <c r="F688" s="11" t="n">
        <v>46153</v>
      </c>
      <c r="G688" s="12" t="n">
        <v>0.333333333299375</v>
      </c>
      <c r="H688" s="10" t="n">
        <v>46151.9687578704</v>
      </c>
      <c r="I688" s="7" t="n">
        <v>4000</v>
      </c>
      <c r="J688" s="0" t="n">
        <f aca="false">IF(AND(D688&gt;=DATE(YEAR(D688),3,15),D688&lt;=DATE(YEAR(D688),6,10)),1,0)</f>
        <v>1</v>
      </c>
      <c r="K688" s="0" t="e">
        <f aca="false">VLOOKUP(D688,Festival_List!$A$2:$B$100,2,0)</f>
        <v>#N/A</v>
      </c>
      <c r="L688" s="0" t="n">
        <f aca="false">ROUND(((F688+G688)-(D688+E688))*24,0)</f>
        <v>12</v>
      </c>
      <c r="M688" s="0" t="n">
        <f aca="false">IF(OR(WEEKDAY(D688)=1,WEEKDAY(D688)=7),1,0)</f>
        <v>1</v>
      </c>
      <c r="N688" s="0" t="str">
        <f aca="false">IF(AND(MONTH(D688)&gt;=3,MONTH(D688)&lt;=6),"Summer",IF(AND(MONTH(D688)&gt;=7,MONTH(D688)&lt;=9),"Monsoon","Winter"))</f>
        <v>Summer</v>
      </c>
      <c r="O688" s="0" t="str">
        <f aca="false">IF(AND(L688&gt;=22,L688&lt;=25,E688&gt;=TIME(18,0,0)),"24H Night", IF(AND(L688&gt;=22,L688&lt;=25,E688&lt;TIME(18,0,0)),"24H Day", IF(AND(L688&gt;=11,L688&lt;=13,E688&gt;=TIME(18,0,0)),"12H Night", IF(AND(L688&gt;=11,L688&lt;=13,E688&lt;TIME(18,0,0)),"12H Day", IF(AND(L688&lt;10,E688&gt;=TIME(18,0,0)),"Couple Night", "Couple Day")))))</f>
        <v>12H Night</v>
      </c>
      <c r="P688" s="0" t="n">
        <f aca="false">WEEKDAY(D688,2)</f>
        <v>7</v>
      </c>
      <c r="Q688" s="0" t="n">
        <f aca="false">MONTH(D688)</f>
        <v>5</v>
      </c>
      <c r="R688" s="0" t="str">
        <f aca="false">"Q"&amp;ROUNDUP(MONTH(D688)/3,0)</f>
        <v>Q2</v>
      </c>
    </row>
    <row r="689" customFormat="false" ht="141" hidden="false" customHeight="false" outlineLevel="0" collapsed="false">
      <c r="A689" s="7" t="s">
        <v>1948</v>
      </c>
      <c r="B689" s="7" t="s">
        <v>1949</v>
      </c>
      <c r="C689" s="13" t="s">
        <v>1950</v>
      </c>
      <c r="D689" s="11" t="n">
        <v>46153</v>
      </c>
      <c r="E689" s="12" t="n">
        <v>0.375</v>
      </c>
      <c r="F689" s="11" t="n">
        <v>46153</v>
      </c>
      <c r="G689" s="12" t="n">
        <v>0.75</v>
      </c>
      <c r="H689" s="10" t="n">
        <v>46152.9316309028</v>
      </c>
      <c r="I689" s="7" t="n">
        <v>4000</v>
      </c>
      <c r="J689" s="0" t="n">
        <f aca="false">IF(AND(D689&gt;=DATE(YEAR(D689),3,15),D689&lt;=DATE(YEAR(D689),6,10)),1,0)</f>
        <v>1</v>
      </c>
      <c r="K689" s="0" t="e">
        <f aca="false">VLOOKUP(D689,Festival_List!$A$2:$B$100,2,0)</f>
        <v>#N/A</v>
      </c>
      <c r="L689" s="0" t="n">
        <f aca="false">ROUND(((F689+G689)-(D689+E689))*24,0)</f>
        <v>9</v>
      </c>
      <c r="M689" s="0" t="n">
        <f aca="false">IF(OR(WEEKDAY(D689)=1,WEEKDAY(D689)=7),1,0)</f>
        <v>0</v>
      </c>
      <c r="N689" s="0" t="str">
        <f aca="false">IF(AND(MONTH(D689)&gt;=3,MONTH(D689)&lt;=6),"Summer",IF(AND(MONTH(D689)&gt;=7,MONTH(D689)&lt;=9),"Monsoon","Winter"))</f>
        <v>Summer</v>
      </c>
      <c r="O689" s="0" t="str">
        <f aca="false">IF(AND(L689&gt;=22,L689&lt;=25,E689&gt;=TIME(18,0,0)),"24H Night", IF(AND(L689&gt;=22,L689&lt;=25,E689&lt;TIME(18,0,0)),"24H Day", IF(AND(L689&gt;=11,L689&lt;=13,E689&gt;=TIME(18,0,0)),"12H Night", IF(AND(L689&gt;=11,L689&lt;=13,E689&lt;TIME(18,0,0)),"12H Day", IF(AND(L689&lt;10,E689&gt;=TIME(18,0,0)),"Couple Night", "Couple Day")))))</f>
        <v>Couple Day</v>
      </c>
      <c r="P689" s="0" t="n">
        <f aca="false">WEEKDAY(D689,2)</f>
        <v>1</v>
      </c>
      <c r="Q689" s="0" t="n">
        <f aca="false">MONTH(D689)</f>
        <v>5</v>
      </c>
      <c r="R689" s="0" t="str">
        <f aca="false">"Q"&amp;ROUNDUP(MONTH(D689)/3,0)</f>
        <v>Q2</v>
      </c>
    </row>
    <row r="690" customFormat="false" ht="115.65" hidden="false" customHeight="false" outlineLevel="0" collapsed="false">
      <c r="A690" s="7" t="s">
        <v>1951</v>
      </c>
      <c r="B690" s="7" t="s">
        <v>1952</v>
      </c>
      <c r="C690" s="13" t="s">
        <v>1953</v>
      </c>
      <c r="D690" s="11" t="n">
        <v>46153</v>
      </c>
      <c r="E690" s="12" t="n">
        <v>0.791666666700625</v>
      </c>
      <c r="F690" s="11" t="n">
        <v>46154</v>
      </c>
      <c r="G690" s="12" t="n">
        <v>0.75</v>
      </c>
      <c r="H690" s="10" t="n">
        <v>46147.4604380787</v>
      </c>
      <c r="I690" s="7" t="n">
        <v>5500</v>
      </c>
      <c r="J690" s="0" t="n">
        <f aca="false">IF(AND(D690&gt;=DATE(YEAR(D690),3,15),D690&lt;=DATE(YEAR(D690),6,10)),1,0)</f>
        <v>1</v>
      </c>
      <c r="K690" s="0" t="e">
        <f aca="false">VLOOKUP(D690,Festival_List!$A$2:$B$100,2,0)</f>
        <v>#N/A</v>
      </c>
      <c r="L690" s="0" t="n">
        <f aca="false">ROUND(((F690+G690)-(D690+E690))*24,0)</f>
        <v>23</v>
      </c>
      <c r="M690" s="0" t="n">
        <f aca="false">IF(OR(WEEKDAY(D690)=1,WEEKDAY(D690)=7),1,0)</f>
        <v>0</v>
      </c>
      <c r="N690" s="0" t="str">
        <f aca="false">IF(AND(MONTH(D690)&gt;=3,MONTH(D690)&lt;=6),"Summer",IF(AND(MONTH(D690)&gt;=7,MONTH(D690)&lt;=9),"Monsoon","Winter"))</f>
        <v>Summer</v>
      </c>
      <c r="O690" s="0" t="str">
        <f aca="false">IF(AND(L690&gt;=22,L690&lt;=25,E690&gt;=TIME(18,0,0)),"24H Night", IF(AND(L690&gt;=22,L690&lt;=25,E690&lt;TIME(18,0,0)),"24H Day", IF(AND(L690&gt;=11,L690&lt;=13,E690&gt;=TIME(18,0,0)),"12H Night", IF(AND(L690&gt;=11,L690&lt;=13,E690&lt;TIME(18,0,0)),"12H Day", IF(AND(L690&lt;10,E690&gt;=TIME(18,0,0)),"Couple Night", "Couple Day")))))</f>
        <v>24H Night</v>
      </c>
      <c r="P690" s="0" t="n">
        <f aca="false">WEEKDAY(D690,2)</f>
        <v>1</v>
      </c>
      <c r="Q690" s="0" t="n">
        <f aca="false">MONTH(D690)</f>
        <v>5</v>
      </c>
      <c r="R690" s="0" t="str">
        <f aca="false">"Q"&amp;ROUNDUP(MONTH(D690)/3,0)</f>
        <v>Q2</v>
      </c>
    </row>
    <row r="691" customFormat="false" ht="115.65" hidden="false" customHeight="false" outlineLevel="0" collapsed="false">
      <c r="A691" s="7" t="s">
        <v>1954</v>
      </c>
      <c r="B691" s="7" t="s">
        <v>1955</v>
      </c>
      <c r="C691" s="13" t="s">
        <v>1956</v>
      </c>
      <c r="D691" s="11" t="n">
        <v>46154</v>
      </c>
      <c r="E691" s="12" t="n">
        <v>0.791666666700625</v>
      </c>
      <c r="F691" s="11" t="n">
        <v>46155</v>
      </c>
      <c r="G691" s="12" t="n">
        <v>0.75</v>
      </c>
      <c r="H691" s="10" t="n">
        <v>46152.6120821759</v>
      </c>
      <c r="I691" s="7" t="n">
        <v>6000</v>
      </c>
      <c r="J691" s="0" t="n">
        <f aca="false">IF(AND(D691&gt;=DATE(YEAR(D691),3,15),D691&lt;=DATE(YEAR(D691),6,10)),1,0)</f>
        <v>1</v>
      </c>
      <c r="K691" s="0" t="e">
        <f aca="false">VLOOKUP(D691,Festival_List!$A$2:$B$100,2,0)</f>
        <v>#N/A</v>
      </c>
      <c r="L691" s="0" t="n">
        <f aca="false">ROUND(((F691+G691)-(D691+E691))*24,0)</f>
        <v>23</v>
      </c>
      <c r="M691" s="0" t="n">
        <f aca="false">IF(OR(WEEKDAY(D691)=1,WEEKDAY(D691)=7),1,0)</f>
        <v>0</v>
      </c>
      <c r="N691" s="0" t="str">
        <f aca="false">IF(AND(MONTH(D691)&gt;=3,MONTH(D691)&lt;=6),"Summer",IF(AND(MONTH(D691)&gt;=7,MONTH(D691)&lt;=9),"Monsoon","Winter"))</f>
        <v>Summer</v>
      </c>
      <c r="O691" s="0" t="str">
        <f aca="false">IF(AND(L691&gt;=22,L691&lt;=25,E691&gt;=TIME(18,0,0)),"24H Night", IF(AND(L691&gt;=22,L691&lt;=25,E691&lt;TIME(18,0,0)),"24H Day", IF(AND(L691&gt;=11,L691&lt;=13,E691&gt;=TIME(18,0,0)),"12H Night", IF(AND(L691&gt;=11,L691&lt;=13,E691&lt;TIME(18,0,0)),"12H Day", IF(AND(L691&lt;10,E691&gt;=TIME(18,0,0)),"Couple Night", "Couple Day")))))</f>
        <v>24H Night</v>
      </c>
      <c r="P691" s="0" t="n">
        <f aca="false">WEEKDAY(D691,2)</f>
        <v>2</v>
      </c>
      <c r="Q691" s="0" t="n">
        <f aca="false">MONTH(D691)</f>
        <v>5</v>
      </c>
      <c r="R691" s="0" t="str">
        <f aca="false">"Q"&amp;ROUNDUP(MONTH(D691)/3,0)</f>
        <v>Q2</v>
      </c>
    </row>
    <row r="692" customFormat="false" ht="141" hidden="false" customHeight="false" outlineLevel="0" collapsed="false">
      <c r="A692" s="7" t="s">
        <v>1957</v>
      </c>
      <c r="B692" s="7" t="s">
        <v>1958</v>
      </c>
      <c r="C692" s="13" t="s">
        <v>1959</v>
      </c>
      <c r="D692" s="11" t="n">
        <v>46155</v>
      </c>
      <c r="E692" s="12" t="n">
        <v>0.791666666700625</v>
      </c>
      <c r="F692" s="11" t="n">
        <v>46156</v>
      </c>
      <c r="G692" s="12" t="n">
        <v>0.791666666700625</v>
      </c>
      <c r="H692" s="10" t="n">
        <v>46154.9230534722</v>
      </c>
      <c r="I692" s="7" t="n">
        <v>6000</v>
      </c>
      <c r="J692" s="0" t="n">
        <f aca="false">IF(AND(D692&gt;=DATE(YEAR(D692),3,15),D692&lt;=DATE(YEAR(D692),6,10)),1,0)</f>
        <v>1</v>
      </c>
      <c r="K692" s="0" t="e">
        <f aca="false">VLOOKUP(D692,Festival_List!$A$2:$B$100,2,0)</f>
        <v>#N/A</v>
      </c>
      <c r="L692" s="0" t="n">
        <f aca="false">ROUND(((F692+G692)-(D692+E692))*24,0)</f>
        <v>24</v>
      </c>
      <c r="M692" s="0" t="n">
        <f aca="false">IF(OR(WEEKDAY(D692)=1,WEEKDAY(D692)=7),1,0)</f>
        <v>0</v>
      </c>
      <c r="N692" s="0" t="str">
        <f aca="false">IF(AND(MONTH(D692)&gt;=3,MONTH(D692)&lt;=6),"Summer",IF(AND(MONTH(D692)&gt;=7,MONTH(D692)&lt;=9),"Monsoon","Winter"))</f>
        <v>Summer</v>
      </c>
      <c r="O692" s="0" t="str">
        <f aca="false">IF(AND(L692&gt;=22,L692&lt;=25,E692&gt;=TIME(18,0,0)),"24H Night", IF(AND(L692&gt;=22,L692&lt;=25,E692&lt;TIME(18,0,0)),"24H Day", IF(AND(L692&gt;=11,L692&lt;=13,E692&gt;=TIME(18,0,0)),"12H Night", IF(AND(L692&gt;=11,L692&lt;=13,E692&lt;TIME(18,0,0)),"12H Day", IF(AND(L692&lt;10,E692&gt;=TIME(18,0,0)),"Couple Night", "Couple Day")))))</f>
        <v>24H Night</v>
      </c>
      <c r="P692" s="0" t="n">
        <f aca="false">WEEKDAY(D692,2)</f>
        <v>3</v>
      </c>
      <c r="Q692" s="0" t="n">
        <f aca="false">MONTH(D692)</f>
        <v>5</v>
      </c>
      <c r="R692" s="0" t="str">
        <f aca="false">"Q"&amp;ROUNDUP(MONTH(D692)/3,0)</f>
        <v>Q2</v>
      </c>
    </row>
    <row r="693" customFormat="false" ht="141" hidden="false" customHeight="false" outlineLevel="0" collapsed="false">
      <c r="A693" s="7" t="s">
        <v>1960</v>
      </c>
      <c r="B693" s="7" t="s">
        <v>1961</v>
      </c>
      <c r="C693" s="13" t="s">
        <v>1962</v>
      </c>
      <c r="D693" s="11" t="n">
        <v>46156</v>
      </c>
      <c r="E693" s="12" t="n">
        <v>0.791666666700625</v>
      </c>
      <c r="F693" s="11" t="n">
        <v>46157</v>
      </c>
      <c r="G693" s="12" t="n">
        <v>0.75</v>
      </c>
      <c r="H693" s="10" t="n">
        <v>46154.002677662</v>
      </c>
      <c r="I693" s="7" t="n">
        <v>6000</v>
      </c>
      <c r="J693" s="0" t="n">
        <f aca="false">IF(AND(D693&gt;=DATE(YEAR(D693),3,15),D693&lt;=DATE(YEAR(D693),6,10)),1,0)</f>
        <v>1</v>
      </c>
      <c r="K693" s="0" t="e">
        <f aca="false">VLOOKUP(D693,Festival_List!$A$2:$B$100,2,0)</f>
        <v>#N/A</v>
      </c>
      <c r="L693" s="0" t="n">
        <f aca="false">ROUND(((F693+G693)-(D693+E693))*24,0)</f>
        <v>23</v>
      </c>
      <c r="M693" s="0" t="n">
        <f aca="false">IF(OR(WEEKDAY(D693)=1,WEEKDAY(D693)=7),1,0)</f>
        <v>0</v>
      </c>
      <c r="N693" s="0" t="str">
        <f aca="false">IF(AND(MONTH(D693)&gt;=3,MONTH(D693)&lt;=6),"Summer",IF(AND(MONTH(D693)&gt;=7,MONTH(D693)&lt;=9),"Monsoon","Winter"))</f>
        <v>Summer</v>
      </c>
      <c r="O693" s="0" t="str">
        <f aca="false">IF(AND(L693&gt;=22,L693&lt;=25,E693&gt;=TIME(18,0,0)),"24H Night", IF(AND(L693&gt;=22,L693&lt;=25,E693&lt;TIME(18,0,0)),"24H Day", IF(AND(L693&gt;=11,L693&lt;=13,E693&gt;=TIME(18,0,0)),"12H Night", IF(AND(L693&gt;=11,L693&lt;=13,E693&lt;TIME(18,0,0)),"12H Day", IF(AND(L693&lt;10,E693&gt;=TIME(18,0,0)),"Couple Night", "Couple Day")))))</f>
        <v>24H Night</v>
      </c>
      <c r="P693" s="0" t="n">
        <f aca="false">WEEKDAY(D693,2)</f>
        <v>4</v>
      </c>
      <c r="Q693" s="0" t="n">
        <f aca="false">MONTH(D693)</f>
        <v>5</v>
      </c>
      <c r="R693" s="0" t="str">
        <f aca="false">"Q"&amp;ROUNDUP(MONTH(D693)/3,0)</f>
        <v>Q2</v>
      </c>
    </row>
    <row r="694" customFormat="false" ht="141" hidden="false" customHeight="false" outlineLevel="0" collapsed="false">
      <c r="A694" s="7" t="s">
        <v>1963</v>
      </c>
      <c r="B694" s="7" t="s">
        <v>1964</v>
      </c>
      <c r="C694" s="13" t="s">
        <v>1965</v>
      </c>
      <c r="D694" s="11" t="n">
        <v>46157</v>
      </c>
      <c r="E694" s="12" t="n">
        <v>0.791666666700625</v>
      </c>
      <c r="F694" s="11" t="n">
        <v>46158</v>
      </c>
      <c r="G694" s="12" t="n">
        <v>0.75</v>
      </c>
      <c r="H694" s="10" t="n">
        <v>46153.6943195602</v>
      </c>
      <c r="I694" s="7" t="n">
        <v>6500</v>
      </c>
      <c r="J694" s="0" t="n">
        <f aca="false">IF(AND(D694&gt;=DATE(YEAR(D694),3,15),D694&lt;=DATE(YEAR(D694),6,10)),1,0)</f>
        <v>1</v>
      </c>
      <c r="K694" s="0" t="e">
        <f aca="false">VLOOKUP(D694,Festival_List!$A$2:$B$100,2,0)</f>
        <v>#N/A</v>
      </c>
      <c r="L694" s="0" t="n">
        <f aca="false">ROUND(((F694+G694)-(D694+E694))*24,0)</f>
        <v>23</v>
      </c>
      <c r="M694" s="0" t="n">
        <f aca="false">IF(OR(WEEKDAY(D694)=1,WEEKDAY(D694)=7),1,0)</f>
        <v>0</v>
      </c>
      <c r="N694" s="0" t="str">
        <f aca="false">IF(AND(MONTH(D694)&gt;=3,MONTH(D694)&lt;=6),"Summer",IF(AND(MONTH(D694)&gt;=7,MONTH(D694)&lt;=9),"Monsoon","Winter"))</f>
        <v>Summer</v>
      </c>
      <c r="O694" s="0" t="str">
        <f aca="false">IF(AND(L694&gt;=22,L694&lt;=25,E694&gt;=TIME(18,0,0)),"24H Night", IF(AND(L694&gt;=22,L694&lt;=25,E694&lt;TIME(18,0,0)),"24H Day", IF(AND(L694&gt;=11,L694&lt;=13,E694&gt;=TIME(18,0,0)),"12H Night", IF(AND(L694&gt;=11,L694&lt;=13,E694&lt;TIME(18,0,0)),"12H Day", IF(AND(L694&lt;10,E694&gt;=TIME(18,0,0)),"Couple Night", "Couple Day")))))</f>
        <v>24H Night</v>
      </c>
      <c r="P694" s="0" t="n">
        <f aca="false">WEEKDAY(D694,2)</f>
        <v>5</v>
      </c>
      <c r="Q694" s="0" t="n">
        <f aca="false">MONTH(D694)</f>
        <v>5</v>
      </c>
      <c r="R694" s="0" t="str">
        <f aca="false">"Q"&amp;ROUNDUP(MONTH(D694)/3,0)</f>
        <v>Q2</v>
      </c>
    </row>
    <row r="695" customFormat="false" ht="115.65" hidden="false" customHeight="false" outlineLevel="0" collapsed="false">
      <c r="A695" s="7" t="s">
        <v>1966</v>
      </c>
      <c r="B695" s="7" t="s">
        <v>1967</v>
      </c>
      <c r="C695" s="13" t="s">
        <v>1968</v>
      </c>
      <c r="D695" s="11" t="n">
        <v>46158</v>
      </c>
      <c r="E695" s="12" t="n">
        <v>0.791666666700625</v>
      </c>
      <c r="F695" s="11" t="n">
        <v>46159</v>
      </c>
      <c r="G695" s="12" t="n">
        <v>0.75</v>
      </c>
      <c r="H695" s="10" t="n">
        <v>46158.8182678241</v>
      </c>
      <c r="I695" s="7" t="n">
        <v>14000</v>
      </c>
      <c r="J695" s="0" t="n">
        <f aca="false">IF(AND(D695&gt;=DATE(YEAR(D695),3,15),D695&lt;=DATE(YEAR(D695),6,10)),1,0)</f>
        <v>1</v>
      </c>
      <c r="K695" s="0" t="e">
        <f aca="false">VLOOKUP(D695,Festival_List!$A$2:$B$100,2,0)</f>
        <v>#N/A</v>
      </c>
      <c r="L695" s="0" t="n">
        <f aca="false">ROUND(((F695+G695)-(D695+E695))*24,0)</f>
        <v>23</v>
      </c>
      <c r="M695" s="0" t="n">
        <f aca="false">IF(OR(WEEKDAY(D695)=1,WEEKDAY(D695)=7),1,0)</f>
        <v>1</v>
      </c>
      <c r="N695" s="0" t="str">
        <f aca="false">IF(AND(MONTH(D695)&gt;=3,MONTH(D695)&lt;=6),"Summer",IF(AND(MONTH(D695)&gt;=7,MONTH(D695)&lt;=9),"Monsoon","Winter"))</f>
        <v>Summer</v>
      </c>
      <c r="O695" s="0" t="str">
        <f aca="false">IF(AND(L695&gt;=22,L695&lt;=25,E695&gt;=TIME(18,0,0)),"24H Night", IF(AND(L695&gt;=22,L695&lt;=25,E695&lt;TIME(18,0,0)),"24H Day", IF(AND(L695&gt;=11,L695&lt;=13,E695&gt;=TIME(18,0,0)),"12H Night", IF(AND(L695&gt;=11,L695&lt;=13,E695&lt;TIME(18,0,0)),"12H Day", IF(AND(L695&lt;10,E695&gt;=TIME(18,0,0)),"Couple Night", "Couple Day")))))</f>
        <v>24H Night</v>
      </c>
      <c r="P695" s="0" t="n">
        <f aca="false">WEEKDAY(D695,2)</f>
        <v>6</v>
      </c>
      <c r="Q695" s="0" t="n">
        <f aca="false">MONTH(D695)</f>
        <v>5</v>
      </c>
      <c r="R695" s="0" t="str">
        <f aca="false">"Q"&amp;ROUNDUP(MONTH(D695)/3,0)</f>
        <v>Q2</v>
      </c>
    </row>
    <row r="696" customFormat="false" ht="141" hidden="false" customHeight="false" outlineLevel="0" collapsed="false">
      <c r="A696" s="7" t="s">
        <v>1969</v>
      </c>
      <c r="B696" s="7" t="s">
        <v>1970</v>
      </c>
      <c r="C696" s="13" t="s">
        <v>1971</v>
      </c>
      <c r="D696" s="11" t="n">
        <v>46159</v>
      </c>
      <c r="E696" s="12" t="n">
        <v>0.791666666700625</v>
      </c>
      <c r="F696" s="11" t="n">
        <v>46160</v>
      </c>
      <c r="G696" s="12" t="n">
        <v>0.75</v>
      </c>
      <c r="H696" s="10" t="n">
        <v>46157.98441875</v>
      </c>
      <c r="I696" s="7" t="n">
        <v>6000</v>
      </c>
      <c r="J696" s="0" t="n">
        <f aca="false">IF(AND(D696&gt;=DATE(YEAR(D696),3,15),D696&lt;=DATE(YEAR(D696),6,10)),1,0)</f>
        <v>1</v>
      </c>
      <c r="K696" s="0" t="e">
        <f aca="false">VLOOKUP(D696,Festival_List!$A$2:$B$100,2,0)</f>
        <v>#N/A</v>
      </c>
      <c r="L696" s="0" t="n">
        <f aca="false">ROUND(((F696+G696)-(D696+E696))*24,0)</f>
        <v>23</v>
      </c>
      <c r="M696" s="0" t="n">
        <f aca="false">IF(OR(WEEKDAY(D696)=1,WEEKDAY(D696)=7),1,0)</f>
        <v>1</v>
      </c>
      <c r="N696" s="0" t="str">
        <f aca="false">IF(AND(MONTH(D696)&gt;=3,MONTH(D696)&lt;=6),"Summer",IF(AND(MONTH(D696)&gt;=7,MONTH(D696)&lt;=9),"Monsoon","Winter"))</f>
        <v>Summer</v>
      </c>
      <c r="O696" s="0" t="str">
        <f aca="false">IF(AND(L696&gt;=22,L696&lt;=25,E696&gt;=TIME(18,0,0)),"24H Night", IF(AND(L696&gt;=22,L696&lt;=25,E696&lt;TIME(18,0,0)),"24H Day", IF(AND(L696&gt;=11,L696&lt;=13,E696&gt;=TIME(18,0,0)),"12H Night", IF(AND(L696&gt;=11,L696&lt;=13,E696&lt;TIME(18,0,0)),"12H Day", IF(AND(L696&lt;10,E696&gt;=TIME(18,0,0)),"Couple Night", "Couple Day")))))</f>
        <v>24H Night</v>
      </c>
      <c r="P696" s="0" t="n">
        <f aca="false">WEEKDAY(D696,2)</f>
        <v>7</v>
      </c>
      <c r="Q696" s="0" t="n">
        <f aca="false">MONTH(D696)</f>
        <v>5</v>
      </c>
      <c r="R696" s="0" t="str">
        <f aca="false">"Q"&amp;ROUNDUP(MONTH(D696)/3,0)</f>
        <v>Q2</v>
      </c>
    </row>
    <row r="697" customFormat="false" ht="141" hidden="false" customHeight="false" outlineLevel="0" collapsed="false">
      <c r="A697" s="7" t="s">
        <v>1972</v>
      </c>
      <c r="B697" s="7" t="s">
        <v>1973</v>
      </c>
      <c r="C697" s="13" t="s">
        <v>1974</v>
      </c>
      <c r="D697" s="11" t="n">
        <v>46160</v>
      </c>
      <c r="E697" s="12" t="n">
        <v>0.791666666700625</v>
      </c>
      <c r="F697" s="11" t="n">
        <v>46161</v>
      </c>
      <c r="G697" s="12" t="n">
        <v>0.75</v>
      </c>
      <c r="H697" s="10" t="n">
        <v>46155.8872226852</v>
      </c>
      <c r="I697" s="7" t="n">
        <v>6000</v>
      </c>
      <c r="J697" s="0" t="n">
        <f aca="false">IF(AND(D697&gt;=DATE(YEAR(D697),3,15),D697&lt;=DATE(YEAR(D697),6,10)),1,0)</f>
        <v>1</v>
      </c>
      <c r="K697" s="0" t="e">
        <f aca="false">VLOOKUP(D697,Festival_List!$A$2:$B$100,2,0)</f>
        <v>#N/A</v>
      </c>
      <c r="L697" s="0" t="n">
        <f aca="false">ROUND(((F697+G697)-(D697+E697))*24,0)</f>
        <v>23</v>
      </c>
      <c r="M697" s="0" t="n">
        <f aca="false">IF(OR(WEEKDAY(D697)=1,WEEKDAY(D697)=7),1,0)</f>
        <v>0</v>
      </c>
      <c r="N697" s="0" t="str">
        <f aca="false">IF(AND(MONTH(D697)&gt;=3,MONTH(D697)&lt;=6),"Summer",IF(AND(MONTH(D697)&gt;=7,MONTH(D697)&lt;=9),"Monsoon","Winter"))</f>
        <v>Summer</v>
      </c>
      <c r="O697" s="0" t="str">
        <f aca="false">IF(AND(L697&gt;=22,L697&lt;=25,E697&gt;=TIME(18,0,0)),"24H Night", IF(AND(L697&gt;=22,L697&lt;=25,E697&lt;TIME(18,0,0)),"24H Day", IF(AND(L697&gt;=11,L697&lt;=13,E697&gt;=TIME(18,0,0)),"12H Night", IF(AND(L697&gt;=11,L697&lt;=13,E697&lt;TIME(18,0,0)),"12H Day", IF(AND(L697&lt;10,E697&gt;=TIME(18,0,0)),"Couple Night", "Couple Day")))))</f>
        <v>24H Night</v>
      </c>
      <c r="P697" s="0" t="n">
        <f aca="false">WEEKDAY(D697,2)</f>
        <v>1</v>
      </c>
      <c r="Q697" s="0" t="n">
        <f aca="false">MONTH(D697)</f>
        <v>5</v>
      </c>
      <c r="R697" s="0" t="str">
        <f aca="false">"Q"&amp;ROUNDUP(MONTH(D697)/3,0)</f>
        <v>Q2</v>
      </c>
    </row>
    <row r="698" customFormat="false" ht="141" hidden="false" customHeight="false" outlineLevel="0" collapsed="false">
      <c r="A698" s="7" t="s">
        <v>1975</v>
      </c>
      <c r="B698" s="7" t="s">
        <v>1976</v>
      </c>
      <c r="C698" s="13" t="s">
        <v>1977</v>
      </c>
      <c r="D698" s="11" t="n">
        <v>46161</v>
      </c>
      <c r="E698" s="12" t="n">
        <v>0.791666666700625</v>
      </c>
      <c r="F698" s="11" t="n">
        <v>46162</v>
      </c>
      <c r="G698" s="12" t="n">
        <v>0.75</v>
      </c>
      <c r="H698" s="10" t="n">
        <v>46158.0313755787</v>
      </c>
      <c r="I698" s="7" t="n">
        <v>6500</v>
      </c>
      <c r="J698" s="0" t="n">
        <f aca="false">IF(AND(D698&gt;=DATE(YEAR(D698),3,15),D698&lt;=DATE(YEAR(D698),6,10)),1,0)</f>
        <v>1</v>
      </c>
      <c r="K698" s="0" t="e">
        <f aca="false">VLOOKUP(D698,Festival_List!$A$2:$B$100,2,0)</f>
        <v>#N/A</v>
      </c>
      <c r="L698" s="0" t="n">
        <f aca="false">ROUND(((F698+G698)-(D698+E698))*24,0)</f>
        <v>23</v>
      </c>
      <c r="M698" s="0" t="n">
        <f aca="false">IF(OR(WEEKDAY(D698)=1,WEEKDAY(D698)=7),1,0)</f>
        <v>0</v>
      </c>
      <c r="N698" s="0" t="str">
        <f aca="false">IF(AND(MONTH(D698)&gt;=3,MONTH(D698)&lt;=6),"Summer",IF(AND(MONTH(D698)&gt;=7,MONTH(D698)&lt;=9),"Monsoon","Winter"))</f>
        <v>Summer</v>
      </c>
      <c r="O698" s="0" t="str">
        <f aca="false">IF(AND(L698&gt;=22,L698&lt;=25,E698&gt;=TIME(18,0,0)),"24H Night", IF(AND(L698&gt;=22,L698&lt;=25,E698&lt;TIME(18,0,0)),"24H Day", IF(AND(L698&gt;=11,L698&lt;=13,E698&gt;=TIME(18,0,0)),"12H Night", IF(AND(L698&gt;=11,L698&lt;=13,E698&lt;TIME(18,0,0)),"12H Day", IF(AND(L698&lt;10,E698&gt;=TIME(18,0,0)),"Couple Night", "Couple Day")))))</f>
        <v>24H Night</v>
      </c>
      <c r="P698" s="0" t="n">
        <f aca="false">WEEKDAY(D698,2)</f>
        <v>2</v>
      </c>
      <c r="Q698" s="0" t="n">
        <f aca="false">MONTH(D698)</f>
        <v>5</v>
      </c>
      <c r="R698" s="0" t="str">
        <f aca="false">"Q"&amp;ROUNDUP(MONTH(D698)/3,0)</f>
        <v>Q2</v>
      </c>
    </row>
    <row r="699" customFormat="false" ht="141" hidden="false" customHeight="false" outlineLevel="0" collapsed="false">
      <c r="A699" s="7" t="s">
        <v>1978</v>
      </c>
      <c r="B699" s="7" t="s">
        <v>1979</v>
      </c>
      <c r="C699" s="13" t="s">
        <v>1980</v>
      </c>
      <c r="D699" s="11" t="n">
        <v>46162</v>
      </c>
      <c r="E699" s="12" t="n">
        <v>0.791666666700625</v>
      </c>
      <c r="F699" s="11" t="n">
        <v>46163</v>
      </c>
      <c r="G699" s="12" t="n">
        <v>0.75</v>
      </c>
      <c r="H699" s="10" t="n">
        <v>46152.3645798611</v>
      </c>
      <c r="I699" s="7" t="n">
        <v>6000</v>
      </c>
      <c r="J699" s="0" t="n">
        <f aca="false">IF(AND(D699&gt;=DATE(YEAR(D699),3,15),D699&lt;=DATE(YEAR(D699),6,10)),1,0)</f>
        <v>1</v>
      </c>
      <c r="K699" s="0" t="e">
        <f aca="false">VLOOKUP(D699,Festival_List!$A$2:$B$100,2,0)</f>
        <v>#N/A</v>
      </c>
      <c r="L699" s="0" t="n">
        <f aca="false">ROUND(((F699+G699)-(D699+E699))*24,0)</f>
        <v>23</v>
      </c>
      <c r="M699" s="0" t="n">
        <f aca="false">IF(OR(WEEKDAY(D699)=1,WEEKDAY(D699)=7),1,0)</f>
        <v>0</v>
      </c>
      <c r="N699" s="0" t="str">
        <f aca="false">IF(AND(MONTH(D699)&gt;=3,MONTH(D699)&lt;=6),"Summer",IF(AND(MONTH(D699)&gt;=7,MONTH(D699)&lt;=9),"Monsoon","Winter"))</f>
        <v>Summer</v>
      </c>
      <c r="O699" s="0" t="str">
        <f aca="false">IF(AND(L699&gt;=22,L699&lt;=25,E699&gt;=TIME(18,0,0)),"24H Night", IF(AND(L699&gt;=22,L699&lt;=25,E699&lt;TIME(18,0,0)),"24H Day", IF(AND(L699&gt;=11,L699&lt;=13,E699&gt;=TIME(18,0,0)),"12H Night", IF(AND(L699&gt;=11,L699&lt;=13,E699&lt;TIME(18,0,0)),"12H Day", IF(AND(L699&lt;10,E699&gt;=TIME(18,0,0)),"Couple Night", "Couple Day")))))</f>
        <v>24H Night</v>
      </c>
      <c r="P699" s="0" t="n">
        <f aca="false">WEEKDAY(D699,2)</f>
        <v>3</v>
      </c>
      <c r="Q699" s="0" t="n">
        <f aca="false">MONTH(D699)</f>
        <v>5</v>
      </c>
      <c r="R699" s="0" t="str">
        <f aca="false">"Q"&amp;ROUNDUP(MONTH(D699)/3,0)</f>
        <v>Q2</v>
      </c>
    </row>
    <row r="700" customFormat="false" ht="141" hidden="false" customHeight="false" outlineLevel="0" collapsed="false">
      <c r="A700" s="7" t="s">
        <v>1981</v>
      </c>
      <c r="B700" s="7" t="s">
        <v>1982</v>
      </c>
      <c r="C700" s="13" t="s">
        <v>1983</v>
      </c>
      <c r="D700" s="11" t="n">
        <v>46163</v>
      </c>
      <c r="E700" s="12" t="n">
        <v>0.791666666700625</v>
      </c>
      <c r="F700" s="11" t="n">
        <v>46164</v>
      </c>
      <c r="G700" s="12" t="n">
        <v>0.75</v>
      </c>
      <c r="H700" s="10" t="n">
        <v>46157.7402451389</v>
      </c>
      <c r="I700" s="7" t="n">
        <v>6000</v>
      </c>
      <c r="J700" s="0" t="n">
        <f aca="false">IF(AND(D700&gt;=DATE(YEAR(D700),3,15),D700&lt;=DATE(YEAR(D700),6,10)),1,0)</f>
        <v>1</v>
      </c>
      <c r="K700" s="0" t="e">
        <f aca="false">VLOOKUP(D700,Festival_List!$A$2:$B$100,2,0)</f>
        <v>#N/A</v>
      </c>
      <c r="L700" s="0" t="n">
        <f aca="false">ROUND(((F700+G700)-(D700+E700))*24,0)</f>
        <v>23</v>
      </c>
      <c r="M700" s="0" t="n">
        <f aca="false">IF(OR(WEEKDAY(D700)=1,WEEKDAY(D700)=7),1,0)</f>
        <v>0</v>
      </c>
      <c r="N700" s="0" t="str">
        <f aca="false">IF(AND(MONTH(D700)&gt;=3,MONTH(D700)&lt;=6),"Summer",IF(AND(MONTH(D700)&gt;=7,MONTH(D700)&lt;=9),"Monsoon","Winter"))</f>
        <v>Summer</v>
      </c>
      <c r="O700" s="0" t="str">
        <f aca="false">IF(AND(L700&gt;=22,L700&lt;=25,E700&gt;=TIME(18,0,0)),"24H Night", IF(AND(L700&gt;=22,L700&lt;=25,E700&lt;TIME(18,0,0)),"24H Day", IF(AND(L700&gt;=11,L700&lt;=13,E700&gt;=TIME(18,0,0)),"12H Night", IF(AND(L700&gt;=11,L700&lt;=13,E700&lt;TIME(18,0,0)),"12H Day", IF(AND(L700&lt;10,E700&gt;=TIME(18,0,0)),"Couple Night", "Couple Day")))))</f>
        <v>24H Night</v>
      </c>
      <c r="P700" s="0" t="n">
        <f aca="false">WEEKDAY(D700,2)</f>
        <v>4</v>
      </c>
      <c r="Q700" s="0" t="n">
        <f aca="false">MONTH(D700)</f>
        <v>5</v>
      </c>
      <c r="R700" s="0" t="str">
        <f aca="false">"Q"&amp;ROUNDUP(MONTH(D700)/3,0)</f>
        <v>Q2</v>
      </c>
    </row>
    <row r="701" customFormat="false" ht="141" hidden="false" customHeight="false" outlineLevel="0" collapsed="false">
      <c r="A701" s="7" t="s">
        <v>1984</v>
      </c>
      <c r="B701" s="7" t="s">
        <v>1985</v>
      </c>
      <c r="C701" s="13" t="s">
        <v>1986</v>
      </c>
      <c r="D701" s="11" t="n">
        <v>46164</v>
      </c>
      <c r="E701" s="12" t="n">
        <v>0.791666666700625</v>
      </c>
      <c r="F701" s="11" t="n">
        <v>46165</v>
      </c>
      <c r="G701" s="12" t="n">
        <v>0.75</v>
      </c>
      <c r="H701" s="10" t="n">
        <v>46156.82615</v>
      </c>
      <c r="I701" s="7" t="n">
        <v>6000</v>
      </c>
      <c r="J701" s="0" t="n">
        <f aca="false">IF(AND(D701&gt;=DATE(YEAR(D701),3,15),D701&lt;=DATE(YEAR(D701),6,10)),1,0)</f>
        <v>1</v>
      </c>
      <c r="K701" s="0" t="e">
        <f aca="false">VLOOKUP(D701,Festival_List!$A$2:$B$100,2,0)</f>
        <v>#N/A</v>
      </c>
      <c r="L701" s="0" t="n">
        <f aca="false">ROUND(((F701+G701)-(D701+E701))*24,0)</f>
        <v>23</v>
      </c>
      <c r="M701" s="0" t="n">
        <f aca="false">IF(OR(WEEKDAY(D701)=1,WEEKDAY(D701)=7),1,0)</f>
        <v>0</v>
      </c>
      <c r="N701" s="0" t="str">
        <f aca="false">IF(AND(MONTH(D701)&gt;=3,MONTH(D701)&lt;=6),"Summer",IF(AND(MONTH(D701)&gt;=7,MONTH(D701)&lt;=9),"Monsoon","Winter"))</f>
        <v>Summer</v>
      </c>
      <c r="O701" s="0" t="str">
        <f aca="false">IF(AND(L701&gt;=22,L701&lt;=25,E701&gt;=TIME(18,0,0)),"24H Night", IF(AND(L701&gt;=22,L701&lt;=25,E701&lt;TIME(18,0,0)),"24H Day", IF(AND(L701&gt;=11,L701&lt;=13,E701&gt;=TIME(18,0,0)),"12H Night", IF(AND(L701&gt;=11,L701&lt;=13,E701&lt;TIME(18,0,0)),"12H Day", IF(AND(L701&lt;10,E701&gt;=TIME(18,0,0)),"Couple Night", "Couple Day")))))</f>
        <v>24H Night</v>
      </c>
      <c r="P701" s="0" t="n">
        <f aca="false">WEEKDAY(D701,2)</f>
        <v>5</v>
      </c>
      <c r="Q701" s="0" t="n">
        <f aca="false">MONTH(D701)</f>
        <v>5</v>
      </c>
      <c r="R701" s="0" t="str">
        <f aca="false">"Q"&amp;ROUNDUP(MONTH(D701)/3,0)</f>
        <v>Q2</v>
      </c>
    </row>
    <row r="702" customFormat="false" ht="115.65" hidden="false" customHeight="false" outlineLevel="0" collapsed="false">
      <c r="A702" s="7" t="s">
        <v>1987</v>
      </c>
      <c r="B702" s="7" t="s">
        <v>1988</v>
      </c>
      <c r="C702" s="13" t="s">
        <v>1989</v>
      </c>
      <c r="D702" s="11" t="n">
        <v>46165</v>
      </c>
      <c r="E702" s="12" t="n">
        <v>0.791666666700625</v>
      </c>
      <c r="F702" s="11" t="n">
        <v>46166</v>
      </c>
      <c r="G702" s="12" t="n">
        <v>0.75</v>
      </c>
      <c r="H702" s="10" t="n">
        <v>46161.6261259259</v>
      </c>
      <c r="I702" s="7" t="n">
        <v>14000</v>
      </c>
      <c r="J702" s="0" t="n">
        <f aca="false">IF(AND(D702&gt;=DATE(YEAR(D702),3,15),D702&lt;=DATE(YEAR(D702),6,10)),1,0)</f>
        <v>1</v>
      </c>
      <c r="K702" s="0" t="e">
        <f aca="false">VLOOKUP(D702,Festival_List!$A$2:$B$100,2,0)</f>
        <v>#N/A</v>
      </c>
      <c r="L702" s="0" t="n">
        <f aca="false">ROUND(((F702+G702)-(D702+E702))*24,0)</f>
        <v>23</v>
      </c>
      <c r="M702" s="0" t="n">
        <f aca="false">IF(OR(WEEKDAY(D702)=1,WEEKDAY(D702)=7),1,0)</f>
        <v>1</v>
      </c>
      <c r="N702" s="0" t="str">
        <f aca="false">IF(AND(MONTH(D702)&gt;=3,MONTH(D702)&lt;=6),"Summer",IF(AND(MONTH(D702)&gt;=7,MONTH(D702)&lt;=9),"Monsoon","Winter"))</f>
        <v>Summer</v>
      </c>
      <c r="O702" s="0" t="str">
        <f aca="false">IF(AND(L702&gt;=22,L702&lt;=25,E702&gt;=TIME(18,0,0)),"24H Night", IF(AND(L702&gt;=22,L702&lt;=25,E702&lt;TIME(18,0,0)),"24H Day", IF(AND(L702&gt;=11,L702&lt;=13,E702&gt;=TIME(18,0,0)),"12H Night", IF(AND(L702&gt;=11,L702&lt;=13,E702&lt;TIME(18,0,0)),"12H Day", IF(AND(L702&lt;10,E702&gt;=TIME(18,0,0)),"Couple Night", "Couple Day")))))</f>
        <v>24H Night</v>
      </c>
      <c r="P702" s="0" t="n">
        <f aca="false">WEEKDAY(D702,2)</f>
        <v>6</v>
      </c>
      <c r="Q702" s="0" t="n">
        <f aca="false">MONTH(D702)</f>
        <v>5</v>
      </c>
      <c r="R702" s="0" t="str">
        <f aca="false">"Q"&amp;ROUNDUP(MONTH(D702)/3,0)</f>
        <v>Q2</v>
      </c>
    </row>
    <row r="703" customFormat="false" ht="141" hidden="false" customHeight="false" outlineLevel="0" collapsed="false">
      <c r="A703" s="7" t="s">
        <v>1990</v>
      </c>
      <c r="B703" s="7" t="s">
        <v>1991</v>
      </c>
      <c r="C703" s="13" t="s">
        <v>1992</v>
      </c>
      <c r="D703" s="11" t="n">
        <v>46166</v>
      </c>
      <c r="E703" s="12" t="n">
        <v>0.791666666700625</v>
      </c>
      <c r="F703" s="11" t="n">
        <v>46167</v>
      </c>
      <c r="G703" s="12" t="n">
        <v>0.75</v>
      </c>
      <c r="H703" s="10" t="n">
        <v>46164.8040297454</v>
      </c>
      <c r="I703" s="7" t="n">
        <v>6500</v>
      </c>
      <c r="J703" s="0" t="n">
        <f aca="false">IF(AND(D703&gt;=DATE(YEAR(D703),3,15),D703&lt;=DATE(YEAR(D703),6,10)),1,0)</f>
        <v>1</v>
      </c>
      <c r="K703" s="0" t="e">
        <f aca="false">VLOOKUP(D703,Festival_List!$A$2:$B$100,2,0)</f>
        <v>#N/A</v>
      </c>
      <c r="L703" s="0" t="n">
        <f aca="false">ROUND(((F703+G703)-(D703+E703))*24,0)</f>
        <v>23</v>
      </c>
      <c r="M703" s="0" t="n">
        <f aca="false">IF(OR(WEEKDAY(D703)=1,WEEKDAY(D703)=7),1,0)</f>
        <v>1</v>
      </c>
      <c r="N703" s="0" t="str">
        <f aca="false">IF(AND(MONTH(D703)&gt;=3,MONTH(D703)&lt;=6),"Summer",IF(AND(MONTH(D703)&gt;=7,MONTH(D703)&lt;=9),"Monsoon","Winter"))</f>
        <v>Summer</v>
      </c>
      <c r="O703" s="0" t="str">
        <f aca="false">IF(AND(L703&gt;=22,L703&lt;=25,E703&gt;=TIME(18,0,0)),"24H Night", IF(AND(L703&gt;=22,L703&lt;=25,E703&lt;TIME(18,0,0)),"24H Day", IF(AND(L703&gt;=11,L703&lt;=13,E703&gt;=TIME(18,0,0)),"12H Night", IF(AND(L703&gt;=11,L703&lt;=13,E703&lt;TIME(18,0,0)),"12H Day", IF(AND(L703&lt;10,E703&gt;=TIME(18,0,0)),"Couple Night", "Couple Day")))))</f>
        <v>24H Night</v>
      </c>
      <c r="P703" s="0" t="n">
        <f aca="false">WEEKDAY(D703,2)</f>
        <v>7</v>
      </c>
      <c r="Q703" s="0" t="n">
        <f aca="false">MONTH(D703)</f>
        <v>5</v>
      </c>
      <c r="R703" s="0" t="str">
        <f aca="false">"Q"&amp;ROUNDUP(MONTH(D703)/3,0)</f>
        <v>Q2</v>
      </c>
    </row>
    <row r="704" customFormat="false" ht="115.65" hidden="false" customHeight="false" outlineLevel="0" collapsed="false">
      <c r="A704" s="7" t="s">
        <v>1993</v>
      </c>
      <c r="B704" s="7" t="s">
        <v>1994</v>
      </c>
      <c r="C704" s="13" t="s">
        <v>1995</v>
      </c>
      <c r="D704" s="11" t="n">
        <v>46167</v>
      </c>
      <c r="E704" s="12" t="n">
        <v>0.791666666700625</v>
      </c>
      <c r="F704" s="11" t="n">
        <v>46168</v>
      </c>
      <c r="G704" s="12" t="n">
        <v>0.75</v>
      </c>
      <c r="H704" s="10" t="n">
        <v>46162.6644087963</v>
      </c>
      <c r="I704" s="7" t="n">
        <v>6500</v>
      </c>
      <c r="J704" s="0" t="n">
        <f aca="false">IF(AND(D704&gt;=DATE(YEAR(D704),3,15),D704&lt;=DATE(YEAR(D704),6,10)),1,0)</f>
        <v>1</v>
      </c>
      <c r="K704" s="0" t="e">
        <f aca="false">VLOOKUP(D704,Festival_List!$A$2:$B$100,2,0)</f>
        <v>#N/A</v>
      </c>
      <c r="L704" s="0" t="n">
        <f aca="false">ROUND(((F704+G704)-(D704+E704))*24,0)</f>
        <v>23</v>
      </c>
      <c r="M704" s="0" t="n">
        <f aca="false">IF(OR(WEEKDAY(D704)=1,WEEKDAY(D704)=7),1,0)</f>
        <v>0</v>
      </c>
      <c r="N704" s="0" t="str">
        <f aca="false">IF(AND(MONTH(D704)&gt;=3,MONTH(D704)&lt;=6),"Summer",IF(AND(MONTH(D704)&gt;=7,MONTH(D704)&lt;=9),"Monsoon","Winter"))</f>
        <v>Summer</v>
      </c>
      <c r="O704" s="0" t="str">
        <f aca="false">IF(AND(L704&gt;=22,L704&lt;=25,E704&gt;=TIME(18,0,0)),"24H Night", IF(AND(L704&gt;=22,L704&lt;=25,E704&lt;TIME(18,0,0)),"24H Day", IF(AND(L704&gt;=11,L704&lt;=13,E704&gt;=TIME(18,0,0)),"12H Night", IF(AND(L704&gt;=11,L704&lt;=13,E704&lt;TIME(18,0,0)),"12H Day", IF(AND(L704&lt;10,E704&gt;=TIME(18,0,0)),"Couple Night", "Couple Day")))))</f>
        <v>24H Night</v>
      </c>
      <c r="P704" s="0" t="n">
        <f aca="false">WEEKDAY(D704,2)</f>
        <v>1</v>
      </c>
      <c r="Q704" s="0" t="n">
        <f aca="false">MONTH(D704)</f>
        <v>5</v>
      </c>
      <c r="R704" s="0" t="str">
        <f aca="false">"Q"&amp;ROUNDUP(MONTH(D704)/3,0)</f>
        <v>Q2</v>
      </c>
    </row>
    <row r="705" customFormat="false" ht="141" hidden="false" customHeight="false" outlineLevel="0" collapsed="false">
      <c r="A705" s="7" t="s">
        <v>1996</v>
      </c>
      <c r="B705" s="7" t="s">
        <v>1997</v>
      </c>
      <c r="C705" s="13" t="s">
        <v>1998</v>
      </c>
      <c r="D705" s="11" t="n">
        <v>46168</v>
      </c>
      <c r="E705" s="12" t="n">
        <v>0.791666666700625</v>
      </c>
      <c r="F705" s="11" t="n">
        <v>46169</v>
      </c>
      <c r="G705" s="12" t="n">
        <v>0.75</v>
      </c>
      <c r="H705" s="10" t="n">
        <v>46160.9195048611</v>
      </c>
      <c r="I705" s="7" t="n">
        <v>6500</v>
      </c>
      <c r="J705" s="0" t="n">
        <f aca="false">IF(AND(D705&gt;=DATE(YEAR(D705),3,15),D705&lt;=DATE(YEAR(D705),6,10)),1,0)</f>
        <v>1</v>
      </c>
      <c r="K705" s="0" t="e">
        <f aca="false">VLOOKUP(D705,Festival_List!$A$2:$B$100,2,0)</f>
        <v>#N/A</v>
      </c>
      <c r="L705" s="0" t="n">
        <f aca="false">ROUND(((F705+G705)-(D705+E705))*24,0)</f>
        <v>23</v>
      </c>
      <c r="M705" s="0" t="n">
        <f aca="false">IF(OR(WEEKDAY(D705)=1,WEEKDAY(D705)=7),1,0)</f>
        <v>0</v>
      </c>
      <c r="N705" s="0" t="str">
        <f aca="false">IF(AND(MONTH(D705)&gt;=3,MONTH(D705)&lt;=6),"Summer",IF(AND(MONTH(D705)&gt;=7,MONTH(D705)&lt;=9),"Monsoon","Winter"))</f>
        <v>Summer</v>
      </c>
      <c r="O705" s="0" t="str">
        <f aca="false">IF(AND(L705&gt;=22,L705&lt;=25,E705&gt;=TIME(18,0,0)),"24H Night", IF(AND(L705&gt;=22,L705&lt;=25,E705&lt;TIME(18,0,0)),"24H Day", IF(AND(L705&gt;=11,L705&lt;=13,E705&gt;=TIME(18,0,0)),"12H Night", IF(AND(L705&gt;=11,L705&lt;=13,E705&lt;TIME(18,0,0)),"12H Day", IF(AND(L705&lt;10,E705&gt;=TIME(18,0,0)),"Couple Night", "Couple Day")))))</f>
        <v>24H Night</v>
      </c>
      <c r="P705" s="0" t="n">
        <f aca="false">WEEKDAY(D705,2)</f>
        <v>2</v>
      </c>
      <c r="Q705" s="0" t="n">
        <f aca="false">MONTH(D705)</f>
        <v>5</v>
      </c>
      <c r="R705" s="0" t="str">
        <f aca="false">"Q"&amp;ROUNDUP(MONTH(D705)/3,0)</f>
        <v>Q2</v>
      </c>
    </row>
    <row r="706" customFormat="false" ht="141" hidden="false" customHeight="false" outlineLevel="0" collapsed="false">
      <c r="A706" s="7" t="s">
        <v>1999</v>
      </c>
      <c r="B706" s="7" t="s">
        <v>2000</v>
      </c>
      <c r="C706" s="13" t="s">
        <v>2001</v>
      </c>
      <c r="D706" s="11" t="n">
        <v>46169</v>
      </c>
      <c r="E706" s="12" t="n">
        <v>0.791666666700625</v>
      </c>
      <c r="F706" s="11" t="n">
        <v>46170</v>
      </c>
      <c r="G706" s="12" t="n">
        <v>0.75</v>
      </c>
      <c r="H706" s="10" t="n">
        <v>46168.539140162</v>
      </c>
      <c r="I706" s="7" t="n">
        <v>7000</v>
      </c>
      <c r="J706" s="0" t="n">
        <f aca="false">IF(AND(D706&gt;=DATE(YEAR(D706),3,15),D706&lt;=DATE(YEAR(D706),6,10)),1,0)</f>
        <v>1</v>
      </c>
      <c r="K706" s="0" t="e">
        <f aca="false">VLOOKUP(D706,Festival_List!$A$2:$B$100,2,0)</f>
        <v>#N/A</v>
      </c>
      <c r="L706" s="0" t="n">
        <f aca="false">ROUND(((F706+G706)-(D706+E706))*24,0)</f>
        <v>23</v>
      </c>
      <c r="M706" s="0" t="n">
        <f aca="false">IF(OR(WEEKDAY(D706)=1,WEEKDAY(D706)=7),1,0)</f>
        <v>0</v>
      </c>
      <c r="N706" s="0" t="str">
        <f aca="false">IF(AND(MONTH(D706)&gt;=3,MONTH(D706)&lt;=6),"Summer",IF(AND(MONTH(D706)&gt;=7,MONTH(D706)&lt;=9),"Monsoon","Winter"))</f>
        <v>Summer</v>
      </c>
      <c r="O706" s="0" t="str">
        <f aca="false">IF(AND(L706&gt;=22,L706&lt;=25,E706&gt;=TIME(18,0,0)),"24H Night", IF(AND(L706&gt;=22,L706&lt;=25,E706&lt;TIME(18,0,0)),"24H Day", IF(AND(L706&gt;=11,L706&lt;=13,E706&gt;=TIME(18,0,0)),"12H Night", IF(AND(L706&gt;=11,L706&lt;=13,E706&lt;TIME(18,0,0)),"12H Day", IF(AND(L706&lt;10,E706&gt;=TIME(18,0,0)),"Couple Night", "Couple Day")))))</f>
        <v>24H Night</v>
      </c>
      <c r="P706" s="0" t="n">
        <f aca="false">WEEKDAY(D706,2)</f>
        <v>3</v>
      </c>
      <c r="Q706" s="0" t="n">
        <f aca="false">MONTH(D706)</f>
        <v>5</v>
      </c>
      <c r="R706" s="0" t="str">
        <f aca="false">"Q"&amp;ROUNDUP(MONTH(D706)/3,0)</f>
        <v>Q2</v>
      </c>
    </row>
    <row r="707" customFormat="false" ht="141" hidden="false" customHeight="false" outlineLevel="0" collapsed="false">
      <c r="A707" s="7" t="s">
        <v>2002</v>
      </c>
      <c r="B707" s="7" t="s">
        <v>2003</v>
      </c>
      <c r="C707" s="13" t="s">
        <v>2004</v>
      </c>
      <c r="D707" s="11" t="n">
        <v>46170</v>
      </c>
      <c r="E707" s="12" t="n">
        <v>0.791666666700625</v>
      </c>
      <c r="F707" s="11" t="n">
        <v>46171</v>
      </c>
      <c r="G707" s="12" t="n">
        <v>0.75</v>
      </c>
      <c r="H707" s="10" t="n">
        <v>46167.6447834491</v>
      </c>
      <c r="I707" s="7" t="n">
        <v>6500</v>
      </c>
      <c r="J707" s="0" t="n">
        <f aca="false">IF(AND(D707&gt;=DATE(YEAR(D707),3,15),D707&lt;=DATE(YEAR(D707),6,10)),1,0)</f>
        <v>1</v>
      </c>
      <c r="K707" s="0" t="e">
        <f aca="false">VLOOKUP(D707,Festival_List!$A$2:$B$100,2,0)</f>
        <v>#N/A</v>
      </c>
      <c r="L707" s="0" t="n">
        <f aca="false">ROUND(((F707+G707)-(D707+E707))*24,0)</f>
        <v>23</v>
      </c>
      <c r="M707" s="0" t="n">
        <f aca="false">IF(OR(WEEKDAY(D707)=1,WEEKDAY(D707)=7),1,0)</f>
        <v>0</v>
      </c>
      <c r="N707" s="0" t="str">
        <f aca="false">IF(AND(MONTH(D707)&gt;=3,MONTH(D707)&lt;=6),"Summer",IF(AND(MONTH(D707)&gt;=7,MONTH(D707)&lt;=9),"Monsoon","Winter"))</f>
        <v>Summer</v>
      </c>
      <c r="O707" s="0" t="str">
        <f aca="false">IF(AND(L707&gt;=22,L707&lt;=25,E707&gt;=TIME(18,0,0)),"24H Night", IF(AND(L707&gt;=22,L707&lt;=25,E707&lt;TIME(18,0,0)),"24H Day", IF(AND(L707&gt;=11,L707&lt;=13,E707&gt;=TIME(18,0,0)),"12H Night", IF(AND(L707&gt;=11,L707&lt;=13,E707&lt;TIME(18,0,0)),"12H Day", IF(AND(L707&lt;10,E707&gt;=TIME(18,0,0)),"Couple Night", "Couple Day")))))</f>
        <v>24H Night</v>
      </c>
      <c r="P707" s="0" t="n">
        <f aca="false">WEEKDAY(D707,2)</f>
        <v>4</v>
      </c>
      <c r="Q707" s="0" t="n">
        <f aca="false">MONTH(D707)</f>
        <v>5</v>
      </c>
      <c r="R707" s="0" t="str">
        <f aca="false">"Q"&amp;ROUNDUP(MONTH(D707)/3,0)</f>
        <v>Q2</v>
      </c>
    </row>
    <row r="708" customFormat="false" ht="166.4" hidden="false" customHeight="false" outlineLevel="0" collapsed="false">
      <c r="A708" s="7" t="s">
        <v>2005</v>
      </c>
      <c r="B708" s="7" t="s">
        <v>2006</v>
      </c>
      <c r="C708" s="13" t="s">
        <v>2007</v>
      </c>
      <c r="D708" s="11" t="n">
        <v>46171</v>
      </c>
      <c r="E708" s="12" t="n">
        <v>0.791666666700625</v>
      </c>
      <c r="F708" s="11" t="n">
        <v>46172</v>
      </c>
      <c r="G708" s="12" t="n">
        <v>0.75</v>
      </c>
      <c r="H708" s="10" t="n">
        <v>46171.645896412</v>
      </c>
      <c r="I708" s="7" t="n">
        <v>6500</v>
      </c>
      <c r="J708" s="0" t="n">
        <f aca="false">IF(AND(D708&gt;=DATE(YEAR(D708),3,15),D708&lt;=DATE(YEAR(D708),6,10)),1,0)</f>
        <v>1</v>
      </c>
      <c r="K708" s="0" t="e">
        <f aca="false">VLOOKUP(D708,Festival_List!$A$2:$B$100,2,0)</f>
        <v>#N/A</v>
      </c>
      <c r="L708" s="0" t="n">
        <f aca="false">ROUND(((F708+G708)-(D708+E708))*24,0)</f>
        <v>23</v>
      </c>
      <c r="M708" s="0" t="n">
        <f aca="false">IF(OR(WEEKDAY(D708)=1,WEEKDAY(D708)=7),1,0)</f>
        <v>0</v>
      </c>
      <c r="N708" s="0" t="str">
        <f aca="false">IF(AND(MONTH(D708)&gt;=3,MONTH(D708)&lt;=6),"Summer",IF(AND(MONTH(D708)&gt;=7,MONTH(D708)&lt;=9),"Monsoon","Winter"))</f>
        <v>Summer</v>
      </c>
      <c r="O708" s="0" t="str">
        <f aca="false">IF(AND(L708&gt;=22,L708&lt;=25,E708&gt;=TIME(18,0,0)),"24H Night", IF(AND(L708&gt;=22,L708&lt;=25,E708&lt;TIME(18,0,0)),"24H Day", IF(AND(L708&gt;=11,L708&lt;=13,E708&gt;=TIME(18,0,0)),"12H Night", IF(AND(L708&gt;=11,L708&lt;=13,E708&lt;TIME(18,0,0)),"12H Day", IF(AND(L708&lt;10,E708&gt;=TIME(18,0,0)),"Couple Night", "Couple Day")))))</f>
        <v>24H Night</v>
      </c>
      <c r="P708" s="0" t="n">
        <f aca="false">WEEKDAY(D708,2)</f>
        <v>5</v>
      </c>
      <c r="Q708" s="0" t="n">
        <f aca="false">MONTH(D708)</f>
        <v>5</v>
      </c>
      <c r="R708" s="0" t="str">
        <f aca="false">"Q"&amp;ROUNDUP(MONTH(D708)/3,0)</f>
        <v>Q2</v>
      </c>
    </row>
    <row r="709" customFormat="false" ht="115.65" hidden="false" customHeight="false" outlineLevel="0" collapsed="false">
      <c r="A709" s="7" t="s">
        <v>2008</v>
      </c>
      <c r="B709" s="7" t="s">
        <v>2009</v>
      </c>
      <c r="C709" s="13" t="s">
        <v>2010</v>
      </c>
      <c r="D709" s="11" t="n">
        <v>46172</v>
      </c>
      <c r="E709" s="12" t="n">
        <v>0.791666666700625</v>
      </c>
      <c r="F709" s="11" t="n">
        <v>46173</v>
      </c>
      <c r="G709" s="12" t="n">
        <v>0.75</v>
      </c>
      <c r="H709" s="10" t="n">
        <v>46171.6479444444</v>
      </c>
      <c r="I709" s="7" t="n">
        <v>14000</v>
      </c>
      <c r="J709" s="0" t="n">
        <f aca="false">IF(AND(D709&gt;=DATE(YEAR(D709),3,15),D709&lt;=DATE(YEAR(D709),6,10)),1,0)</f>
        <v>1</v>
      </c>
      <c r="K709" s="0" t="e">
        <f aca="false">VLOOKUP(D709,Festival_List!$A$2:$B$100,2,0)</f>
        <v>#N/A</v>
      </c>
      <c r="L709" s="0" t="n">
        <f aca="false">ROUND(((F709+G709)-(D709+E709))*24,0)</f>
        <v>23</v>
      </c>
      <c r="M709" s="0" t="n">
        <f aca="false">IF(OR(WEEKDAY(D709)=1,WEEKDAY(D709)=7),1,0)</f>
        <v>1</v>
      </c>
      <c r="N709" s="0" t="str">
        <f aca="false">IF(AND(MONTH(D709)&gt;=3,MONTH(D709)&lt;=6),"Summer",IF(AND(MONTH(D709)&gt;=7,MONTH(D709)&lt;=9),"Monsoon","Winter"))</f>
        <v>Summer</v>
      </c>
      <c r="O709" s="0" t="str">
        <f aca="false">IF(AND(L709&gt;=22,L709&lt;=25,E709&gt;=TIME(18,0,0)),"24H Night", IF(AND(L709&gt;=22,L709&lt;=25,E709&lt;TIME(18,0,0)),"24H Day", IF(AND(L709&gt;=11,L709&lt;=13,E709&gt;=TIME(18,0,0)),"12H Night", IF(AND(L709&gt;=11,L709&lt;=13,E709&lt;TIME(18,0,0)),"12H Day", IF(AND(L709&lt;10,E709&gt;=TIME(18,0,0)),"Couple Night", "Couple Day")))))</f>
        <v>24H Night</v>
      </c>
      <c r="P709" s="0" t="n">
        <f aca="false">WEEKDAY(D709,2)</f>
        <v>6</v>
      </c>
      <c r="Q709" s="0" t="n">
        <f aca="false">MONTH(D709)</f>
        <v>5</v>
      </c>
      <c r="R709" s="0" t="str">
        <f aca="false">"Q"&amp;ROUNDUP(MONTH(D709)/3,0)</f>
        <v>Q2</v>
      </c>
    </row>
    <row r="710" customFormat="false" ht="166.4" hidden="false" customHeight="false" outlineLevel="0" collapsed="false">
      <c r="A710" s="7" t="s">
        <v>2011</v>
      </c>
      <c r="B710" s="7" t="s">
        <v>1310</v>
      </c>
      <c r="C710" s="13" t="s">
        <v>2012</v>
      </c>
      <c r="D710" s="11" t="n">
        <v>46173</v>
      </c>
      <c r="E710" s="12" t="n">
        <v>0.791666666700625</v>
      </c>
      <c r="F710" s="11" t="n">
        <v>46174</v>
      </c>
      <c r="G710" s="12" t="n">
        <v>0.291666666700625</v>
      </c>
      <c r="H710" s="10" t="n">
        <v>46172.9247037037</v>
      </c>
      <c r="I710" s="7" t="n">
        <v>4500</v>
      </c>
      <c r="J710" s="0" t="n">
        <f aca="false">IF(AND(D710&gt;=DATE(YEAR(D710),3,15),D710&lt;=DATE(YEAR(D710),6,10)),1,0)</f>
        <v>1</v>
      </c>
      <c r="K710" s="0" t="e">
        <f aca="false">VLOOKUP(D710,Festival_List!$A$2:$B$100,2,0)</f>
        <v>#N/A</v>
      </c>
      <c r="L710" s="0" t="n">
        <f aca="false">ROUND(((F710+G710)-(D710+E710))*24,0)</f>
        <v>12</v>
      </c>
      <c r="M710" s="0" t="n">
        <f aca="false">IF(OR(WEEKDAY(D710)=1,WEEKDAY(D710)=7),1,0)</f>
        <v>1</v>
      </c>
      <c r="N710" s="0" t="str">
        <f aca="false">IF(AND(MONTH(D710)&gt;=3,MONTH(D710)&lt;=6),"Summer",IF(AND(MONTH(D710)&gt;=7,MONTH(D710)&lt;=9),"Monsoon","Winter"))</f>
        <v>Summer</v>
      </c>
      <c r="O710" s="0" t="str">
        <f aca="false">IF(AND(L710&gt;=22,L710&lt;=25,E710&gt;=TIME(18,0,0)),"24H Night", IF(AND(L710&gt;=22,L710&lt;=25,E710&lt;TIME(18,0,0)),"24H Day", IF(AND(L710&gt;=11,L710&lt;=13,E710&gt;=TIME(18,0,0)),"12H Night", IF(AND(L710&gt;=11,L710&lt;=13,E710&lt;TIME(18,0,0)),"12H Day", IF(AND(L710&lt;10,E710&gt;=TIME(18,0,0)),"Couple Night", "Couple Day")))))</f>
        <v>12H Night</v>
      </c>
      <c r="P710" s="0" t="n">
        <f aca="false">WEEKDAY(D710,2)</f>
        <v>7</v>
      </c>
      <c r="Q710" s="0" t="n">
        <f aca="false">MONTH(D710)</f>
        <v>5</v>
      </c>
      <c r="R710" s="0" t="str">
        <f aca="false">"Q"&amp;ROUNDUP(MONTH(D710)/3,0)</f>
        <v>Q2</v>
      </c>
    </row>
    <row r="711" customFormat="false" ht="166.4" hidden="false" customHeight="false" outlineLevel="0" collapsed="false">
      <c r="A711" s="7" t="s">
        <v>2013</v>
      </c>
      <c r="B711" s="7" t="s">
        <v>2014</v>
      </c>
      <c r="C711" s="13" t="s">
        <v>2015</v>
      </c>
      <c r="D711" s="11" t="n">
        <v>46174</v>
      </c>
      <c r="E711" s="12" t="n">
        <v>0.375</v>
      </c>
      <c r="F711" s="11" t="n">
        <v>46174</v>
      </c>
      <c r="G711" s="12" t="n">
        <v>0.75</v>
      </c>
      <c r="H711" s="10" t="n">
        <v>46172.9301243056</v>
      </c>
      <c r="I711" s="7" t="n">
        <v>4500</v>
      </c>
      <c r="J711" s="0" t="n">
        <f aca="false">IF(AND(D711&gt;=DATE(YEAR(D711),3,15),D711&lt;=DATE(YEAR(D711),6,10)),1,0)</f>
        <v>1</v>
      </c>
      <c r="K711" s="0" t="e">
        <f aca="false">VLOOKUP(D711,Festival_List!$A$2:$B$100,2,0)</f>
        <v>#N/A</v>
      </c>
      <c r="L711" s="0" t="n">
        <f aca="false">ROUND(((F711+G711)-(D711+E711))*24,0)</f>
        <v>9</v>
      </c>
      <c r="M711" s="0" t="n">
        <f aca="false">IF(OR(WEEKDAY(D711)=1,WEEKDAY(D711)=7),1,0)</f>
        <v>0</v>
      </c>
      <c r="N711" s="0" t="str">
        <f aca="false">IF(AND(MONTH(D711)&gt;=3,MONTH(D711)&lt;=6),"Summer",IF(AND(MONTH(D711)&gt;=7,MONTH(D711)&lt;=9),"Monsoon","Winter"))</f>
        <v>Summer</v>
      </c>
      <c r="O711" s="0" t="str">
        <f aca="false">IF(AND(L711&gt;=22,L711&lt;=25,E711&gt;=TIME(18,0,0)),"24H Night", IF(AND(L711&gt;=22,L711&lt;=25,E711&lt;TIME(18,0,0)),"24H Day", IF(AND(L711&gt;=11,L711&lt;=13,E711&gt;=TIME(18,0,0)),"12H Night", IF(AND(L711&gt;=11,L711&lt;=13,E711&lt;TIME(18,0,0)),"12H Day", IF(AND(L711&lt;10,E711&gt;=TIME(18,0,0)),"Couple Night", "Couple Day")))))</f>
        <v>Couple Day</v>
      </c>
      <c r="P711" s="0" t="n">
        <f aca="false">WEEKDAY(D711,2)</f>
        <v>1</v>
      </c>
      <c r="Q711" s="0" t="n">
        <f aca="false">MONTH(D711)</f>
        <v>6</v>
      </c>
      <c r="R711" s="0" t="str">
        <f aca="false">"Q"&amp;ROUNDUP(MONTH(D711)/3,0)</f>
        <v>Q2</v>
      </c>
    </row>
    <row r="712" customFormat="false" ht="141" hidden="false" customHeight="false" outlineLevel="0" collapsed="false">
      <c r="A712" s="7" t="s">
        <v>2016</v>
      </c>
      <c r="B712" s="7" t="s">
        <v>2017</v>
      </c>
      <c r="C712" s="13" t="s">
        <v>2018</v>
      </c>
      <c r="D712" s="11" t="n">
        <v>46174</v>
      </c>
      <c r="E712" s="12" t="n">
        <v>0.791666666700625</v>
      </c>
      <c r="F712" s="11" t="n">
        <v>46175</v>
      </c>
      <c r="G712" s="12" t="n">
        <v>0.75</v>
      </c>
      <c r="H712" s="10" t="n">
        <v>46167.5682982639</v>
      </c>
      <c r="I712" s="7" t="n">
        <v>6500</v>
      </c>
      <c r="J712" s="0" t="n">
        <f aca="false">IF(AND(D712&gt;=DATE(YEAR(D712),3,15),D712&lt;=DATE(YEAR(D712),6,10)),1,0)</f>
        <v>1</v>
      </c>
      <c r="K712" s="0" t="e">
        <f aca="false">VLOOKUP(D712,Festival_List!$A$2:$B$100,2,0)</f>
        <v>#N/A</v>
      </c>
      <c r="L712" s="0" t="n">
        <f aca="false">ROUND(((F712+G712)-(D712+E712))*24,0)</f>
        <v>23</v>
      </c>
      <c r="M712" s="0" t="n">
        <f aca="false">IF(OR(WEEKDAY(D712)=1,WEEKDAY(D712)=7),1,0)</f>
        <v>0</v>
      </c>
      <c r="N712" s="0" t="str">
        <f aca="false">IF(AND(MONTH(D712)&gt;=3,MONTH(D712)&lt;=6),"Summer",IF(AND(MONTH(D712)&gt;=7,MONTH(D712)&lt;=9),"Monsoon","Winter"))</f>
        <v>Summer</v>
      </c>
      <c r="O712" s="0" t="str">
        <f aca="false">IF(AND(L712&gt;=22,L712&lt;=25,E712&gt;=TIME(18,0,0)),"24H Night", IF(AND(L712&gt;=22,L712&lt;=25,E712&lt;TIME(18,0,0)),"24H Day", IF(AND(L712&gt;=11,L712&lt;=13,E712&gt;=TIME(18,0,0)),"12H Night", IF(AND(L712&gt;=11,L712&lt;=13,E712&lt;TIME(18,0,0)),"12H Day", IF(AND(L712&lt;10,E712&gt;=TIME(18,0,0)),"Couple Night", "Couple Day")))))</f>
        <v>24H Night</v>
      </c>
      <c r="P712" s="0" t="n">
        <f aca="false">WEEKDAY(D712,2)</f>
        <v>1</v>
      </c>
      <c r="Q712" s="0" t="n">
        <f aca="false">MONTH(D712)</f>
        <v>6</v>
      </c>
      <c r="R712" s="0" t="str">
        <f aca="false">"Q"&amp;ROUNDUP(MONTH(D712)/3,0)</f>
        <v>Q2</v>
      </c>
    </row>
    <row r="713" customFormat="false" ht="141" hidden="false" customHeight="false" outlineLevel="0" collapsed="false">
      <c r="A713" s="7" t="s">
        <v>2019</v>
      </c>
      <c r="B713" s="7" t="s">
        <v>2020</v>
      </c>
      <c r="C713" s="13" t="s">
        <v>2021</v>
      </c>
      <c r="D713" s="11" t="n">
        <v>46175</v>
      </c>
      <c r="E713" s="12" t="n">
        <v>0.791666666700625</v>
      </c>
      <c r="F713" s="11" t="n">
        <v>46176</v>
      </c>
      <c r="G713" s="12" t="n">
        <v>0.75</v>
      </c>
      <c r="H713" s="10" t="n">
        <v>46173.906234375</v>
      </c>
      <c r="I713" s="7" t="n">
        <v>6500</v>
      </c>
      <c r="J713" s="0" t="n">
        <f aca="false">IF(AND(D713&gt;=DATE(YEAR(D713),3,15),D713&lt;=DATE(YEAR(D713),6,10)),1,0)</f>
        <v>1</v>
      </c>
      <c r="K713" s="0" t="e">
        <f aca="false">VLOOKUP(D713,Festival_List!$A$2:$B$100,2,0)</f>
        <v>#N/A</v>
      </c>
      <c r="L713" s="0" t="n">
        <f aca="false">ROUND(((F713+G713)-(D713+E713))*24,0)</f>
        <v>23</v>
      </c>
      <c r="M713" s="0" t="n">
        <f aca="false">IF(OR(WEEKDAY(D713)=1,WEEKDAY(D713)=7),1,0)</f>
        <v>0</v>
      </c>
      <c r="N713" s="0" t="str">
        <f aca="false">IF(AND(MONTH(D713)&gt;=3,MONTH(D713)&lt;=6),"Summer",IF(AND(MONTH(D713)&gt;=7,MONTH(D713)&lt;=9),"Monsoon","Winter"))</f>
        <v>Summer</v>
      </c>
      <c r="O713" s="0" t="str">
        <f aca="false">IF(AND(L713&gt;=22,L713&lt;=25,E713&gt;=TIME(18,0,0)),"24H Night", IF(AND(L713&gt;=22,L713&lt;=25,E713&lt;TIME(18,0,0)),"24H Day", IF(AND(L713&gt;=11,L713&lt;=13,E713&gt;=TIME(18,0,0)),"12H Night", IF(AND(L713&gt;=11,L713&lt;=13,E713&lt;TIME(18,0,0)),"12H Day", IF(AND(L713&lt;10,E713&gt;=TIME(18,0,0)),"Couple Night", "Couple Day")))))</f>
        <v>24H Night</v>
      </c>
      <c r="P713" s="0" t="n">
        <f aca="false">WEEKDAY(D713,2)</f>
        <v>2</v>
      </c>
      <c r="Q713" s="0" t="n">
        <f aca="false">MONTH(D713)</f>
        <v>6</v>
      </c>
      <c r="R713" s="0" t="str">
        <f aca="false">"Q"&amp;ROUNDUP(MONTH(D713)/3,0)</f>
        <v>Q2</v>
      </c>
    </row>
    <row r="714" customFormat="false" ht="141" hidden="false" customHeight="false" outlineLevel="0" collapsed="false">
      <c r="A714" s="7" t="s">
        <v>2022</v>
      </c>
      <c r="B714" s="7" t="s">
        <v>2023</v>
      </c>
      <c r="C714" s="13" t="s">
        <v>2024</v>
      </c>
      <c r="D714" s="11" t="n">
        <v>46176</v>
      </c>
      <c r="E714" s="12" t="n">
        <v>0.791666666700625</v>
      </c>
      <c r="F714" s="11" t="n">
        <v>46177</v>
      </c>
      <c r="G714" s="12" t="n">
        <v>0.75</v>
      </c>
      <c r="H714" s="10" t="n">
        <v>46175.5498346065</v>
      </c>
      <c r="I714" s="7" t="n">
        <v>6000</v>
      </c>
      <c r="J714" s="0" t="n">
        <f aca="false">IF(AND(D714&gt;=DATE(YEAR(D714),3,15),D714&lt;=DATE(YEAR(D714),6,10)),1,0)</f>
        <v>1</v>
      </c>
      <c r="K714" s="0" t="e">
        <f aca="false">VLOOKUP(D714,Festival_List!$A$2:$B$100,2,0)</f>
        <v>#N/A</v>
      </c>
      <c r="L714" s="0" t="n">
        <f aca="false">ROUND(((F714+G714)-(D714+E714))*24,0)</f>
        <v>23</v>
      </c>
      <c r="M714" s="0" t="n">
        <f aca="false">IF(OR(WEEKDAY(D714)=1,WEEKDAY(D714)=7),1,0)</f>
        <v>0</v>
      </c>
      <c r="N714" s="0" t="str">
        <f aca="false">IF(AND(MONTH(D714)&gt;=3,MONTH(D714)&lt;=6),"Summer",IF(AND(MONTH(D714)&gt;=7,MONTH(D714)&lt;=9),"Monsoon","Winter"))</f>
        <v>Summer</v>
      </c>
      <c r="O714" s="0" t="str">
        <f aca="false">IF(AND(L714&gt;=22,L714&lt;=25,E714&gt;=TIME(18,0,0)),"24H Night", IF(AND(L714&gt;=22,L714&lt;=25,E714&lt;TIME(18,0,0)),"24H Day", IF(AND(L714&gt;=11,L714&lt;=13,E714&gt;=TIME(18,0,0)),"12H Night", IF(AND(L714&gt;=11,L714&lt;=13,E714&lt;TIME(18,0,0)),"12H Day", IF(AND(L714&lt;10,E714&gt;=TIME(18,0,0)),"Couple Night", "Couple Day")))))</f>
        <v>24H Night</v>
      </c>
      <c r="P714" s="0" t="n">
        <f aca="false">WEEKDAY(D714,2)</f>
        <v>3</v>
      </c>
      <c r="Q714" s="0" t="n">
        <f aca="false">MONTH(D714)</f>
        <v>6</v>
      </c>
      <c r="R714" s="0" t="str">
        <f aca="false">"Q"&amp;ROUNDUP(MONTH(D714)/3,0)</f>
        <v>Q2</v>
      </c>
    </row>
    <row r="715" customFormat="false" ht="166.4" hidden="false" customHeight="false" outlineLevel="0" collapsed="false">
      <c r="A715" s="7" t="s">
        <v>2025</v>
      </c>
      <c r="B715" s="7" t="s">
        <v>2026</v>
      </c>
      <c r="C715" s="13" t="s">
        <v>2027</v>
      </c>
      <c r="D715" s="11" t="n">
        <v>46177</v>
      </c>
      <c r="E715" s="12" t="n">
        <v>0.791666666700625</v>
      </c>
      <c r="F715" s="11" t="n">
        <v>46178</v>
      </c>
      <c r="G715" s="12" t="n">
        <v>0.75</v>
      </c>
      <c r="H715" s="10" t="n">
        <v>46174.9249997685</v>
      </c>
      <c r="I715" s="7" t="n">
        <v>6500</v>
      </c>
      <c r="J715" s="0" t="n">
        <f aca="false">IF(AND(D715&gt;=DATE(YEAR(D715),3,15),D715&lt;=DATE(YEAR(D715),6,10)),1,0)</f>
        <v>1</v>
      </c>
      <c r="K715" s="0" t="e">
        <f aca="false">VLOOKUP(D715,Festival_List!$A$2:$B$100,2,0)</f>
        <v>#N/A</v>
      </c>
      <c r="L715" s="0" t="n">
        <f aca="false">ROUND(((F715+G715)-(D715+E715))*24,0)</f>
        <v>23</v>
      </c>
      <c r="M715" s="0" t="n">
        <f aca="false">IF(OR(WEEKDAY(D715)=1,WEEKDAY(D715)=7),1,0)</f>
        <v>0</v>
      </c>
      <c r="N715" s="0" t="str">
        <f aca="false">IF(AND(MONTH(D715)&gt;=3,MONTH(D715)&lt;=6),"Summer",IF(AND(MONTH(D715)&gt;=7,MONTH(D715)&lt;=9),"Monsoon","Winter"))</f>
        <v>Summer</v>
      </c>
      <c r="O715" s="0" t="str">
        <f aca="false">IF(AND(L715&gt;=22,L715&lt;=25,E715&gt;=TIME(18,0,0)),"24H Night", IF(AND(L715&gt;=22,L715&lt;=25,E715&lt;TIME(18,0,0)),"24H Day", IF(AND(L715&gt;=11,L715&lt;=13,E715&gt;=TIME(18,0,0)),"12H Night", IF(AND(L715&gt;=11,L715&lt;=13,E715&lt;TIME(18,0,0)),"12H Day", IF(AND(L715&lt;10,E715&gt;=TIME(18,0,0)),"Couple Night", "Couple Day")))))</f>
        <v>24H Night</v>
      </c>
      <c r="P715" s="0" t="n">
        <f aca="false">WEEKDAY(D715,2)</f>
        <v>4</v>
      </c>
      <c r="Q715" s="0" t="n">
        <f aca="false">MONTH(D715)</f>
        <v>6</v>
      </c>
      <c r="R715" s="0" t="str">
        <f aca="false">"Q"&amp;ROUNDUP(MONTH(D715)/3,0)</f>
        <v>Q2</v>
      </c>
    </row>
    <row r="716" customFormat="false" ht="166.4" hidden="false" customHeight="false" outlineLevel="0" collapsed="false">
      <c r="A716" s="7" t="s">
        <v>2028</v>
      </c>
      <c r="B716" s="7" t="s">
        <v>2029</v>
      </c>
      <c r="C716" s="13" t="s">
        <v>2030</v>
      </c>
      <c r="D716" s="11" t="n">
        <v>46178</v>
      </c>
      <c r="E716" s="12" t="n">
        <v>0.791666666700625</v>
      </c>
      <c r="F716" s="11" t="n">
        <v>46179</v>
      </c>
      <c r="G716" s="12" t="n">
        <v>0.75</v>
      </c>
      <c r="H716" s="10" t="n">
        <v>46177.5542900463</v>
      </c>
      <c r="I716" s="7" t="n">
        <v>6500</v>
      </c>
      <c r="J716" s="0" t="n">
        <f aca="false">IF(AND(D716&gt;=DATE(YEAR(D716),3,15),D716&lt;=DATE(YEAR(D716),6,10)),1,0)</f>
        <v>1</v>
      </c>
      <c r="K716" s="0" t="e">
        <f aca="false">VLOOKUP(D716,Festival_List!$A$2:$B$100,2,0)</f>
        <v>#N/A</v>
      </c>
      <c r="L716" s="0" t="n">
        <f aca="false">ROUND(((F716+G716)-(D716+E716))*24,0)</f>
        <v>23</v>
      </c>
      <c r="M716" s="0" t="n">
        <f aca="false">IF(OR(WEEKDAY(D716)=1,WEEKDAY(D716)=7),1,0)</f>
        <v>0</v>
      </c>
      <c r="N716" s="0" t="str">
        <f aca="false">IF(AND(MONTH(D716)&gt;=3,MONTH(D716)&lt;=6),"Summer",IF(AND(MONTH(D716)&gt;=7,MONTH(D716)&lt;=9),"Monsoon","Winter"))</f>
        <v>Summer</v>
      </c>
      <c r="O716" s="0" t="str">
        <f aca="false">IF(AND(L716&gt;=22,L716&lt;=25,E716&gt;=TIME(18,0,0)),"24H Night", IF(AND(L716&gt;=22,L716&lt;=25,E716&lt;TIME(18,0,0)),"24H Day", IF(AND(L716&gt;=11,L716&lt;=13,E716&gt;=TIME(18,0,0)),"12H Night", IF(AND(L716&gt;=11,L716&lt;=13,E716&lt;TIME(18,0,0)),"12H Day", IF(AND(L716&lt;10,E716&gt;=TIME(18,0,0)),"Couple Night", "Couple Day")))))</f>
        <v>24H Night</v>
      </c>
      <c r="P716" s="0" t="n">
        <f aca="false">WEEKDAY(D716,2)</f>
        <v>5</v>
      </c>
      <c r="Q716" s="0" t="n">
        <f aca="false">MONTH(D716)</f>
        <v>6</v>
      </c>
      <c r="R716" s="0" t="str">
        <f aca="false">"Q"&amp;ROUNDUP(MONTH(D716)/3,0)</f>
        <v>Q2</v>
      </c>
    </row>
    <row r="717" customFormat="false" ht="141" hidden="false" customHeight="false" outlineLevel="0" collapsed="false">
      <c r="A717" s="7" t="s">
        <v>2031</v>
      </c>
      <c r="B717" s="7" t="s">
        <v>1689</v>
      </c>
      <c r="C717" s="13" t="s">
        <v>2032</v>
      </c>
      <c r="D717" s="11" t="n">
        <v>46179</v>
      </c>
      <c r="E717" s="12" t="n">
        <v>0.791666666700625</v>
      </c>
      <c r="F717" s="11" t="n">
        <v>46180</v>
      </c>
      <c r="G717" s="12" t="n">
        <v>0.75</v>
      </c>
      <c r="H717" s="10" t="n">
        <v>46188.6969821759</v>
      </c>
      <c r="I717" s="7" t="n">
        <v>14000</v>
      </c>
      <c r="J717" s="0" t="n">
        <f aca="false">IF(AND(D717&gt;=DATE(YEAR(D717),3,15),D717&lt;=DATE(YEAR(D717),6,10)),1,0)</f>
        <v>1</v>
      </c>
      <c r="K717" s="0" t="e">
        <f aca="false">VLOOKUP(D717,Festival_List!$A$2:$B$100,2,0)</f>
        <v>#N/A</v>
      </c>
      <c r="L717" s="0" t="n">
        <f aca="false">ROUND(((F717+G717)-(D717+E717))*24,0)</f>
        <v>23</v>
      </c>
      <c r="M717" s="0" t="n">
        <f aca="false">IF(OR(WEEKDAY(D717)=1,WEEKDAY(D717)=7),1,0)</f>
        <v>1</v>
      </c>
      <c r="N717" s="0" t="str">
        <f aca="false">IF(AND(MONTH(D717)&gt;=3,MONTH(D717)&lt;=6),"Summer",IF(AND(MONTH(D717)&gt;=7,MONTH(D717)&lt;=9),"Monsoon","Winter"))</f>
        <v>Summer</v>
      </c>
      <c r="O717" s="0" t="str">
        <f aca="false">IF(AND(L717&gt;=22,L717&lt;=25,E717&gt;=TIME(18,0,0)),"24H Night", IF(AND(L717&gt;=22,L717&lt;=25,E717&lt;TIME(18,0,0)),"24H Day", IF(AND(L717&gt;=11,L717&lt;=13,E717&gt;=TIME(18,0,0)),"12H Night", IF(AND(L717&gt;=11,L717&lt;=13,E717&lt;TIME(18,0,0)),"12H Day", IF(AND(L717&lt;10,E717&gt;=TIME(18,0,0)),"Couple Night", "Couple Day")))))</f>
        <v>24H Night</v>
      </c>
      <c r="P717" s="0" t="n">
        <f aca="false">WEEKDAY(D717,2)</f>
        <v>6</v>
      </c>
      <c r="Q717" s="0" t="n">
        <f aca="false">MONTH(D717)</f>
        <v>6</v>
      </c>
      <c r="R717" s="0" t="str">
        <f aca="false">"Q"&amp;ROUNDUP(MONTH(D717)/3,0)</f>
        <v>Q2</v>
      </c>
    </row>
    <row r="718" customFormat="false" ht="115.65" hidden="false" customHeight="false" outlineLevel="0" collapsed="false">
      <c r="A718" s="7" t="s">
        <v>2033</v>
      </c>
      <c r="B718" s="7" t="s">
        <v>2034</v>
      </c>
      <c r="C718" s="13" t="s">
        <v>2035</v>
      </c>
      <c r="D718" s="11" t="n">
        <v>46180</v>
      </c>
      <c r="E718" s="12" t="n">
        <v>0.791666666700625</v>
      </c>
      <c r="F718" s="11" t="n">
        <v>46181</v>
      </c>
      <c r="G718" s="12" t="n">
        <v>0.75</v>
      </c>
      <c r="H718" s="10" t="n">
        <v>46179.6640230324</v>
      </c>
      <c r="I718" s="7" t="n">
        <v>5000</v>
      </c>
      <c r="J718" s="0" t="n">
        <f aca="false">IF(AND(D718&gt;=DATE(YEAR(D718),3,15),D718&lt;=DATE(YEAR(D718),6,10)),1,0)</f>
        <v>1</v>
      </c>
      <c r="K718" s="0" t="e">
        <f aca="false">VLOOKUP(D718,Festival_List!$A$2:$B$100,2,0)</f>
        <v>#N/A</v>
      </c>
      <c r="L718" s="0" t="n">
        <f aca="false">ROUND(((F718+G718)-(D718+E718))*24,0)</f>
        <v>23</v>
      </c>
      <c r="M718" s="0" t="n">
        <f aca="false">IF(OR(WEEKDAY(D718)=1,WEEKDAY(D718)=7),1,0)</f>
        <v>1</v>
      </c>
      <c r="N718" s="0" t="str">
        <f aca="false">IF(AND(MONTH(D718)&gt;=3,MONTH(D718)&lt;=6),"Summer",IF(AND(MONTH(D718)&gt;=7,MONTH(D718)&lt;=9),"Monsoon","Winter"))</f>
        <v>Summer</v>
      </c>
      <c r="O718" s="0" t="str">
        <f aca="false">IF(AND(L718&gt;=22,L718&lt;=25,E718&gt;=TIME(18,0,0)),"24H Night", IF(AND(L718&gt;=22,L718&lt;=25,E718&lt;TIME(18,0,0)),"24H Day", IF(AND(L718&gt;=11,L718&lt;=13,E718&gt;=TIME(18,0,0)),"12H Night", IF(AND(L718&gt;=11,L718&lt;=13,E718&lt;TIME(18,0,0)),"12H Day", IF(AND(L718&lt;10,E718&gt;=TIME(18,0,0)),"Couple Night", "Couple Day")))))</f>
        <v>24H Night</v>
      </c>
      <c r="P718" s="0" t="n">
        <f aca="false">WEEKDAY(D718,2)</f>
        <v>7</v>
      </c>
      <c r="Q718" s="0" t="n">
        <f aca="false">MONTH(D718)</f>
        <v>6</v>
      </c>
      <c r="R718" s="0" t="str">
        <f aca="false">"Q"&amp;ROUNDUP(MONTH(D718)/3,0)</f>
        <v>Q2</v>
      </c>
    </row>
    <row r="719" customFormat="false" ht="115.65" hidden="false" customHeight="false" outlineLevel="0" collapsed="false">
      <c r="A719" s="7" t="s">
        <v>2036</v>
      </c>
      <c r="B719" s="7" t="s">
        <v>2037</v>
      </c>
      <c r="C719" s="13" t="s">
        <v>2038</v>
      </c>
      <c r="D719" s="11" t="n">
        <v>46181</v>
      </c>
      <c r="E719" s="12" t="n">
        <v>0.791666666700625</v>
      </c>
      <c r="F719" s="11" t="n">
        <v>46182</v>
      </c>
      <c r="G719" s="12" t="n">
        <v>0.75</v>
      </c>
      <c r="H719" s="10" t="n">
        <v>46187.8019342593</v>
      </c>
      <c r="I719" s="7" t="n">
        <v>5200</v>
      </c>
      <c r="J719" s="0" t="n">
        <f aca="false">IF(AND(D719&gt;=DATE(YEAR(D719),3,15),D719&lt;=DATE(YEAR(D719),6,10)),1,0)</f>
        <v>1</v>
      </c>
      <c r="K719" s="0" t="e">
        <f aca="false">VLOOKUP(D719,Festival_List!$A$2:$B$100,2,0)</f>
        <v>#N/A</v>
      </c>
      <c r="L719" s="0" t="n">
        <f aca="false">ROUND(((F719+G719)-(D719+E719))*24,0)</f>
        <v>23</v>
      </c>
      <c r="M719" s="0" t="n">
        <f aca="false">IF(OR(WEEKDAY(D719)=1,WEEKDAY(D719)=7),1,0)</f>
        <v>0</v>
      </c>
      <c r="N719" s="0" t="str">
        <f aca="false">IF(AND(MONTH(D719)&gt;=3,MONTH(D719)&lt;=6),"Summer",IF(AND(MONTH(D719)&gt;=7,MONTH(D719)&lt;=9),"Monsoon","Winter"))</f>
        <v>Summer</v>
      </c>
      <c r="O719" s="0" t="str">
        <f aca="false">IF(AND(L719&gt;=22,L719&lt;=25,E719&gt;=TIME(18,0,0)),"24H Night", IF(AND(L719&gt;=22,L719&lt;=25,E719&lt;TIME(18,0,0)),"24H Day", IF(AND(L719&gt;=11,L719&lt;=13,E719&gt;=TIME(18,0,0)),"12H Night", IF(AND(L719&gt;=11,L719&lt;=13,E719&lt;TIME(18,0,0)),"12H Day", IF(AND(L719&lt;10,E719&gt;=TIME(18,0,0)),"Couple Night", "Couple Day")))))</f>
        <v>24H Night</v>
      </c>
      <c r="P719" s="0" t="n">
        <f aca="false">WEEKDAY(D719,2)</f>
        <v>1</v>
      </c>
      <c r="Q719" s="0" t="n">
        <f aca="false">MONTH(D719)</f>
        <v>6</v>
      </c>
      <c r="R719" s="0" t="str">
        <f aca="false">"Q"&amp;ROUNDUP(MONTH(D719)/3,0)</f>
        <v>Q2</v>
      </c>
    </row>
    <row r="720" customFormat="false" ht="115.65" hidden="false" customHeight="false" outlineLevel="0" collapsed="false">
      <c r="A720" s="7" t="s">
        <v>2039</v>
      </c>
      <c r="B720" s="7" t="s">
        <v>2040</v>
      </c>
      <c r="C720" s="13" t="s">
        <v>2041</v>
      </c>
      <c r="D720" s="11" t="n">
        <v>46182</v>
      </c>
      <c r="E720" s="12" t="n">
        <v>0.791666666700625</v>
      </c>
      <c r="F720" s="11" t="n">
        <v>46183</v>
      </c>
      <c r="G720" s="12" t="n">
        <v>0.75</v>
      </c>
      <c r="H720" s="10" t="n">
        <v>46179.9619395833</v>
      </c>
      <c r="I720" s="7" t="n">
        <v>5000</v>
      </c>
      <c r="J720" s="0" t="n">
        <f aca="false">IF(AND(D720&gt;=DATE(YEAR(D720),3,15),D720&lt;=DATE(YEAR(D720),6,10)),1,0)</f>
        <v>1</v>
      </c>
      <c r="K720" s="0" t="e">
        <f aca="false">VLOOKUP(D720,Festival_List!$A$2:$B$100,2,0)</f>
        <v>#N/A</v>
      </c>
      <c r="L720" s="0" t="n">
        <f aca="false">ROUND(((F720+G720)-(D720+E720))*24,0)</f>
        <v>23</v>
      </c>
      <c r="M720" s="0" t="n">
        <f aca="false">IF(OR(WEEKDAY(D720)=1,WEEKDAY(D720)=7),1,0)</f>
        <v>0</v>
      </c>
      <c r="N720" s="0" t="str">
        <f aca="false">IF(AND(MONTH(D720)&gt;=3,MONTH(D720)&lt;=6),"Summer",IF(AND(MONTH(D720)&gt;=7,MONTH(D720)&lt;=9),"Monsoon","Winter"))</f>
        <v>Summer</v>
      </c>
      <c r="O720" s="0" t="str">
        <f aca="false">IF(AND(L720&gt;=22,L720&lt;=25,E720&gt;=TIME(18,0,0)),"24H Night", IF(AND(L720&gt;=22,L720&lt;=25,E720&lt;TIME(18,0,0)),"24H Day", IF(AND(L720&gt;=11,L720&lt;=13,E720&gt;=TIME(18,0,0)),"12H Night", IF(AND(L720&gt;=11,L720&lt;=13,E720&lt;TIME(18,0,0)),"12H Day", IF(AND(L720&lt;10,E720&gt;=TIME(18,0,0)),"Couple Night", "Couple Day")))))</f>
        <v>24H Night</v>
      </c>
      <c r="P720" s="0" t="n">
        <f aca="false">WEEKDAY(D720,2)</f>
        <v>2</v>
      </c>
      <c r="Q720" s="0" t="n">
        <f aca="false">MONTH(D720)</f>
        <v>6</v>
      </c>
      <c r="R720" s="0" t="str">
        <f aca="false">"Q"&amp;ROUNDUP(MONTH(D720)/3,0)</f>
        <v>Q2</v>
      </c>
    </row>
    <row r="721" customFormat="false" ht="115.65" hidden="false" customHeight="false" outlineLevel="0" collapsed="false">
      <c r="A721" s="7" t="s">
        <v>2042</v>
      </c>
      <c r="B721" s="7" t="s">
        <v>2043</v>
      </c>
      <c r="C721" s="13" t="s">
        <v>2044</v>
      </c>
      <c r="D721" s="11" t="n">
        <v>46184</v>
      </c>
      <c r="E721" s="12" t="n">
        <v>0.375</v>
      </c>
      <c r="F721" s="11" t="n">
        <v>46184</v>
      </c>
      <c r="G721" s="12" t="n">
        <v>0.75</v>
      </c>
      <c r="H721" s="10" t="n">
        <v>46182.9413770833</v>
      </c>
      <c r="I721" s="7" t="n">
        <v>4000</v>
      </c>
      <c r="J721" s="0" t="n">
        <f aca="false">IF(AND(D721&gt;=DATE(YEAR(D721),3,15),D721&lt;=DATE(YEAR(D721),6,10)),1,0)</f>
        <v>0</v>
      </c>
      <c r="K721" s="0" t="e">
        <f aca="false">VLOOKUP(D721,Festival_List!$A$2:$B$100,2,0)</f>
        <v>#N/A</v>
      </c>
      <c r="L721" s="0" t="n">
        <f aca="false">ROUND(((F721+G721)-(D721+E721))*24,0)</f>
        <v>9</v>
      </c>
      <c r="M721" s="0" t="n">
        <f aca="false">IF(OR(WEEKDAY(D721)=1,WEEKDAY(D721)=7),1,0)</f>
        <v>0</v>
      </c>
      <c r="N721" s="0" t="str">
        <f aca="false">IF(AND(MONTH(D721)&gt;=3,MONTH(D721)&lt;=6),"Summer",IF(AND(MONTH(D721)&gt;=7,MONTH(D721)&lt;=9),"Monsoon","Winter"))</f>
        <v>Summer</v>
      </c>
      <c r="O721" s="0" t="str">
        <f aca="false">IF(AND(L721&gt;=22,L721&lt;=25,E721&gt;=TIME(18,0,0)),"24H Night", IF(AND(L721&gt;=22,L721&lt;=25,E721&lt;TIME(18,0,0)),"24H Day", IF(AND(L721&gt;=11,L721&lt;=13,E721&gt;=TIME(18,0,0)),"12H Night", IF(AND(L721&gt;=11,L721&lt;=13,E721&lt;TIME(18,0,0)),"12H Day", IF(AND(L721&lt;10,E721&gt;=TIME(18,0,0)),"Couple Night", "Couple Day")))))</f>
        <v>Couple Day</v>
      </c>
      <c r="P721" s="0" t="n">
        <f aca="false">WEEKDAY(D721,2)</f>
        <v>4</v>
      </c>
      <c r="Q721" s="0" t="n">
        <f aca="false">MONTH(D721)</f>
        <v>6</v>
      </c>
      <c r="R721" s="0" t="str">
        <f aca="false">"Q"&amp;ROUNDUP(MONTH(D721)/3,0)</f>
        <v>Q2</v>
      </c>
    </row>
    <row r="722" customFormat="false" ht="115.65" hidden="false" customHeight="false" outlineLevel="0" collapsed="false">
      <c r="A722" s="7" t="s">
        <v>2045</v>
      </c>
      <c r="B722" s="7" t="s">
        <v>2046</v>
      </c>
      <c r="C722" s="13" t="s">
        <v>1804</v>
      </c>
      <c r="D722" s="11" t="n">
        <v>46184</v>
      </c>
      <c r="E722" s="12" t="n">
        <v>0.791666666700625</v>
      </c>
      <c r="F722" s="11" t="n">
        <v>46185</v>
      </c>
      <c r="G722" s="12" t="n">
        <v>0.75</v>
      </c>
      <c r="H722" s="10" t="n">
        <v>46180.9874612269</v>
      </c>
      <c r="I722" s="7" t="n">
        <v>5000</v>
      </c>
      <c r="J722" s="0" t="n">
        <f aca="false">IF(AND(D722&gt;=DATE(YEAR(D722),3,15),D722&lt;=DATE(YEAR(D722),6,10)),1,0)</f>
        <v>0</v>
      </c>
      <c r="K722" s="0" t="e">
        <f aca="false">VLOOKUP(D722,Festival_List!$A$2:$B$100,2,0)</f>
        <v>#N/A</v>
      </c>
      <c r="L722" s="0" t="n">
        <f aca="false">ROUND(((F722+G722)-(D722+E722))*24,0)</f>
        <v>23</v>
      </c>
      <c r="M722" s="0" t="n">
        <f aca="false">IF(OR(WEEKDAY(D722)=1,WEEKDAY(D722)=7),1,0)</f>
        <v>0</v>
      </c>
      <c r="N722" s="0" t="str">
        <f aca="false">IF(AND(MONTH(D722)&gt;=3,MONTH(D722)&lt;=6),"Summer",IF(AND(MONTH(D722)&gt;=7,MONTH(D722)&lt;=9),"Monsoon","Winter"))</f>
        <v>Summer</v>
      </c>
      <c r="O722" s="0" t="str">
        <f aca="false">IF(AND(L722&gt;=22,L722&lt;=25,E722&gt;=TIME(18,0,0)),"24H Night", IF(AND(L722&gt;=22,L722&lt;=25,E722&lt;TIME(18,0,0)),"24H Day", IF(AND(L722&gt;=11,L722&lt;=13,E722&gt;=TIME(18,0,0)),"12H Night", IF(AND(L722&gt;=11,L722&lt;=13,E722&lt;TIME(18,0,0)),"12H Day", IF(AND(L722&lt;10,E722&gt;=TIME(18,0,0)),"Couple Night", "Couple Day")))))</f>
        <v>24H Night</v>
      </c>
      <c r="P722" s="0" t="n">
        <f aca="false">WEEKDAY(D722,2)</f>
        <v>4</v>
      </c>
      <c r="Q722" s="0" t="n">
        <f aca="false">MONTH(D722)</f>
        <v>6</v>
      </c>
      <c r="R722" s="0" t="str">
        <f aca="false">"Q"&amp;ROUNDUP(MONTH(D722)/3,0)</f>
        <v>Q2</v>
      </c>
    </row>
    <row r="723" customFormat="false" ht="141" hidden="false" customHeight="false" outlineLevel="0" collapsed="false">
      <c r="A723" s="7" t="s">
        <v>2047</v>
      </c>
      <c r="B723" s="7" t="s">
        <v>2048</v>
      </c>
      <c r="C723" s="13" t="s">
        <v>2049</v>
      </c>
      <c r="D723" s="11" t="n">
        <v>46185</v>
      </c>
      <c r="E723" s="12" t="n">
        <v>0.791666666700625</v>
      </c>
      <c r="F723" s="11" t="n">
        <v>46186</v>
      </c>
      <c r="G723" s="12" t="n">
        <v>0.75</v>
      </c>
      <c r="H723" s="10" t="n">
        <v>46189.254840162</v>
      </c>
      <c r="I723" s="7" t="n">
        <v>4500</v>
      </c>
      <c r="J723" s="0" t="n">
        <f aca="false">IF(AND(D723&gt;=DATE(YEAR(D723),3,15),D723&lt;=DATE(YEAR(D723),6,10)),1,0)</f>
        <v>0</v>
      </c>
      <c r="K723" s="0" t="e">
        <f aca="false">VLOOKUP(D723,Festival_List!$A$2:$B$100,2,0)</f>
        <v>#N/A</v>
      </c>
      <c r="L723" s="0" t="n">
        <f aca="false">ROUND(((F723+G723)-(D723+E723))*24,0)</f>
        <v>23</v>
      </c>
      <c r="M723" s="0" t="n">
        <f aca="false">IF(OR(WEEKDAY(D723)=1,WEEKDAY(D723)=7),1,0)</f>
        <v>0</v>
      </c>
      <c r="N723" s="0" t="str">
        <f aca="false">IF(AND(MONTH(D723)&gt;=3,MONTH(D723)&lt;=6),"Summer",IF(AND(MONTH(D723)&gt;=7,MONTH(D723)&lt;=9),"Monsoon","Winter"))</f>
        <v>Summer</v>
      </c>
      <c r="O723" s="0" t="str">
        <f aca="false">IF(AND(L723&gt;=22,L723&lt;=25,E723&gt;=TIME(18,0,0)),"24H Night", IF(AND(L723&gt;=22,L723&lt;=25,E723&lt;TIME(18,0,0)),"24H Day", IF(AND(L723&gt;=11,L723&lt;=13,E723&gt;=TIME(18,0,0)),"12H Night", IF(AND(L723&gt;=11,L723&lt;=13,E723&lt;TIME(18,0,0)),"12H Day", IF(AND(L723&lt;10,E723&gt;=TIME(18,0,0)),"Couple Night", "Couple Day")))))</f>
        <v>24H Night</v>
      </c>
      <c r="P723" s="0" t="n">
        <f aca="false">WEEKDAY(D723,2)</f>
        <v>5</v>
      </c>
      <c r="Q723" s="0" t="n">
        <f aca="false">MONTH(D723)</f>
        <v>6</v>
      </c>
      <c r="R723" s="0" t="str">
        <f aca="false">"Q"&amp;ROUNDUP(MONTH(D723)/3,0)</f>
        <v>Q2</v>
      </c>
    </row>
    <row r="724" customFormat="false" ht="141" hidden="false" customHeight="false" outlineLevel="0" collapsed="false">
      <c r="A724" s="7" t="s">
        <v>2050</v>
      </c>
      <c r="B724" s="7" t="s">
        <v>2051</v>
      </c>
      <c r="C724" s="13" t="s">
        <v>2052</v>
      </c>
      <c r="D724" s="11" t="n">
        <v>46186</v>
      </c>
      <c r="E724" s="12" t="n">
        <v>0.791666666700625</v>
      </c>
      <c r="F724" s="11" t="n">
        <v>46187</v>
      </c>
      <c r="G724" s="12" t="n">
        <v>0.75</v>
      </c>
      <c r="H724" s="10" t="n">
        <v>46189.2542277778</v>
      </c>
      <c r="I724" s="7" t="n">
        <v>10000</v>
      </c>
      <c r="J724" s="0" t="n">
        <f aca="false">IF(AND(D724&gt;=DATE(YEAR(D724),3,15),D724&lt;=DATE(YEAR(D724),6,10)),1,0)</f>
        <v>0</v>
      </c>
      <c r="K724" s="0" t="e">
        <f aca="false">VLOOKUP(D724,Festival_List!$A$2:$B$100,2,0)</f>
        <v>#N/A</v>
      </c>
      <c r="L724" s="0" t="n">
        <f aca="false">ROUND(((F724+G724)-(D724+E724))*24,0)</f>
        <v>23</v>
      </c>
      <c r="M724" s="0" t="n">
        <f aca="false">IF(OR(WEEKDAY(D724)=1,WEEKDAY(D724)=7),1,0)</f>
        <v>1</v>
      </c>
      <c r="N724" s="0" t="str">
        <f aca="false">IF(AND(MONTH(D724)&gt;=3,MONTH(D724)&lt;=6),"Summer",IF(AND(MONTH(D724)&gt;=7,MONTH(D724)&lt;=9),"Monsoon","Winter"))</f>
        <v>Summer</v>
      </c>
      <c r="O724" s="0" t="str">
        <f aca="false">IF(AND(L724&gt;=22,L724&lt;=25,E724&gt;=TIME(18,0,0)),"24H Night", IF(AND(L724&gt;=22,L724&lt;=25,E724&lt;TIME(18,0,0)),"24H Day", IF(AND(L724&gt;=11,L724&lt;=13,E724&gt;=TIME(18,0,0)),"12H Night", IF(AND(L724&gt;=11,L724&lt;=13,E724&lt;TIME(18,0,0)),"12H Day", IF(AND(L724&lt;10,E724&gt;=TIME(18,0,0)),"Couple Night", "Couple Day")))))</f>
        <v>24H Night</v>
      </c>
      <c r="P724" s="0" t="n">
        <f aca="false">WEEKDAY(D724,2)</f>
        <v>6</v>
      </c>
      <c r="Q724" s="0" t="n">
        <f aca="false">MONTH(D724)</f>
        <v>6</v>
      </c>
      <c r="R724" s="0" t="str">
        <f aca="false">"Q"&amp;ROUNDUP(MONTH(D724)/3,0)</f>
        <v>Q2</v>
      </c>
    </row>
    <row r="725" customFormat="false" ht="141" hidden="false" customHeight="false" outlineLevel="0" collapsed="false">
      <c r="A725" s="7" t="s">
        <v>2053</v>
      </c>
      <c r="B725" s="7" t="s">
        <v>2054</v>
      </c>
      <c r="C725" s="13" t="s">
        <v>2055</v>
      </c>
      <c r="D725" s="11" t="n">
        <v>46187</v>
      </c>
      <c r="E725" s="12" t="n">
        <v>0.791666666700625</v>
      </c>
      <c r="F725" s="11" t="n">
        <v>46188</v>
      </c>
      <c r="G725" s="12" t="n">
        <v>0.333333333299375</v>
      </c>
      <c r="H725" s="10" t="n">
        <v>46188.5553280093</v>
      </c>
      <c r="I725" s="7" t="n">
        <v>3000</v>
      </c>
      <c r="J725" s="0" t="n">
        <f aca="false">IF(AND(D725&gt;=DATE(YEAR(D725),3,15),D725&lt;=DATE(YEAR(D725),6,10)),1,0)</f>
        <v>0</v>
      </c>
      <c r="K725" s="0" t="e">
        <f aca="false">VLOOKUP(D725,Festival_List!$A$2:$B$100,2,0)</f>
        <v>#N/A</v>
      </c>
      <c r="L725" s="0" t="n">
        <f aca="false">ROUND(((F725+G725)-(D725+E725))*24,0)</f>
        <v>13</v>
      </c>
      <c r="M725" s="0" t="n">
        <f aca="false">IF(OR(WEEKDAY(D725)=1,WEEKDAY(D725)=7),1,0)</f>
        <v>1</v>
      </c>
      <c r="N725" s="0" t="str">
        <f aca="false">IF(AND(MONTH(D725)&gt;=3,MONTH(D725)&lt;=6),"Summer",IF(AND(MONTH(D725)&gt;=7,MONTH(D725)&lt;=9),"Monsoon","Winter"))</f>
        <v>Summer</v>
      </c>
      <c r="O725" s="0" t="str">
        <f aca="false">IF(AND(L725&gt;=22,L725&lt;=25,E725&gt;=TIME(18,0,0)),"24H Night", IF(AND(L725&gt;=22,L725&lt;=25,E725&lt;TIME(18,0,0)),"24H Day", IF(AND(L725&gt;=11,L725&lt;=13,E725&gt;=TIME(18,0,0)),"12H Night", IF(AND(L725&gt;=11,L725&lt;=13,E725&lt;TIME(18,0,0)),"12H Day", IF(AND(L725&lt;10,E725&gt;=TIME(18,0,0)),"Couple Night", "Couple Day")))))</f>
        <v>12H Night</v>
      </c>
      <c r="P725" s="0" t="n">
        <f aca="false">WEEKDAY(D725,2)</f>
        <v>7</v>
      </c>
      <c r="Q725" s="0" t="n">
        <f aca="false">MONTH(D725)</f>
        <v>6</v>
      </c>
      <c r="R725" s="0" t="str">
        <f aca="false">"Q"&amp;ROUNDUP(MONTH(D725)/3,0)</f>
        <v>Q2</v>
      </c>
    </row>
    <row r="726" customFormat="false" ht="141" hidden="false" customHeight="false" outlineLevel="0" collapsed="false">
      <c r="A726" s="7" t="s">
        <v>2056</v>
      </c>
      <c r="B726" s="7" t="s">
        <v>2057</v>
      </c>
      <c r="C726" s="13" t="s">
        <v>2058</v>
      </c>
      <c r="D726" s="11" t="n">
        <v>46188</v>
      </c>
      <c r="E726" s="12" t="n">
        <v>0.375</v>
      </c>
      <c r="F726" s="11" t="n">
        <v>46188</v>
      </c>
      <c r="G726" s="12" t="n">
        <v>0.75</v>
      </c>
      <c r="H726" s="10" t="n">
        <v>46189.2530393519</v>
      </c>
      <c r="I726" s="7" t="n">
        <v>1000</v>
      </c>
      <c r="J726" s="0" t="n">
        <f aca="false">IF(AND(D726&gt;=DATE(YEAR(D726),3,15),D726&lt;=DATE(YEAR(D726),6,10)),1,0)</f>
        <v>0</v>
      </c>
      <c r="K726" s="0" t="e">
        <f aca="false">VLOOKUP(D726,Festival_List!$A$2:$B$100,2,0)</f>
        <v>#N/A</v>
      </c>
      <c r="L726" s="0" t="n">
        <f aca="false">ROUND(((F726+G726)-(D726+E726))*24,0)</f>
        <v>9</v>
      </c>
      <c r="M726" s="0" t="n">
        <f aca="false">IF(OR(WEEKDAY(D726)=1,WEEKDAY(D726)=7),1,0)</f>
        <v>0</v>
      </c>
      <c r="N726" s="0" t="str">
        <f aca="false">IF(AND(MONTH(D726)&gt;=3,MONTH(D726)&lt;=6),"Summer",IF(AND(MONTH(D726)&gt;=7,MONTH(D726)&lt;=9),"Monsoon","Winter"))</f>
        <v>Summer</v>
      </c>
      <c r="O726" s="0" t="str">
        <f aca="false">IF(AND(L726&gt;=22,L726&lt;=25,E726&gt;=TIME(18,0,0)),"24H Night", IF(AND(L726&gt;=22,L726&lt;=25,E726&lt;TIME(18,0,0)),"24H Day", IF(AND(L726&gt;=11,L726&lt;=13,E726&gt;=TIME(18,0,0)),"12H Night", IF(AND(L726&gt;=11,L726&lt;=13,E726&lt;TIME(18,0,0)),"12H Day", IF(AND(L726&lt;10,E726&gt;=TIME(18,0,0)),"Couple Night", "Couple Day")))))</f>
        <v>Couple Day</v>
      </c>
      <c r="P726" s="0" t="n">
        <f aca="false">WEEKDAY(D726,2)</f>
        <v>1</v>
      </c>
      <c r="Q726" s="0" t="n">
        <f aca="false">MONTH(D726)</f>
        <v>6</v>
      </c>
      <c r="R726" s="0" t="str">
        <f aca="false">"Q"&amp;ROUNDUP(MONTH(D726)/3,0)</f>
        <v>Q2</v>
      </c>
    </row>
    <row r="727" customFormat="false" ht="141" hidden="false" customHeight="false" outlineLevel="0" collapsed="false">
      <c r="A727" s="7" t="s">
        <v>2059</v>
      </c>
      <c r="B727" s="7" t="s">
        <v>2060</v>
      </c>
      <c r="C727" s="13" t="s">
        <v>2061</v>
      </c>
      <c r="D727" s="11" t="n">
        <v>46188</v>
      </c>
      <c r="E727" s="12" t="n">
        <v>0.791666666700625</v>
      </c>
      <c r="F727" s="11" t="n">
        <v>46189</v>
      </c>
      <c r="G727" s="12" t="n">
        <v>0.75</v>
      </c>
      <c r="H727" s="10" t="n">
        <v>46188.5531569444</v>
      </c>
      <c r="I727" s="7" t="n">
        <v>4500</v>
      </c>
      <c r="J727" s="0" t="n">
        <f aca="false">IF(AND(D727&gt;=DATE(YEAR(D727),3,15),D727&lt;=DATE(YEAR(D727),6,10)),1,0)</f>
        <v>0</v>
      </c>
      <c r="K727" s="0" t="e">
        <f aca="false">VLOOKUP(D727,Festival_List!$A$2:$B$100,2,0)</f>
        <v>#N/A</v>
      </c>
      <c r="L727" s="0" t="n">
        <f aca="false">ROUND(((F727+G727)-(D727+E727))*24,0)</f>
        <v>23</v>
      </c>
      <c r="M727" s="0" t="n">
        <f aca="false">IF(OR(WEEKDAY(D727)=1,WEEKDAY(D727)=7),1,0)</f>
        <v>0</v>
      </c>
      <c r="N727" s="0" t="str">
        <f aca="false">IF(AND(MONTH(D727)&gt;=3,MONTH(D727)&lt;=6),"Summer",IF(AND(MONTH(D727)&gt;=7,MONTH(D727)&lt;=9),"Monsoon","Winter"))</f>
        <v>Summer</v>
      </c>
      <c r="O727" s="0" t="str">
        <f aca="false">IF(AND(L727&gt;=22,L727&lt;=25,E727&gt;=TIME(18,0,0)),"24H Night", IF(AND(L727&gt;=22,L727&lt;=25,E727&lt;TIME(18,0,0)),"24H Day", IF(AND(L727&gt;=11,L727&lt;=13,E727&gt;=TIME(18,0,0)),"12H Night", IF(AND(L727&gt;=11,L727&lt;=13,E727&lt;TIME(18,0,0)),"12H Day", IF(AND(L727&lt;10,E727&gt;=TIME(18,0,0)),"Couple Night", "Couple Day")))))</f>
        <v>24H Night</v>
      </c>
      <c r="P727" s="0" t="n">
        <f aca="false">WEEKDAY(D727,2)</f>
        <v>1</v>
      </c>
      <c r="Q727" s="0" t="n">
        <f aca="false">MONTH(D727)</f>
        <v>6</v>
      </c>
      <c r="R727" s="0" t="str">
        <f aca="false">"Q"&amp;ROUNDUP(MONTH(D727)/3,0)</f>
        <v>Q2</v>
      </c>
    </row>
    <row r="728" customFormat="false" ht="166.4" hidden="false" customHeight="false" outlineLevel="0" collapsed="false">
      <c r="A728" s="7" t="s">
        <v>2062</v>
      </c>
      <c r="B728" s="7" t="s">
        <v>2063</v>
      </c>
      <c r="C728" s="13" t="s">
        <v>2064</v>
      </c>
      <c r="D728" s="11" t="n">
        <v>46189</v>
      </c>
      <c r="E728" s="12" t="n">
        <v>0.791666666700625</v>
      </c>
      <c r="F728" s="11" t="n">
        <v>46190</v>
      </c>
      <c r="G728" s="12" t="n">
        <v>0.75</v>
      </c>
      <c r="H728" s="10" t="n">
        <v>46188.5527670139</v>
      </c>
      <c r="I728" s="7" t="n">
        <v>5000</v>
      </c>
      <c r="J728" s="0" t="n">
        <f aca="false">IF(AND(D728&gt;=DATE(YEAR(D728),3,15),D728&lt;=DATE(YEAR(D728),6,10)),1,0)</f>
        <v>0</v>
      </c>
      <c r="K728" s="0" t="e">
        <f aca="false">VLOOKUP(D728,Festival_List!$A$2:$B$100,2,0)</f>
        <v>#N/A</v>
      </c>
      <c r="L728" s="0" t="n">
        <f aca="false">ROUND(((F728+G728)-(D728+E728))*24,0)</f>
        <v>23</v>
      </c>
      <c r="M728" s="0" t="n">
        <f aca="false">IF(OR(WEEKDAY(D728)=1,WEEKDAY(D728)=7),1,0)</f>
        <v>0</v>
      </c>
      <c r="N728" s="0" t="str">
        <f aca="false">IF(AND(MONTH(D728)&gt;=3,MONTH(D728)&lt;=6),"Summer",IF(AND(MONTH(D728)&gt;=7,MONTH(D728)&lt;=9),"Monsoon","Winter"))</f>
        <v>Summer</v>
      </c>
      <c r="O728" s="0" t="str">
        <f aca="false">IF(AND(L728&gt;=22,L728&lt;=25,E728&gt;=TIME(18,0,0)),"24H Night", IF(AND(L728&gt;=22,L728&lt;=25,E728&lt;TIME(18,0,0)),"24H Day", IF(AND(L728&gt;=11,L728&lt;=13,E728&gt;=TIME(18,0,0)),"12H Night", IF(AND(L728&gt;=11,L728&lt;=13,E728&lt;TIME(18,0,0)),"12H Day", IF(AND(L728&lt;10,E728&gt;=TIME(18,0,0)),"Couple Night", "Couple Day")))))</f>
        <v>24H Night</v>
      </c>
      <c r="P728" s="0" t="n">
        <f aca="false">WEEKDAY(D728,2)</f>
        <v>2</v>
      </c>
      <c r="Q728" s="0" t="n">
        <f aca="false">MONTH(D728)</f>
        <v>6</v>
      </c>
      <c r="R728" s="0" t="str">
        <f aca="false">"Q"&amp;ROUNDUP(MONTH(D728)/3,0)</f>
        <v>Q2</v>
      </c>
    </row>
    <row r="729" customFormat="false" ht="128.35" hidden="false" customHeight="false" outlineLevel="0" collapsed="false">
      <c r="A729" s="7" t="s">
        <v>2065</v>
      </c>
      <c r="B729" s="7" t="s">
        <v>2066</v>
      </c>
      <c r="C729" s="13" t="s">
        <v>2067</v>
      </c>
      <c r="D729" s="11" t="n">
        <v>46190</v>
      </c>
      <c r="E729" s="12" t="n">
        <v>0.875</v>
      </c>
      <c r="F729" s="11" t="n">
        <v>46191</v>
      </c>
      <c r="G729" s="12" t="n">
        <v>0.333333333299375</v>
      </c>
      <c r="H729" s="10" t="n">
        <v>46191.4702541667</v>
      </c>
      <c r="I729" s="7" t="n">
        <v>2500</v>
      </c>
      <c r="J729" s="0" t="n">
        <f aca="false">IF(AND(D729&gt;=DATE(YEAR(D729),3,15),D729&lt;=DATE(YEAR(D729),6,10)),1,0)</f>
        <v>0</v>
      </c>
      <c r="K729" s="0" t="e">
        <f aca="false">VLOOKUP(D729,Festival_List!$A$2:$B$100,2,0)</f>
        <v>#N/A</v>
      </c>
      <c r="L729" s="0" t="n">
        <f aca="false">ROUND(((F729+G729)-(D729+E729))*24,0)</f>
        <v>11</v>
      </c>
      <c r="M729" s="0" t="n">
        <f aca="false">IF(OR(WEEKDAY(D729)=1,WEEKDAY(D729)=7),1,0)</f>
        <v>0</v>
      </c>
      <c r="N729" s="0" t="str">
        <f aca="false">IF(AND(MONTH(D729)&gt;=3,MONTH(D729)&lt;=6),"Summer",IF(AND(MONTH(D729)&gt;=7,MONTH(D729)&lt;=9),"Monsoon","Winter"))</f>
        <v>Summer</v>
      </c>
      <c r="O729" s="0" t="str">
        <f aca="false">IF(AND(L729&gt;=22,L729&lt;=25,E729&gt;=TIME(18,0,0)),"24H Night", IF(AND(L729&gt;=22,L729&lt;=25,E729&lt;TIME(18,0,0)),"24H Day", IF(AND(L729&gt;=11,L729&lt;=13,E729&gt;=TIME(18,0,0)),"12H Night", IF(AND(L729&gt;=11,L729&lt;=13,E729&lt;TIME(18,0,0)),"12H Day", IF(AND(L729&lt;10,E729&gt;=TIME(18,0,0)),"Couple Night", "Couple Day")))))</f>
        <v>12H Night</v>
      </c>
      <c r="P729" s="0" t="n">
        <f aca="false">WEEKDAY(D729,2)</f>
        <v>3</v>
      </c>
      <c r="Q729" s="0" t="n">
        <f aca="false">MONTH(D729)</f>
        <v>6</v>
      </c>
      <c r="R729" s="0" t="str">
        <f aca="false">"Q"&amp;ROUNDUP(MONTH(D729)/3,0)</f>
        <v>Q2</v>
      </c>
    </row>
    <row r="730" customFormat="false" ht="166.4" hidden="false" customHeight="false" outlineLevel="0" collapsed="false">
      <c r="A730" s="7" t="s">
        <v>2068</v>
      </c>
      <c r="B730" s="7" t="s">
        <v>2069</v>
      </c>
      <c r="C730" s="13" t="s">
        <v>2070</v>
      </c>
      <c r="D730" s="11" t="n">
        <v>46191</v>
      </c>
      <c r="E730" s="12" t="n">
        <v>0.791666666700625</v>
      </c>
      <c r="F730" s="11" t="n">
        <v>46192</v>
      </c>
      <c r="G730" s="12" t="n">
        <v>0.708333333299375</v>
      </c>
      <c r="H730" s="10" t="n">
        <v>46192.958015162</v>
      </c>
      <c r="I730" s="7" t="n">
        <v>4300</v>
      </c>
      <c r="J730" s="0" t="n">
        <f aca="false">IF(AND(D730&gt;=DATE(YEAR(D730),3,15),D730&lt;=DATE(YEAR(D730),6,10)),1,0)</f>
        <v>0</v>
      </c>
      <c r="K730" s="0" t="e">
        <f aca="false">VLOOKUP(D730,Festival_List!$A$2:$B$100,2,0)</f>
        <v>#N/A</v>
      </c>
      <c r="L730" s="0" t="n">
        <f aca="false">ROUND(((F730+G730)-(D730+E730))*24,0)</f>
        <v>22</v>
      </c>
      <c r="M730" s="0" t="n">
        <f aca="false">IF(OR(WEEKDAY(D730)=1,WEEKDAY(D730)=7),1,0)</f>
        <v>0</v>
      </c>
      <c r="N730" s="0" t="str">
        <f aca="false">IF(AND(MONTH(D730)&gt;=3,MONTH(D730)&lt;=6),"Summer",IF(AND(MONTH(D730)&gt;=7,MONTH(D730)&lt;=9),"Monsoon","Winter"))</f>
        <v>Summer</v>
      </c>
      <c r="O730" s="0" t="str">
        <f aca="false">IF(AND(L730&gt;=22,L730&lt;=25,E730&gt;=TIME(18,0,0)),"24H Night", IF(AND(L730&gt;=22,L730&lt;=25,E730&lt;TIME(18,0,0)),"24H Day", IF(AND(L730&gt;=11,L730&lt;=13,E730&gt;=TIME(18,0,0)),"12H Night", IF(AND(L730&gt;=11,L730&lt;=13,E730&lt;TIME(18,0,0)),"12H Day", IF(AND(L730&lt;10,E730&gt;=TIME(18,0,0)),"Couple Night", "Couple Day")))))</f>
        <v>24H Night</v>
      </c>
      <c r="P730" s="0" t="n">
        <f aca="false">WEEKDAY(D730,2)</f>
        <v>4</v>
      </c>
      <c r="Q730" s="0" t="n">
        <f aca="false">MONTH(D730)</f>
        <v>6</v>
      </c>
      <c r="R730" s="0" t="str">
        <f aca="false">"Q"&amp;ROUNDUP(MONTH(D730)/3,0)</f>
        <v>Q2</v>
      </c>
    </row>
    <row r="731" customFormat="false" ht="166.4" hidden="false" customHeight="false" outlineLevel="0" collapsed="false">
      <c r="A731" s="7" t="s">
        <v>2071</v>
      </c>
      <c r="B731" s="7" t="s">
        <v>2072</v>
      </c>
      <c r="C731" s="13" t="s">
        <v>2073</v>
      </c>
      <c r="D731" s="11" t="n">
        <v>46192</v>
      </c>
      <c r="E731" s="12" t="n">
        <v>0.791666666700625</v>
      </c>
      <c r="F731" s="11" t="n">
        <v>46193</v>
      </c>
      <c r="G731" s="12" t="n">
        <v>0.75</v>
      </c>
      <c r="H731" s="10" t="n">
        <v>46192.9577109954</v>
      </c>
      <c r="I731" s="7" t="n">
        <v>2000</v>
      </c>
      <c r="J731" s="0" t="n">
        <f aca="false">IF(AND(D731&gt;=DATE(YEAR(D731),3,15),D731&lt;=DATE(YEAR(D731),6,10)),1,0)</f>
        <v>0</v>
      </c>
      <c r="K731" s="0" t="e">
        <f aca="false">VLOOKUP(D731,Festival_List!$A$2:$B$100,2,0)</f>
        <v>#N/A</v>
      </c>
      <c r="L731" s="0" t="n">
        <f aca="false">ROUND(((F731+G731)-(D731+E731))*24,0)</f>
        <v>23</v>
      </c>
      <c r="M731" s="0" t="n">
        <f aca="false">IF(OR(WEEKDAY(D731)=1,WEEKDAY(D731)=7),1,0)</f>
        <v>0</v>
      </c>
      <c r="N731" s="0" t="str">
        <f aca="false">IF(AND(MONTH(D731)&gt;=3,MONTH(D731)&lt;=6),"Summer",IF(AND(MONTH(D731)&gt;=7,MONTH(D731)&lt;=9),"Monsoon","Winter"))</f>
        <v>Summer</v>
      </c>
      <c r="O731" s="0" t="str">
        <f aca="false">IF(AND(L731&gt;=22,L731&lt;=25,E731&gt;=TIME(18,0,0)),"24H Night", IF(AND(L731&gt;=22,L731&lt;=25,E731&lt;TIME(18,0,0)),"24H Day", IF(AND(L731&gt;=11,L731&lt;=13,E731&gt;=TIME(18,0,0)),"12H Night", IF(AND(L731&gt;=11,L731&lt;=13,E731&lt;TIME(18,0,0)),"12H Day", IF(AND(L731&lt;10,E731&gt;=TIME(18,0,0)),"Couple Night", "Couple Day")))))</f>
        <v>24H Night</v>
      </c>
      <c r="P731" s="0" t="n">
        <f aca="false">WEEKDAY(D731,2)</f>
        <v>5</v>
      </c>
      <c r="Q731" s="0" t="n">
        <f aca="false">MONTH(D731)</f>
        <v>6</v>
      </c>
      <c r="R731" s="0" t="str">
        <f aca="false">"Q"&amp;ROUNDUP(MONTH(D731)/3,0)</f>
        <v>Q2</v>
      </c>
    </row>
    <row r="732" customFormat="false" ht="141" hidden="false" customHeight="false" outlineLevel="0" collapsed="false">
      <c r="A732" s="7" t="s">
        <v>2074</v>
      </c>
      <c r="B732" s="7" t="s">
        <v>2075</v>
      </c>
      <c r="C732" s="13" t="s">
        <v>2076</v>
      </c>
      <c r="D732" s="11" t="n">
        <v>46193</v>
      </c>
      <c r="E732" s="12" t="n">
        <v>0.791666666700625</v>
      </c>
      <c r="F732" s="11" t="n">
        <v>46194</v>
      </c>
      <c r="G732" s="12" t="n">
        <v>0.708333333299375</v>
      </c>
      <c r="H732" s="10" t="n">
        <v>46190.9909013889</v>
      </c>
      <c r="I732" s="7" t="n">
        <v>10000</v>
      </c>
      <c r="J732" s="0" t="n">
        <f aca="false">IF(AND(D732&gt;=DATE(YEAR(D732),3,15),D732&lt;=DATE(YEAR(D732),6,10)),1,0)</f>
        <v>0</v>
      </c>
      <c r="K732" s="0" t="e">
        <f aca="false">VLOOKUP(D732,Festival_List!$A$2:$B$100,2,0)</f>
        <v>#N/A</v>
      </c>
      <c r="L732" s="0" t="n">
        <f aca="false">ROUND(((F732+G732)-(D732+E732))*24,0)</f>
        <v>22</v>
      </c>
      <c r="M732" s="0" t="n">
        <f aca="false">IF(OR(WEEKDAY(D732)=1,WEEKDAY(D732)=7),1,0)</f>
        <v>1</v>
      </c>
      <c r="N732" s="0" t="str">
        <f aca="false">IF(AND(MONTH(D732)&gt;=3,MONTH(D732)&lt;=6),"Summer",IF(AND(MONTH(D732)&gt;=7,MONTH(D732)&lt;=9),"Monsoon","Winter"))</f>
        <v>Summer</v>
      </c>
      <c r="O732" s="0" t="str">
        <f aca="false">IF(AND(L732&gt;=22,L732&lt;=25,E732&gt;=TIME(18,0,0)),"24H Night", IF(AND(L732&gt;=22,L732&lt;=25,E732&lt;TIME(18,0,0)),"24H Day", IF(AND(L732&gt;=11,L732&lt;=13,E732&gt;=TIME(18,0,0)),"12H Night", IF(AND(L732&gt;=11,L732&lt;=13,E732&lt;TIME(18,0,0)),"12H Day", IF(AND(L732&lt;10,E732&gt;=TIME(18,0,0)),"Couple Night", "Couple Day")))))</f>
        <v>24H Night</v>
      </c>
      <c r="P732" s="0" t="n">
        <f aca="false">WEEKDAY(D732,2)</f>
        <v>6</v>
      </c>
      <c r="Q732" s="0" t="n">
        <f aca="false">MONTH(D732)</f>
        <v>6</v>
      </c>
      <c r="R732" s="0" t="str">
        <f aca="false">"Q"&amp;ROUNDUP(MONTH(D732)/3,0)</f>
        <v>Q2</v>
      </c>
    </row>
    <row r="733" customFormat="false" ht="166.4" hidden="false" customHeight="false" outlineLevel="0" collapsed="false">
      <c r="A733" s="7" t="s">
        <v>2077</v>
      </c>
      <c r="B733" s="7" t="s">
        <v>2078</v>
      </c>
      <c r="C733" s="13" t="s">
        <v>2079</v>
      </c>
      <c r="D733" s="11" t="n">
        <v>46194</v>
      </c>
      <c r="E733" s="12" t="n">
        <v>0.791666666700625</v>
      </c>
      <c r="F733" s="11" t="n">
        <v>46195</v>
      </c>
      <c r="G733" s="12" t="n">
        <v>0.708333333299375</v>
      </c>
      <c r="H733" s="10" t="n">
        <v>46188.8584821759</v>
      </c>
      <c r="I733" s="7" t="n">
        <v>4500</v>
      </c>
      <c r="J733" s="0" t="n">
        <f aca="false">IF(AND(D733&gt;=DATE(YEAR(D733),3,15),D733&lt;=DATE(YEAR(D733),6,10)),1,0)</f>
        <v>0</v>
      </c>
      <c r="K733" s="0" t="e">
        <f aca="false">VLOOKUP(D733,Festival_List!$A$2:$B$100,2,0)</f>
        <v>#N/A</v>
      </c>
      <c r="L733" s="0" t="n">
        <f aca="false">ROUND(((F733+G733)-(D733+E733))*24,0)</f>
        <v>22</v>
      </c>
      <c r="M733" s="0" t="n">
        <f aca="false">IF(OR(WEEKDAY(D733)=1,WEEKDAY(D733)=7),1,0)</f>
        <v>1</v>
      </c>
      <c r="N733" s="0" t="str">
        <f aca="false">IF(AND(MONTH(D733)&gt;=3,MONTH(D733)&lt;=6),"Summer",IF(AND(MONTH(D733)&gt;=7,MONTH(D733)&lt;=9),"Monsoon","Winter"))</f>
        <v>Summer</v>
      </c>
      <c r="O733" s="0" t="str">
        <f aca="false">IF(AND(L733&gt;=22,L733&lt;=25,E733&gt;=TIME(18,0,0)),"24H Night", IF(AND(L733&gt;=22,L733&lt;=25,E733&lt;TIME(18,0,0)),"24H Day", IF(AND(L733&gt;=11,L733&lt;=13,E733&gt;=TIME(18,0,0)),"12H Night", IF(AND(L733&gt;=11,L733&lt;=13,E733&lt;TIME(18,0,0)),"12H Day", IF(AND(L733&lt;10,E733&gt;=TIME(18,0,0)),"Couple Night", "Couple Day")))))</f>
        <v>24H Night</v>
      </c>
      <c r="P733" s="0" t="n">
        <f aca="false">WEEKDAY(D733,2)</f>
        <v>7</v>
      </c>
      <c r="Q733" s="0" t="n">
        <f aca="false">MONTH(D733)</f>
        <v>6</v>
      </c>
      <c r="R733" s="0" t="str">
        <f aca="false">"Q"&amp;ROUNDUP(MONTH(D733)/3,0)</f>
        <v>Q2</v>
      </c>
    </row>
    <row r="734" customFormat="false" ht="141" hidden="false" customHeight="false" outlineLevel="0" collapsed="false">
      <c r="A734" s="7" t="s">
        <v>2080</v>
      </c>
      <c r="B734" s="7" t="s">
        <v>2081</v>
      </c>
      <c r="C734" s="13" t="s">
        <v>2082</v>
      </c>
      <c r="D734" s="11" t="n">
        <v>46195</v>
      </c>
      <c r="E734" s="12" t="n">
        <v>0.791666666700625</v>
      </c>
      <c r="F734" s="11" t="n">
        <v>46196</v>
      </c>
      <c r="G734" s="12" t="n">
        <v>0.75</v>
      </c>
      <c r="H734" s="10" t="n">
        <v>46188.5519537037</v>
      </c>
      <c r="I734" s="7" t="n">
        <v>4000</v>
      </c>
      <c r="J734" s="0" t="n">
        <f aca="false">IF(AND(D734&gt;=DATE(YEAR(D734),3,15),D734&lt;=DATE(YEAR(D734),6,10)),1,0)</f>
        <v>0</v>
      </c>
      <c r="K734" s="0" t="e">
        <f aca="false">VLOOKUP(D734,Festival_List!$A$2:$B$100,2,0)</f>
        <v>#N/A</v>
      </c>
      <c r="L734" s="0" t="n">
        <f aca="false">ROUND(((F734+G734)-(D734+E734))*24,0)</f>
        <v>23</v>
      </c>
      <c r="M734" s="0" t="n">
        <f aca="false">IF(OR(WEEKDAY(D734)=1,WEEKDAY(D734)=7),1,0)</f>
        <v>0</v>
      </c>
      <c r="N734" s="0" t="str">
        <f aca="false">IF(AND(MONTH(D734)&gt;=3,MONTH(D734)&lt;=6),"Summer",IF(AND(MONTH(D734)&gt;=7,MONTH(D734)&lt;=9),"Monsoon","Winter"))</f>
        <v>Summer</v>
      </c>
      <c r="O734" s="0" t="str">
        <f aca="false">IF(AND(L734&gt;=22,L734&lt;=25,E734&gt;=TIME(18,0,0)),"24H Night", IF(AND(L734&gt;=22,L734&lt;=25,E734&lt;TIME(18,0,0)),"24H Day", IF(AND(L734&gt;=11,L734&lt;=13,E734&gt;=TIME(18,0,0)),"12H Night", IF(AND(L734&gt;=11,L734&lt;=13,E734&lt;TIME(18,0,0)),"12H Day", IF(AND(L734&lt;10,E734&gt;=TIME(18,0,0)),"Couple Night", "Couple Day")))))</f>
        <v>24H Night</v>
      </c>
      <c r="P734" s="0" t="n">
        <f aca="false">WEEKDAY(D734,2)</f>
        <v>1</v>
      </c>
      <c r="Q734" s="0" t="n">
        <f aca="false">MONTH(D734)</f>
        <v>6</v>
      </c>
      <c r="R734" s="0" t="str">
        <f aca="false">"Q"&amp;ROUNDUP(MONTH(D734)/3,0)</f>
        <v>Q2</v>
      </c>
    </row>
    <row r="735" customFormat="false" ht="141" hidden="false" customHeight="false" outlineLevel="0" collapsed="false">
      <c r="A735" s="7" t="s">
        <v>2083</v>
      </c>
      <c r="B735" s="7" t="s">
        <v>2084</v>
      </c>
      <c r="C735" s="13" t="s">
        <v>2085</v>
      </c>
      <c r="D735" s="11" t="n">
        <v>46199</v>
      </c>
      <c r="E735" s="12" t="n">
        <v>0.375</v>
      </c>
      <c r="F735" s="11" t="n">
        <v>46199</v>
      </c>
      <c r="G735" s="12" t="n">
        <v>0.75</v>
      </c>
      <c r="H735" s="10" t="n">
        <v>46188.5509112268</v>
      </c>
      <c r="I735" s="7" t="n">
        <v>4000</v>
      </c>
      <c r="J735" s="0" t="n">
        <f aca="false">IF(AND(D735&gt;=DATE(YEAR(D735),3,15),D735&lt;=DATE(YEAR(D735),6,10)),1,0)</f>
        <v>0</v>
      </c>
      <c r="K735" s="0" t="e">
        <f aca="false">VLOOKUP(D735,Festival_List!$A$2:$B$100,2,0)</f>
        <v>#N/A</v>
      </c>
      <c r="L735" s="0" t="n">
        <f aca="false">ROUND(((F735+G735)-(D735+E735))*24,0)</f>
        <v>9</v>
      </c>
      <c r="M735" s="0" t="n">
        <f aca="false">IF(OR(WEEKDAY(D735)=1,WEEKDAY(D735)=7),1,0)</f>
        <v>0</v>
      </c>
      <c r="N735" s="0" t="str">
        <f aca="false">IF(AND(MONTH(D735)&gt;=3,MONTH(D735)&lt;=6),"Summer",IF(AND(MONTH(D735)&gt;=7,MONTH(D735)&lt;=9),"Monsoon","Winter"))</f>
        <v>Summer</v>
      </c>
      <c r="O735" s="0" t="str">
        <f aca="false">IF(AND(L735&gt;=22,L735&lt;=25,E735&gt;=TIME(18,0,0)),"24H Night", IF(AND(L735&gt;=22,L735&lt;=25,E735&lt;TIME(18,0,0)),"24H Day", IF(AND(L735&gt;=11,L735&lt;=13,E735&gt;=TIME(18,0,0)),"12H Night", IF(AND(L735&gt;=11,L735&lt;=13,E735&lt;TIME(18,0,0)),"12H Day", IF(AND(L735&lt;10,E735&gt;=TIME(18,0,0)),"Couple Night", "Couple Day")))))</f>
        <v>Couple Day</v>
      </c>
      <c r="P735" s="0" t="n">
        <f aca="false">WEEKDAY(D735,2)</f>
        <v>5</v>
      </c>
      <c r="Q735" s="0" t="n">
        <f aca="false">MONTH(D735)</f>
        <v>6</v>
      </c>
      <c r="R735" s="0" t="str">
        <f aca="false">"Q"&amp;ROUNDUP(MONTH(D735)/3,0)</f>
        <v>Q2</v>
      </c>
    </row>
    <row r="736" customFormat="false" ht="141" hidden="false" customHeight="false" outlineLevel="0" collapsed="false">
      <c r="A736" s="7" t="s">
        <v>2086</v>
      </c>
      <c r="B736" s="7" t="s">
        <v>2087</v>
      </c>
      <c r="C736" s="13" t="s">
        <v>2088</v>
      </c>
      <c r="D736" s="11" t="n">
        <v>46199</v>
      </c>
      <c r="E736" s="12" t="n">
        <v>0.791666666700625</v>
      </c>
      <c r="F736" s="11" t="n">
        <v>46200</v>
      </c>
      <c r="G736" s="12" t="n">
        <v>0.708333333299375</v>
      </c>
      <c r="H736" s="10" t="n">
        <v>46188.551678125</v>
      </c>
      <c r="I736" s="7" t="n">
        <v>5000</v>
      </c>
      <c r="J736" s="0" t="n">
        <f aca="false">IF(AND(D736&gt;=DATE(YEAR(D736),3,15),D736&lt;=DATE(YEAR(D736),6,10)),1,0)</f>
        <v>0</v>
      </c>
      <c r="K736" s="0" t="e">
        <f aca="false">VLOOKUP(D736,Festival_List!$A$2:$B$100,2,0)</f>
        <v>#N/A</v>
      </c>
      <c r="L736" s="0" t="n">
        <f aca="false">ROUND(((F736+G736)-(D736+E736))*24,0)</f>
        <v>22</v>
      </c>
      <c r="M736" s="0" t="n">
        <f aca="false">IF(OR(WEEKDAY(D736)=1,WEEKDAY(D736)=7),1,0)</f>
        <v>0</v>
      </c>
      <c r="N736" s="0" t="str">
        <f aca="false">IF(AND(MONTH(D736)&gt;=3,MONTH(D736)&lt;=6),"Summer",IF(AND(MONTH(D736)&gt;=7,MONTH(D736)&lt;=9),"Monsoon","Winter"))</f>
        <v>Summer</v>
      </c>
      <c r="O736" s="0" t="str">
        <f aca="false">IF(AND(L736&gt;=22,L736&lt;=25,E736&gt;=TIME(18,0,0)),"24H Night", IF(AND(L736&gt;=22,L736&lt;=25,E736&lt;TIME(18,0,0)),"24H Day", IF(AND(L736&gt;=11,L736&lt;=13,E736&gt;=TIME(18,0,0)),"12H Night", IF(AND(L736&gt;=11,L736&lt;=13,E736&lt;TIME(18,0,0)),"12H Day", IF(AND(L736&lt;10,E736&gt;=TIME(18,0,0)),"Couple Night", "Couple Day")))))</f>
        <v>24H Night</v>
      </c>
      <c r="P736" s="0" t="n">
        <f aca="false">WEEKDAY(D736,2)</f>
        <v>5</v>
      </c>
      <c r="Q736" s="0" t="n">
        <f aca="false">MONTH(D736)</f>
        <v>6</v>
      </c>
      <c r="R736" s="0" t="str">
        <f aca="false">"Q"&amp;ROUNDUP(MONTH(D736)/3,0)</f>
        <v>Q2</v>
      </c>
    </row>
    <row r="737" customFormat="false" ht="153.7" hidden="false" customHeight="false" outlineLevel="0" collapsed="false">
      <c r="A737" s="7" t="s">
        <v>2089</v>
      </c>
      <c r="B737" s="7" t="s">
        <v>2090</v>
      </c>
      <c r="C737" s="13" t="s">
        <v>2091</v>
      </c>
      <c r="D737" s="11" t="n">
        <v>46200</v>
      </c>
      <c r="E737" s="12" t="n">
        <v>0.791666666700625</v>
      </c>
      <c r="F737" s="11" t="n">
        <v>46201</v>
      </c>
      <c r="G737" s="12" t="n">
        <v>0.75</v>
      </c>
      <c r="H737" s="10" t="n">
        <v>46198.5275638889</v>
      </c>
      <c r="I737" s="7" t="n">
        <v>6000</v>
      </c>
      <c r="J737" s="0" t="n">
        <f aca="false">IF(AND(D737&gt;=DATE(YEAR(D737),3,15),D737&lt;=DATE(YEAR(D737),6,10)),1,0)</f>
        <v>0</v>
      </c>
      <c r="K737" s="0" t="e">
        <f aca="false">VLOOKUP(D737,Festival_List!$A$2:$B$100,2,0)</f>
        <v>#N/A</v>
      </c>
      <c r="L737" s="0" t="n">
        <f aca="false">ROUND(((F737+G737)-(D737+E737))*24,0)</f>
        <v>23</v>
      </c>
      <c r="M737" s="0" t="n">
        <f aca="false">IF(OR(WEEKDAY(D737)=1,WEEKDAY(D737)=7),1,0)</f>
        <v>1</v>
      </c>
      <c r="N737" s="0" t="str">
        <f aca="false">IF(AND(MONTH(D737)&gt;=3,MONTH(D737)&lt;=6),"Summer",IF(AND(MONTH(D737)&gt;=7,MONTH(D737)&lt;=9),"Monsoon","Winter"))</f>
        <v>Summer</v>
      </c>
      <c r="O737" s="0" t="str">
        <f aca="false">IF(AND(L737&gt;=22,L737&lt;=25,E737&gt;=TIME(18,0,0)),"24H Night", IF(AND(L737&gt;=22,L737&lt;=25,E737&lt;TIME(18,0,0)),"24H Day", IF(AND(L737&gt;=11,L737&lt;=13,E737&gt;=TIME(18,0,0)),"12H Night", IF(AND(L737&gt;=11,L737&lt;=13,E737&lt;TIME(18,0,0)),"12H Day", IF(AND(L737&lt;10,E737&gt;=TIME(18,0,0)),"Couple Night", "Couple Day")))))</f>
        <v>24H Night</v>
      </c>
      <c r="P737" s="0" t="n">
        <f aca="false">WEEKDAY(D737,2)</f>
        <v>6</v>
      </c>
      <c r="Q737" s="0" t="n">
        <f aca="false">MONTH(D737)</f>
        <v>6</v>
      </c>
      <c r="R737" s="0" t="str">
        <f aca="false">"Q"&amp;ROUNDUP(MONTH(D737)/3,0)</f>
        <v>Q2</v>
      </c>
    </row>
    <row r="738" customFormat="false" ht="166.4" hidden="false" customHeight="false" outlineLevel="0" collapsed="false">
      <c r="A738" s="7" t="s">
        <v>2092</v>
      </c>
      <c r="B738" s="7" t="s">
        <v>2093</v>
      </c>
      <c r="C738" s="13" t="s">
        <v>2094</v>
      </c>
      <c r="D738" s="11" t="n">
        <v>46201</v>
      </c>
      <c r="E738" s="12" t="n">
        <v>0.791666666700625</v>
      </c>
      <c r="F738" s="11" t="n">
        <v>46202</v>
      </c>
      <c r="G738" s="12" t="n">
        <v>0.708333333299375</v>
      </c>
      <c r="H738" s="10" t="n">
        <v>46199.9610002315</v>
      </c>
      <c r="I738" s="7" t="n">
        <v>4500</v>
      </c>
      <c r="J738" s="0" t="n">
        <f aca="false">IF(AND(D738&gt;=DATE(YEAR(D738),3,15),D738&lt;=DATE(YEAR(D738),6,10)),1,0)</f>
        <v>0</v>
      </c>
      <c r="K738" s="0" t="e">
        <f aca="false">VLOOKUP(D738,Festival_List!$A$2:$B$100,2,0)</f>
        <v>#N/A</v>
      </c>
      <c r="L738" s="0" t="n">
        <f aca="false">ROUND(((F738+G738)-(D738+E738))*24,0)</f>
        <v>22</v>
      </c>
      <c r="M738" s="0" t="n">
        <f aca="false">IF(OR(WEEKDAY(D738)=1,WEEKDAY(D738)=7),1,0)</f>
        <v>1</v>
      </c>
      <c r="N738" s="0" t="str">
        <f aca="false">IF(AND(MONTH(D738)&gt;=3,MONTH(D738)&lt;=6),"Summer",IF(AND(MONTH(D738)&gt;=7,MONTH(D738)&lt;=9),"Monsoon","Winter"))</f>
        <v>Summer</v>
      </c>
      <c r="O738" s="0" t="str">
        <f aca="false">IF(AND(L738&gt;=22,L738&lt;=25,E738&gt;=TIME(18,0,0)),"24H Night", IF(AND(L738&gt;=22,L738&lt;=25,E738&lt;TIME(18,0,0)),"24H Day", IF(AND(L738&gt;=11,L738&lt;=13,E738&gt;=TIME(18,0,0)),"12H Night", IF(AND(L738&gt;=11,L738&lt;=13,E738&lt;TIME(18,0,0)),"12H Day", IF(AND(L738&lt;10,E738&gt;=TIME(18,0,0)),"Couple Night", "Couple Day")))))</f>
        <v>24H Night</v>
      </c>
      <c r="P738" s="0" t="n">
        <f aca="false">WEEKDAY(D738,2)</f>
        <v>7</v>
      </c>
      <c r="Q738" s="0" t="n">
        <f aca="false">MONTH(D738)</f>
        <v>6</v>
      </c>
      <c r="R738" s="0" t="str">
        <f aca="false">"Q"&amp;ROUNDUP(MONTH(D738)/3,0)</f>
        <v>Q2</v>
      </c>
    </row>
    <row r="739" customFormat="false" ht="166.4" hidden="false" customHeight="false" outlineLevel="0" collapsed="false">
      <c r="A739" s="7" t="s">
        <v>2095</v>
      </c>
      <c r="B739" s="7" t="s">
        <v>2096</v>
      </c>
      <c r="C739" s="13" t="s">
        <v>2097</v>
      </c>
      <c r="D739" s="11" t="n">
        <v>46202</v>
      </c>
      <c r="E739" s="12" t="n">
        <v>0.791666666700625</v>
      </c>
      <c r="F739" s="11" t="n">
        <v>46203</v>
      </c>
      <c r="G739" s="12" t="n">
        <v>0.75</v>
      </c>
      <c r="H739" s="10" t="n">
        <v>46201.5444805556</v>
      </c>
      <c r="I739" s="7" t="n">
        <v>4000</v>
      </c>
      <c r="J739" s="0" t="n">
        <f aca="false">IF(AND(D739&gt;=DATE(YEAR(D739),3,15),D739&lt;=DATE(YEAR(D739),6,10)),1,0)</f>
        <v>0</v>
      </c>
      <c r="K739" s="0" t="e">
        <f aca="false">VLOOKUP(D739,Festival_List!$A$2:$B$100,2,0)</f>
        <v>#N/A</v>
      </c>
      <c r="L739" s="0" t="n">
        <f aca="false">ROUND(((F739+G739)-(D739+E739))*24,0)</f>
        <v>23</v>
      </c>
      <c r="M739" s="0" t="n">
        <f aca="false">IF(OR(WEEKDAY(D739)=1,WEEKDAY(D739)=7),1,0)</f>
        <v>0</v>
      </c>
      <c r="N739" s="0" t="str">
        <f aca="false">IF(AND(MONTH(D739)&gt;=3,MONTH(D739)&lt;=6),"Summer",IF(AND(MONTH(D739)&gt;=7,MONTH(D739)&lt;=9),"Monsoon","Winter"))</f>
        <v>Summer</v>
      </c>
      <c r="O739" s="0" t="str">
        <f aca="false">IF(AND(L739&gt;=22,L739&lt;=25,E739&gt;=TIME(18,0,0)),"24H Night", IF(AND(L739&gt;=22,L739&lt;=25,E739&lt;TIME(18,0,0)),"24H Day", IF(AND(L739&gt;=11,L739&lt;=13,E739&gt;=TIME(18,0,0)),"12H Night", IF(AND(L739&gt;=11,L739&lt;=13,E739&lt;TIME(18,0,0)),"12H Day", IF(AND(L739&lt;10,E739&gt;=TIME(18,0,0)),"Couple Night", "Couple Day")))))</f>
        <v>24H Night</v>
      </c>
      <c r="P739" s="0" t="n">
        <f aca="false">WEEKDAY(D739,2)</f>
        <v>1</v>
      </c>
      <c r="Q739" s="0" t="n">
        <f aca="false">MONTH(D739)</f>
        <v>6</v>
      </c>
      <c r="R739" s="0" t="str">
        <f aca="false">"Q"&amp;ROUNDUP(MONTH(D739)/3,0)</f>
        <v>Q2</v>
      </c>
    </row>
    <row r="740" customFormat="false" ht="179.1" hidden="false" customHeight="false" outlineLevel="0" collapsed="false">
      <c r="A740" s="7" t="s">
        <v>2098</v>
      </c>
      <c r="B740" s="7" t="s">
        <v>2099</v>
      </c>
      <c r="C740" s="13" t="s">
        <v>2100</v>
      </c>
      <c r="D740" s="11" t="n">
        <v>46204</v>
      </c>
      <c r="E740" s="12" t="n">
        <v>0.375</v>
      </c>
      <c r="F740" s="11" t="n">
        <v>46204</v>
      </c>
      <c r="G740" s="12" t="n">
        <v>0.75</v>
      </c>
      <c r="H740" s="10" t="n">
        <v>46202.933396875</v>
      </c>
      <c r="I740" s="7" t="n">
        <v>3000</v>
      </c>
      <c r="J740" s="0" t="n">
        <f aca="false">IF(AND(D740&gt;=DATE(YEAR(D740),3,15),D740&lt;=DATE(YEAR(D740),6,10)),1,0)</f>
        <v>0</v>
      </c>
      <c r="K740" s="0" t="e">
        <f aca="false">VLOOKUP(D740,Festival_List!$A$2:$B$100,2,0)</f>
        <v>#N/A</v>
      </c>
      <c r="L740" s="0" t="n">
        <f aca="false">ROUND(((F740+G740)-(D740+E740))*24,0)</f>
        <v>9</v>
      </c>
      <c r="M740" s="0" t="n">
        <f aca="false">IF(OR(WEEKDAY(D740)=1,WEEKDAY(D740)=7),1,0)</f>
        <v>0</v>
      </c>
      <c r="N740" s="0" t="str">
        <f aca="false">IF(AND(MONTH(D740)&gt;=3,MONTH(D740)&lt;=6),"Summer",IF(AND(MONTH(D740)&gt;=7,MONTH(D740)&lt;=9),"Monsoon","Winter"))</f>
        <v>Monsoon</v>
      </c>
      <c r="O740" s="0" t="str">
        <f aca="false">IF(AND(L740&gt;=22,L740&lt;=25,E740&gt;=TIME(18,0,0)),"24H Night", IF(AND(L740&gt;=22,L740&lt;=25,E740&lt;TIME(18,0,0)),"24H Day", IF(AND(L740&gt;=11,L740&lt;=13,E740&gt;=TIME(18,0,0)),"12H Night", IF(AND(L740&gt;=11,L740&lt;=13,E740&lt;TIME(18,0,0)),"12H Day", IF(AND(L740&lt;10,E740&gt;=TIME(18,0,0)),"Couple Night", "Couple Day")))))</f>
        <v>Couple Day</v>
      </c>
      <c r="P740" s="0" t="n">
        <f aca="false">WEEKDAY(D740,2)</f>
        <v>3</v>
      </c>
      <c r="Q740" s="0" t="n">
        <f aca="false">MONTH(D740)</f>
        <v>7</v>
      </c>
      <c r="R740" s="0" t="str">
        <f aca="false">"Q"&amp;ROUNDUP(MONTH(D740)/3,0)</f>
        <v>Q3</v>
      </c>
    </row>
    <row r="741" customFormat="false" ht="166.4" hidden="false" customHeight="false" outlineLevel="0" collapsed="false">
      <c r="A741" s="7" t="s">
        <v>2101</v>
      </c>
      <c r="B741" s="7" t="s">
        <v>2102</v>
      </c>
      <c r="C741" s="13" t="s">
        <v>2103</v>
      </c>
      <c r="D741" s="11" t="n">
        <v>46204</v>
      </c>
      <c r="E741" s="12" t="n">
        <v>0.833333333299375</v>
      </c>
      <c r="F741" s="11" t="n">
        <v>46205</v>
      </c>
      <c r="G741" s="12" t="n">
        <v>0.333333333299375</v>
      </c>
      <c r="H741" s="10" t="n">
        <v>46204.039315625</v>
      </c>
      <c r="I741" s="7" t="n">
        <v>3000</v>
      </c>
      <c r="J741" s="0" t="n">
        <f aca="false">IF(AND(D741&gt;=DATE(YEAR(D741),3,15),D741&lt;=DATE(YEAR(D741),6,10)),1,0)</f>
        <v>0</v>
      </c>
      <c r="K741" s="0" t="e">
        <f aca="false">VLOOKUP(D741,Festival_List!$A$2:$B$100,2,0)</f>
        <v>#N/A</v>
      </c>
      <c r="L741" s="0" t="n">
        <f aca="false">ROUND(((F741+G741)-(D741+E741))*24,0)</f>
        <v>12</v>
      </c>
      <c r="M741" s="0" t="n">
        <f aca="false">IF(OR(WEEKDAY(D741)=1,WEEKDAY(D741)=7),1,0)</f>
        <v>0</v>
      </c>
      <c r="N741" s="0" t="str">
        <f aca="false">IF(AND(MONTH(D741)&gt;=3,MONTH(D741)&lt;=6),"Summer",IF(AND(MONTH(D741)&gt;=7,MONTH(D741)&lt;=9),"Monsoon","Winter"))</f>
        <v>Monsoon</v>
      </c>
      <c r="O741" s="0" t="str">
        <f aca="false">IF(AND(L741&gt;=22,L741&lt;=25,E741&gt;=TIME(18,0,0)),"24H Night", IF(AND(L741&gt;=22,L741&lt;=25,E741&lt;TIME(18,0,0)),"24H Day", IF(AND(L741&gt;=11,L741&lt;=13,E741&gt;=TIME(18,0,0)),"12H Night", IF(AND(L741&gt;=11,L741&lt;=13,E741&lt;TIME(18,0,0)),"12H Day", IF(AND(L741&lt;10,E741&gt;=TIME(18,0,0)),"Couple Night", "Couple Day")))))</f>
        <v>12H Night</v>
      </c>
      <c r="P741" s="0" t="n">
        <f aca="false">WEEKDAY(D741,2)</f>
        <v>3</v>
      </c>
      <c r="Q741" s="0" t="n">
        <f aca="false">MONTH(D741)</f>
        <v>7</v>
      </c>
      <c r="R741" s="0" t="str">
        <f aca="false">"Q"&amp;ROUNDUP(MONTH(D741)/3,0)</f>
        <v>Q3</v>
      </c>
    </row>
    <row r="742" customFormat="false" ht="141" hidden="false" customHeight="false" outlineLevel="0" collapsed="false">
      <c r="A742" s="7" t="s">
        <v>2104</v>
      </c>
      <c r="B742" s="7" t="s">
        <v>2105</v>
      </c>
      <c r="C742" s="13" t="s">
        <v>2106</v>
      </c>
      <c r="D742" s="11" t="n">
        <v>46207</v>
      </c>
      <c r="E742" s="12" t="n">
        <v>0.375</v>
      </c>
      <c r="F742" s="11" t="n">
        <v>46207</v>
      </c>
      <c r="G742" s="12" t="n">
        <v>0.708333333299375</v>
      </c>
      <c r="H742" s="10" t="n">
        <v>46204.6792584491</v>
      </c>
      <c r="I742" s="7" t="n">
        <v>2500</v>
      </c>
      <c r="J742" s="0" t="n">
        <f aca="false">IF(AND(D742&gt;=DATE(YEAR(D742),3,15),D742&lt;=DATE(YEAR(D742),6,10)),1,0)</f>
        <v>0</v>
      </c>
      <c r="K742" s="0" t="e">
        <f aca="false">VLOOKUP(D742,Festival_List!$A$2:$B$100,2,0)</f>
        <v>#N/A</v>
      </c>
      <c r="L742" s="0" t="n">
        <f aca="false">ROUND(((F742+G742)-(D742+E742))*24,0)</f>
        <v>8</v>
      </c>
      <c r="M742" s="0" t="n">
        <f aca="false">IF(OR(WEEKDAY(D742)=1,WEEKDAY(D742)=7),1,0)</f>
        <v>1</v>
      </c>
      <c r="N742" s="0" t="str">
        <f aca="false">IF(AND(MONTH(D742)&gt;=3,MONTH(D742)&lt;=6),"Summer",IF(AND(MONTH(D742)&gt;=7,MONTH(D742)&lt;=9),"Monsoon","Winter"))</f>
        <v>Monsoon</v>
      </c>
      <c r="O742" s="0" t="str">
        <f aca="false">IF(AND(L742&gt;=22,L742&lt;=25,E742&gt;=TIME(18,0,0)),"24H Night", IF(AND(L742&gt;=22,L742&lt;=25,E742&lt;TIME(18,0,0)),"24H Day", IF(AND(L742&gt;=11,L742&lt;=13,E742&gt;=TIME(18,0,0)),"12H Night", IF(AND(L742&gt;=11,L742&lt;=13,E742&lt;TIME(18,0,0)),"12H Day", IF(AND(L742&lt;10,E742&gt;=TIME(18,0,0)),"Couple Night", "Couple Day")))))</f>
        <v>Couple Day</v>
      </c>
      <c r="P742" s="0" t="n">
        <f aca="false">WEEKDAY(D742,2)</f>
        <v>6</v>
      </c>
      <c r="Q742" s="0" t="n">
        <f aca="false">MONTH(D742)</f>
        <v>7</v>
      </c>
      <c r="R742" s="0" t="str">
        <f aca="false">"Q"&amp;ROUNDUP(MONTH(D742)/3,0)</f>
        <v>Q3</v>
      </c>
    </row>
    <row r="743" customFormat="false" ht="115.65" hidden="false" customHeight="false" outlineLevel="0" collapsed="false">
      <c r="A743" s="7" t="s">
        <v>2107</v>
      </c>
      <c r="B743" s="7" t="s">
        <v>2108</v>
      </c>
      <c r="C743" s="13" t="s">
        <v>1876</v>
      </c>
      <c r="D743" s="11" t="n">
        <v>46207</v>
      </c>
      <c r="E743" s="12" t="n">
        <v>0.791666666700625</v>
      </c>
      <c r="F743" s="11" t="n">
        <v>46208</v>
      </c>
      <c r="G743" s="12" t="n">
        <v>0.708333333299375</v>
      </c>
      <c r="H743" s="10" t="n">
        <v>46198.611834838</v>
      </c>
      <c r="I743" s="7" t="n">
        <v>5000</v>
      </c>
      <c r="J743" s="0" t="n">
        <f aca="false">IF(AND(D743&gt;=DATE(YEAR(D743),3,15),D743&lt;=DATE(YEAR(D743),6,10)),1,0)</f>
        <v>0</v>
      </c>
      <c r="K743" s="0" t="e">
        <f aca="false">VLOOKUP(D743,Festival_List!$A$2:$B$100,2,0)</f>
        <v>#N/A</v>
      </c>
      <c r="L743" s="0" t="n">
        <f aca="false">ROUND(((F743+G743)-(D743+E743))*24,0)</f>
        <v>22</v>
      </c>
      <c r="M743" s="0" t="n">
        <f aca="false">IF(OR(WEEKDAY(D743)=1,WEEKDAY(D743)=7),1,0)</f>
        <v>1</v>
      </c>
      <c r="N743" s="0" t="str">
        <f aca="false">IF(AND(MONTH(D743)&gt;=3,MONTH(D743)&lt;=6),"Summer",IF(AND(MONTH(D743)&gt;=7,MONTH(D743)&lt;=9),"Monsoon","Winter"))</f>
        <v>Monsoon</v>
      </c>
      <c r="O743" s="0" t="str">
        <f aca="false">IF(AND(L743&gt;=22,L743&lt;=25,E743&gt;=TIME(18,0,0)),"24H Night", IF(AND(L743&gt;=22,L743&lt;=25,E743&lt;TIME(18,0,0)),"24H Day", IF(AND(L743&gt;=11,L743&lt;=13,E743&gt;=TIME(18,0,0)),"12H Night", IF(AND(L743&gt;=11,L743&lt;=13,E743&lt;TIME(18,0,0)),"12H Day", IF(AND(L743&lt;10,E743&gt;=TIME(18,0,0)),"Couple Night", "Couple Day")))))</f>
        <v>24H Night</v>
      </c>
      <c r="P743" s="0" t="n">
        <f aca="false">WEEKDAY(D743,2)</f>
        <v>6</v>
      </c>
      <c r="Q743" s="0" t="n">
        <f aca="false">MONTH(D743)</f>
        <v>7</v>
      </c>
      <c r="R743" s="0" t="str">
        <f aca="false">"Q"&amp;ROUNDUP(MONTH(D743)/3,0)</f>
        <v>Q3</v>
      </c>
    </row>
    <row r="744" customFormat="false" ht="166.4" hidden="false" customHeight="false" outlineLevel="0" collapsed="false">
      <c r="A744" s="7" t="s">
        <v>2109</v>
      </c>
      <c r="B744" s="7" t="s">
        <v>2110</v>
      </c>
      <c r="C744" s="13" t="s">
        <v>2111</v>
      </c>
      <c r="D744" s="11" t="n">
        <v>46210</v>
      </c>
      <c r="E744" s="12" t="n">
        <v>0.791666666700625</v>
      </c>
      <c r="F744" s="11" t="n">
        <v>46212</v>
      </c>
      <c r="G744" s="12" t="n">
        <v>0.708333333299375</v>
      </c>
      <c r="H744" s="10" t="n">
        <v>46205.9700055556</v>
      </c>
      <c r="I744" s="7" t="n">
        <v>7500</v>
      </c>
      <c r="J744" s="0" t="n">
        <f aca="false">IF(AND(D744&gt;=DATE(YEAR(D744),3,15),D744&lt;=DATE(YEAR(D744),6,10)),1,0)</f>
        <v>0</v>
      </c>
      <c r="K744" s="0" t="e">
        <f aca="false">VLOOKUP(D744,Festival_List!$A$2:$B$100,2,0)</f>
        <v>#N/A</v>
      </c>
      <c r="L744" s="0" t="n">
        <f aca="false">ROUND(((F744+G744)-(D744+E744))*24,0)</f>
        <v>46</v>
      </c>
      <c r="M744" s="0" t="n">
        <f aca="false">IF(OR(WEEKDAY(D744)=1,WEEKDAY(D744)=7),1,0)</f>
        <v>0</v>
      </c>
      <c r="N744" s="0" t="str">
        <f aca="false">IF(AND(MONTH(D744)&gt;=3,MONTH(D744)&lt;=6),"Summer",IF(AND(MONTH(D744)&gt;=7,MONTH(D744)&lt;=9),"Monsoon","Winter"))</f>
        <v>Monsoon</v>
      </c>
      <c r="O744" s="0" t="str">
        <f aca="false">IF(AND(L744&gt;=22,L744&lt;=25,E744&gt;=TIME(18,0,0)),"24H Night", IF(AND(L744&gt;=22,L744&lt;=25,E744&lt;TIME(18,0,0)),"24H Day", IF(AND(L744&gt;=11,L744&lt;=13,E744&gt;=TIME(18,0,0)),"12H Night", IF(AND(L744&gt;=11,L744&lt;=13,E744&lt;TIME(18,0,0)),"12H Day", IF(AND(L744&lt;10,E744&gt;=TIME(18,0,0)),"Couple Night", "Couple Day")))))</f>
        <v>Couple Day</v>
      </c>
      <c r="P744" s="0" t="n">
        <f aca="false">WEEKDAY(D744,2)</f>
        <v>2</v>
      </c>
      <c r="Q744" s="0" t="n">
        <f aca="false">MONTH(D744)</f>
        <v>7</v>
      </c>
      <c r="R744" s="0" t="str">
        <f aca="false">"Q"&amp;ROUNDUP(MONTH(D744)/3,0)</f>
        <v>Q3</v>
      </c>
    </row>
    <row r="745" customFormat="false" ht="166.4" hidden="false" customHeight="false" outlineLevel="0" collapsed="false">
      <c r="A745" s="7" t="s">
        <v>2112</v>
      </c>
      <c r="B745" s="7" t="s">
        <v>2113</v>
      </c>
      <c r="C745" s="13" t="s">
        <v>2114</v>
      </c>
      <c r="D745" s="11" t="n">
        <v>46215</v>
      </c>
      <c r="E745" s="12" t="n">
        <v>0.875</v>
      </c>
      <c r="F745" s="11" t="n">
        <v>46216</v>
      </c>
      <c r="G745" s="12" t="n">
        <v>0.333333333299375</v>
      </c>
      <c r="H745" s="10" t="n">
        <v>46207.5308342593</v>
      </c>
      <c r="I745" s="7" t="n">
        <v>3000</v>
      </c>
      <c r="J745" s="0" t="n">
        <f aca="false">IF(AND(D745&gt;=DATE(YEAR(D745),3,15),D745&lt;=DATE(YEAR(D745),6,10)),1,0)</f>
        <v>0</v>
      </c>
      <c r="K745" s="0" t="e">
        <f aca="false">VLOOKUP(D745,Festival_List!$A$2:$B$100,2,0)</f>
        <v>#N/A</v>
      </c>
      <c r="L745" s="0" t="n">
        <f aca="false">ROUND(((F745+G745)-(D745+E745))*24,0)</f>
        <v>11</v>
      </c>
      <c r="M745" s="0" t="n">
        <f aca="false">IF(OR(WEEKDAY(D745)=1,WEEKDAY(D745)=7),1,0)</f>
        <v>1</v>
      </c>
      <c r="N745" s="0" t="str">
        <f aca="false">IF(AND(MONTH(D745)&gt;=3,MONTH(D745)&lt;=6),"Summer",IF(AND(MONTH(D745)&gt;=7,MONTH(D745)&lt;=9),"Monsoon","Winter"))</f>
        <v>Monsoon</v>
      </c>
      <c r="O745" s="0" t="str">
        <f aca="false">IF(AND(L745&gt;=22,L745&lt;=25,E745&gt;=TIME(18,0,0)),"24H Night", IF(AND(L745&gt;=22,L745&lt;=25,E745&lt;TIME(18,0,0)),"24H Day", IF(AND(L745&gt;=11,L745&lt;=13,E745&gt;=TIME(18,0,0)),"12H Night", IF(AND(L745&gt;=11,L745&lt;=13,E745&lt;TIME(18,0,0)),"12H Day", IF(AND(L745&lt;10,E745&gt;=TIME(18,0,0)),"Couple Night", "Couple Day")))))</f>
        <v>12H Night</v>
      </c>
      <c r="P745" s="0" t="n">
        <f aca="false">WEEKDAY(D745,2)</f>
        <v>7</v>
      </c>
      <c r="Q745" s="0" t="n">
        <f aca="false">MONTH(D745)</f>
        <v>7</v>
      </c>
      <c r="R745" s="0" t="str">
        <f aca="false">"Q"&amp;ROUNDUP(MONTH(D745)/3,0)</f>
        <v>Q3</v>
      </c>
    </row>
    <row r="746" customFormat="false" ht="141" hidden="false" customHeight="false" outlineLevel="0" collapsed="false">
      <c r="A746" s="7" t="s">
        <v>2115</v>
      </c>
      <c r="B746" s="7" t="s">
        <v>2116</v>
      </c>
      <c r="C746" s="13" t="s">
        <v>2117</v>
      </c>
      <c r="D746" s="11" t="n">
        <v>46220</v>
      </c>
      <c r="E746" s="12" t="n">
        <v>0.375</v>
      </c>
      <c r="F746" s="11" t="n">
        <v>46220</v>
      </c>
      <c r="G746" s="12" t="n">
        <v>0.75</v>
      </c>
      <c r="H746" s="10" t="n">
        <v>46204.6787945602</v>
      </c>
      <c r="I746" s="7" t="n">
        <v>3500</v>
      </c>
      <c r="J746" s="0" t="n">
        <f aca="false">IF(AND(D746&gt;=DATE(YEAR(D746),3,15),D746&lt;=DATE(YEAR(D746),6,10)),1,0)</f>
        <v>0</v>
      </c>
      <c r="K746" s="0" t="e">
        <f aca="false">VLOOKUP(D746,Festival_List!$A$2:$B$100,2,0)</f>
        <v>#N/A</v>
      </c>
      <c r="L746" s="0" t="n">
        <f aca="false">ROUND(((F746+G746)-(D746+E746))*24,0)</f>
        <v>9</v>
      </c>
      <c r="M746" s="0" t="n">
        <f aca="false">IF(OR(WEEKDAY(D746)=1,WEEKDAY(D746)=7),1,0)</f>
        <v>0</v>
      </c>
      <c r="N746" s="0" t="str">
        <f aca="false">IF(AND(MONTH(D746)&gt;=3,MONTH(D746)&lt;=6),"Summer",IF(AND(MONTH(D746)&gt;=7,MONTH(D746)&lt;=9),"Monsoon","Winter"))</f>
        <v>Monsoon</v>
      </c>
      <c r="O746" s="0" t="str">
        <f aca="false">IF(AND(L746&gt;=22,L746&lt;=25,E746&gt;=TIME(18,0,0)),"24H Night", IF(AND(L746&gt;=22,L746&lt;=25,E746&lt;TIME(18,0,0)),"24H Day", IF(AND(L746&gt;=11,L746&lt;=13,E746&gt;=TIME(18,0,0)),"12H Night", IF(AND(L746&gt;=11,L746&lt;=13,E746&lt;TIME(18,0,0)),"12H Day", IF(AND(L746&lt;10,E746&gt;=TIME(18,0,0)),"Couple Night", "Couple Day")))))</f>
        <v>Couple Day</v>
      </c>
      <c r="P746" s="0" t="n">
        <f aca="false">WEEKDAY(D746,2)</f>
        <v>5</v>
      </c>
      <c r="Q746" s="0" t="n">
        <f aca="false">MONTH(D746)</f>
        <v>7</v>
      </c>
      <c r="R746" s="0" t="str">
        <f aca="false">"Q"&amp;ROUNDUP(MONTH(D746)/3,0)</f>
        <v>Q3</v>
      </c>
    </row>
    <row r="747" customFormat="false" ht="13.8" hidden="false" customHeight="false" outlineLevel="0" collapsed="false">
      <c r="D747" s="14"/>
      <c r="E747" s="14"/>
      <c r="F747" s="15"/>
      <c r="G747" s="14"/>
      <c r="H747" s="14"/>
    </row>
    <row r="748" customFormat="false" ht="13.8" hidden="false" customHeight="false" outlineLevel="0" collapsed="false">
      <c r="D748" s="14"/>
      <c r="E748" s="14"/>
      <c r="F748" s="15"/>
      <c r="G748" s="14"/>
      <c r="H748" s="14"/>
    </row>
    <row r="749" customFormat="false" ht="13.8" hidden="false" customHeight="false" outlineLevel="0" collapsed="false">
      <c r="D749" s="14"/>
      <c r="E749" s="14"/>
      <c r="F749" s="15"/>
      <c r="G749" s="14"/>
      <c r="H749" s="14"/>
    </row>
    <row r="750" customFormat="false" ht="13.8" hidden="false" customHeight="false" outlineLevel="0" collapsed="false">
      <c r="D750" s="14"/>
      <c r="E750" s="14"/>
      <c r="F750" s="15"/>
      <c r="G750" s="14"/>
      <c r="H750" s="14"/>
    </row>
    <row r="751" customFormat="false" ht="13.8" hidden="false" customHeight="false" outlineLevel="0" collapsed="false">
      <c r="D751" s="14"/>
      <c r="E751" s="14"/>
      <c r="F751" s="15"/>
      <c r="G751" s="14"/>
      <c r="H751" s="14"/>
    </row>
    <row r="752" customFormat="false" ht="13.8" hidden="false" customHeight="false" outlineLevel="0" collapsed="false">
      <c r="D752" s="14"/>
      <c r="E752" s="14"/>
      <c r="F752" s="15"/>
      <c r="G752" s="14"/>
      <c r="H752" s="14"/>
    </row>
    <row r="753" customFormat="false" ht="13.8" hidden="false" customHeight="false" outlineLevel="0" collapsed="false">
      <c r="D753" s="14"/>
      <c r="E753" s="14"/>
      <c r="F753" s="15"/>
      <c r="G753" s="14"/>
      <c r="H753" s="14"/>
    </row>
    <row r="754" customFormat="false" ht="13.8" hidden="false" customHeight="false" outlineLevel="0" collapsed="false">
      <c r="D754" s="14"/>
      <c r="E754" s="14"/>
      <c r="F754" s="15"/>
      <c r="G754" s="14"/>
      <c r="H754" s="14"/>
    </row>
    <row r="755" customFormat="false" ht="13.8" hidden="false" customHeight="false" outlineLevel="0" collapsed="false">
      <c r="D755" s="14"/>
      <c r="E755" s="14"/>
      <c r="F755" s="15"/>
      <c r="G755" s="14"/>
      <c r="H755" s="14"/>
    </row>
    <row r="756" customFormat="false" ht="13.8" hidden="false" customHeight="false" outlineLevel="0" collapsed="false">
      <c r="D756" s="14"/>
      <c r="E756" s="14"/>
      <c r="F756" s="15"/>
      <c r="G756" s="14"/>
      <c r="H756" s="14"/>
    </row>
    <row r="757" customFormat="false" ht="13.8" hidden="false" customHeight="false" outlineLevel="0" collapsed="false">
      <c r="D757" s="14"/>
      <c r="E757" s="14"/>
      <c r="F757" s="15"/>
      <c r="G757" s="14"/>
      <c r="H757" s="14"/>
    </row>
    <row r="758" customFormat="false" ht="13.8" hidden="false" customHeight="false" outlineLevel="0" collapsed="false">
      <c r="D758" s="14"/>
      <c r="E758" s="14"/>
      <c r="F758" s="15"/>
      <c r="G758" s="14"/>
      <c r="H758" s="14"/>
    </row>
    <row r="759" customFormat="false" ht="13.8" hidden="false" customHeight="false" outlineLevel="0" collapsed="false">
      <c r="D759" s="14"/>
      <c r="E759" s="14"/>
      <c r="F759" s="15"/>
      <c r="G759" s="14"/>
      <c r="H759" s="14"/>
    </row>
    <row r="760" customFormat="false" ht="13.8" hidden="false" customHeight="false" outlineLevel="0" collapsed="false">
      <c r="D760" s="14"/>
      <c r="E760" s="14"/>
      <c r="F760" s="15"/>
      <c r="G760" s="14"/>
      <c r="H760" s="14"/>
    </row>
    <row r="761" customFormat="false" ht="13.8" hidden="false" customHeight="false" outlineLevel="0" collapsed="false">
      <c r="D761" s="14"/>
      <c r="E761" s="14"/>
      <c r="F761" s="15"/>
      <c r="G761" s="14"/>
      <c r="H761" s="14"/>
    </row>
    <row r="762" customFormat="false" ht="13.8" hidden="false" customHeight="false" outlineLevel="0" collapsed="false">
      <c r="D762" s="14"/>
      <c r="E762" s="14"/>
      <c r="F762" s="15"/>
      <c r="G762" s="14"/>
      <c r="H762" s="14"/>
    </row>
    <row r="763" customFormat="false" ht="13.8" hidden="false" customHeight="false" outlineLevel="0" collapsed="false">
      <c r="D763" s="14"/>
      <c r="E763" s="14"/>
      <c r="F763" s="15"/>
      <c r="G763" s="14"/>
      <c r="H763" s="14"/>
    </row>
    <row r="764" customFormat="false" ht="13.8" hidden="false" customHeight="false" outlineLevel="0" collapsed="false">
      <c r="D764" s="14"/>
      <c r="E764" s="14"/>
      <c r="F764" s="15"/>
      <c r="G764" s="14"/>
      <c r="H764" s="14"/>
    </row>
    <row r="765" customFormat="false" ht="13.8" hidden="false" customHeight="false" outlineLevel="0" collapsed="false">
      <c r="D765" s="14"/>
      <c r="E765" s="14"/>
      <c r="F765" s="15"/>
      <c r="G765" s="14"/>
      <c r="H765" s="14"/>
    </row>
    <row r="766" customFormat="false" ht="13.8" hidden="false" customHeight="false" outlineLevel="0" collapsed="false">
      <c r="D766" s="14"/>
      <c r="E766" s="14"/>
      <c r="F766" s="15"/>
      <c r="G766" s="14"/>
      <c r="H766" s="14"/>
    </row>
    <row r="767" customFormat="false" ht="13.8" hidden="false" customHeight="false" outlineLevel="0" collapsed="false">
      <c r="D767" s="14"/>
      <c r="E767" s="14"/>
      <c r="F767" s="15"/>
      <c r="G767" s="14"/>
      <c r="H767" s="14"/>
    </row>
    <row r="768" customFormat="false" ht="13.8" hidden="false" customHeight="false" outlineLevel="0" collapsed="false">
      <c r="D768" s="14"/>
      <c r="E768" s="14"/>
      <c r="F768" s="15"/>
      <c r="G768" s="14"/>
      <c r="H768" s="14"/>
    </row>
    <row r="769" customFormat="false" ht="13.8" hidden="false" customHeight="false" outlineLevel="0" collapsed="false">
      <c r="D769" s="14"/>
      <c r="E769" s="14"/>
      <c r="F769" s="15"/>
      <c r="G769" s="14"/>
      <c r="H769" s="14"/>
    </row>
    <row r="770" customFormat="false" ht="13.8" hidden="false" customHeight="false" outlineLevel="0" collapsed="false">
      <c r="D770" s="14"/>
      <c r="E770" s="14"/>
      <c r="F770" s="15"/>
      <c r="G770" s="14"/>
      <c r="H770" s="14"/>
    </row>
    <row r="771" customFormat="false" ht="13.8" hidden="false" customHeight="false" outlineLevel="0" collapsed="false">
      <c r="D771" s="14"/>
      <c r="E771" s="14"/>
      <c r="F771" s="15"/>
      <c r="G771" s="14"/>
      <c r="H771" s="14"/>
    </row>
    <row r="772" customFormat="false" ht="13.8" hidden="false" customHeight="false" outlineLevel="0" collapsed="false">
      <c r="D772" s="14"/>
      <c r="E772" s="14"/>
      <c r="F772" s="15"/>
      <c r="G772" s="14"/>
      <c r="H772" s="14"/>
    </row>
    <row r="773" customFormat="false" ht="13.8" hidden="false" customHeight="false" outlineLevel="0" collapsed="false">
      <c r="D773" s="14"/>
      <c r="E773" s="14"/>
      <c r="F773" s="15"/>
      <c r="G773" s="14"/>
      <c r="H773" s="14"/>
    </row>
    <row r="774" customFormat="false" ht="13.8" hidden="false" customHeight="false" outlineLevel="0" collapsed="false">
      <c r="D774" s="14"/>
      <c r="E774" s="14"/>
      <c r="F774" s="15"/>
      <c r="G774" s="14"/>
      <c r="H774" s="14"/>
    </row>
    <row r="775" customFormat="false" ht="13.8" hidden="false" customHeight="false" outlineLevel="0" collapsed="false">
      <c r="D775" s="14"/>
      <c r="E775" s="14"/>
      <c r="F775" s="15"/>
      <c r="G775" s="14"/>
      <c r="H775" s="14"/>
    </row>
    <row r="776" customFormat="false" ht="13.8" hidden="false" customHeight="false" outlineLevel="0" collapsed="false">
      <c r="D776" s="14"/>
      <c r="E776" s="14"/>
      <c r="F776" s="15"/>
      <c r="G776" s="14"/>
      <c r="H776" s="14"/>
    </row>
    <row r="777" customFormat="false" ht="13.8" hidden="false" customHeight="false" outlineLevel="0" collapsed="false">
      <c r="D777" s="14"/>
      <c r="E777" s="14"/>
      <c r="F777" s="15"/>
      <c r="G777" s="14"/>
      <c r="H777" s="14"/>
    </row>
    <row r="778" customFormat="false" ht="13.8" hidden="false" customHeight="false" outlineLevel="0" collapsed="false">
      <c r="D778" s="14"/>
      <c r="E778" s="14"/>
      <c r="F778" s="15"/>
      <c r="G778" s="14"/>
      <c r="H778" s="14"/>
    </row>
    <row r="779" customFormat="false" ht="13.8" hidden="false" customHeight="false" outlineLevel="0" collapsed="false">
      <c r="D779" s="14"/>
      <c r="E779" s="14"/>
      <c r="F779" s="15"/>
      <c r="G779" s="14"/>
      <c r="H779" s="14"/>
    </row>
    <row r="780" customFormat="false" ht="13.8" hidden="false" customHeight="false" outlineLevel="0" collapsed="false">
      <c r="D780" s="14"/>
      <c r="E780" s="14"/>
      <c r="F780" s="15"/>
      <c r="G780" s="14"/>
      <c r="H780" s="14"/>
    </row>
    <row r="781" customFormat="false" ht="13.8" hidden="false" customHeight="false" outlineLevel="0" collapsed="false">
      <c r="D781" s="14"/>
      <c r="E781" s="14"/>
      <c r="F781" s="15"/>
      <c r="G781" s="14"/>
      <c r="H781" s="14"/>
    </row>
    <row r="782" customFormat="false" ht="13.8" hidden="false" customHeight="false" outlineLevel="0" collapsed="false">
      <c r="D782" s="14"/>
      <c r="E782" s="14"/>
      <c r="F782" s="15"/>
      <c r="G782" s="14"/>
      <c r="H782" s="14"/>
    </row>
    <row r="783" customFormat="false" ht="13.8" hidden="false" customHeight="false" outlineLevel="0" collapsed="false">
      <c r="D783" s="14"/>
      <c r="E783" s="14"/>
      <c r="F783" s="15"/>
      <c r="G783" s="14"/>
      <c r="H783" s="14"/>
    </row>
    <row r="784" customFormat="false" ht="13.8" hidden="false" customHeight="false" outlineLevel="0" collapsed="false">
      <c r="D784" s="14"/>
      <c r="E784" s="14"/>
      <c r="F784" s="15"/>
      <c r="G784" s="14"/>
      <c r="H784" s="14"/>
    </row>
    <row r="785" customFormat="false" ht="13.8" hidden="false" customHeight="false" outlineLevel="0" collapsed="false">
      <c r="D785" s="14"/>
      <c r="E785" s="14"/>
      <c r="F785" s="15"/>
      <c r="G785" s="14"/>
      <c r="H785" s="14"/>
    </row>
    <row r="786" customFormat="false" ht="13.8" hidden="false" customHeight="false" outlineLevel="0" collapsed="false">
      <c r="D786" s="14"/>
      <c r="E786" s="14"/>
      <c r="F786" s="15"/>
      <c r="G786" s="14"/>
      <c r="H786" s="14"/>
    </row>
    <row r="787" customFormat="false" ht="13.8" hidden="false" customHeight="false" outlineLevel="0" collapsed="false">
      <c r="D787" s="14"/>
      <c r="E787" s="14"/>
      <c r="F787" s="15"/>
      <c r="G787" s="14"/>
      <c r="H787" s="14"/>
    </row>
    <row r="788" customFormat="false" ht="13.8" hidden="false" customHeight="false" outlineLevel="0" collapsed="false">
      <c r="D788" s="14"/>
      <c r="E788" s="14"/>
      <c r="F788" s="15"/>
      <c r="G788" s="14"/>
      <c r="H788" s="14"/>
    </row>
    <row r="789" customFormat="false" ht="13.8" hidden="false" customHeight="false" outlineLevel="0" collapsed="false">
      <c r="D789" s="14"/>
      <c r="E789" s="14"/>
      <c r="F789" s="15"/>
      <c r="G789" s="14"/>
      <c r="H789" s="14"/>
    </row>
    <row r="790" customFormat="false" ht="13.8" hidden="false" customHeight="false" outlineLevel="0" collapsed="false">
      <c r="D790" s="14"/>
      <c r="E790" s="14"/>
      <c r="F790" s="15"/>
      <c r="G790" s="14"/>
      <c r="H790" s="14"/>
    </row>
    <row r="791" customFormat="false" ht="13.8" hidden="false" customHeight="false" outlineLevel="0" collapsed="false">
      <c r="D791" s="14"/>
      <c r="E791" s="14"/>
      <c r="F791" s="15"/>
      <c r="G791" s="14"/>
      <c r="H791" s="14"/>
    </row>
    <row r="792" customFormat="false" ht="13.8" hidden="false" customHeight="false" outlineLevel="0" collapsed="false">
      <c r="D792" s="14"/>
      <c r="E792" s="14"/>
      <c r="F792" s="15"/>
      <c r="G792" s="14"/>
      <c r="H792" s="14"/>
    </row>
    <row r="793" customFormat="false" ht="13.8" hidden="false" customHeight="false" outlineLevel="0" collapsed="false">
      <c r="D793" s="14"/>
      <c r="E793" s="14"/>
      <c r="F793" s="15"/>
      <c r="G793" s="14"/>
      <c r="H793" s="14"/>
    </row>
    <row r="794" customFormat="false" ht="13.8" hidden="false" customHeight="false" outlineLevel="0" collapsed="false">
      <c r="D794" s="14"/>
      <c r="E794" s="14"/>
      <c r="F794" s="15"/>
      <c r="G794" s="14"/>
      <c r="H794" s="14"/>
    </row>
    <row r="795" customFormat="false" ht="13.8" hidden="false" customHeight="false" outlineLevel="0" collapsed="false">
      <c r="D795" s="14"/>
      <c r="E795" s="14"/>
      <c r="F795" s="15"/>
      <c r="G795" s="14"/>
      <c r="H795" s="14"/>
    </row>
    <row r="796" customFormat="false" ht="13.8" hidden="false" customHeight="false" outlineLevel="0" collapsed="false">
      <c r="D796" s="14"/>
      <c r="E796" s="14"/>
      <c r="F796" s="15"/>
      <c r="G796" s="14"/>
      <c r="H796" s="14"/>
    </row>
    <row r="797" customFormat="false" ht="13.8" hidden="false" customHeight="false" outlineLevel="0" collapsed="false">
      <c r="D797" s="14"/>
      <c r="E797" s="14"/>
      <c r="F797" s="15"/>
      <c r="G797" s="14"/>
      <c r="H797" s="14"/>
    </row>
    <row r="798" customFormat="false" ht="13.8" hidden="false" customHeight="false" outlineLevel="0" collapsed="false">
      <c r="D798" s="14"/>
      <c r="E798" s="14"/>
      <c r="F798" s="15"/>
      <c r="G798" s="14"/>
      <c r="H798" s="14"/>
    </row>
    <row r="799" customFormat="false" ht="13.8" hidden="false" customHeight="false" outlineLevel="0" collapsed="false">
      <c r="D799" s="14"/>
      <c r="E799" s="14"/>
      <c r="F799" s="15"/>
      <c r="G799" s="14"/>
      <c r="H799" s="14"/>
    </row>
    <row r="800" customFormat="false" ht="13.8" hidden="false" customHeight="false" outlineLevel="0" collapsed="false">
      <c r="D800" s="14"/>
      <c r="E800" s="14"/>
      <c r="F800" s="15"/>
      <c r="G800" s="14"/>
      <c r="H800" s="14"/>
    </row>
    <row r="801" customFormat="false" ht="13.8" hidden="false" customHeight="false" outlineLevel="0" collapsed="false">
      <c r="D801" s="14"/>
      <c r="E801" s="14"/>
      <c r="F801" s="15"/>
      <c r="G801" s="14"/>
      <c r="H801" s="14"/>
    </row>
    <row r="802" customFormat="false" ht="13.8" hidden="false" customHeight="false" outlineLevel="0" collapsed="false">
      <c r="D802" s="14"/>
      <c r="E802" s="14"/>
      <c r="F802" s="15"/>
      <c r="G802" s="14"/>
      <c r="H802" s="14"/>
    </row>
    <row r="803" customFormat="false" ht="13.8" hidden="false" customHeight="false" outlineLevel="0" collapsed="false">
      <c r="D803" s="14"/>
      <c r="E803" s="14"/>
      <c r="F803" s="15"/>
      <c r="G803" s="14"/>
      <c r="H803" s="14"/>
    </row>
    <row r="804" customFormat="false" ht="13.8" hidden="false" customHeight="false" outlineLevel="0" collapsed="false">
      <c r="D804" s="14"/>
      <c r="E804" s="14"/>
      <c r="F804" s="15"/>
      <c r="G804" s="14"/>
      <c r="H804" s="14"/>
    </row>
    <row r="805" customFormat="false" ht="13.8" hidden="false" customHeight="false" outlineLevel="0" collapsed="false">
      <c r="D805" s="14"/>
      <c r="E805" s="14"/>
      <c r="F805" s="15"/>
      <c r="G805" s="14"/>
      <c r="H805" s="14"/>
    </row>
    <row r="806" customFormat="false" ht="13.8" hidden="false" customHeight="false" outlineLevel="0" collapsed="false">
      <c r="D806" s="14"/>
      <c r="E806" s="14"/>
      <c r="F806" s="15"/>
      <c r="G806" s="14"/>
      <c r="H806" s="14"/>
    </row>
    <row r="807" customFormat="false" ht="13.8" hidden="false" customHeight="false" outlineLevel="0" collapsed="false">
      <c r="D807" s="14"/>
      <c r="E807" s="14"/>
      <c r="F807" s="15"/>
      <c r="G807" s="14"/>
      <c r="H807" s="14"/>
    </row>
    <row r="808" customFormat="false" ht="13.8" hidden="false" customHeight="false" outlineLevel="0" collapsed="false">
      <c r="D808" s="14"/>
      <c r="E808" s="14"/>
      <c r="F808" s="15"/>
      <c r="G808" s="14"/>
      <c r="H808" s="14"/>
    </row>
    <row r="809" customFormat="false" ht="13.8" hidden="false" customHeight="false" outlineLevel="0" collapsed="false">
      <c r="D809" s="14"/>
      <c r="E809" s="14"/>
      <c r="F809" s="15"/>
      <c r="G809" s="14"/>
      <c r="H809" s="14"/>
    </row>
    <row r="810" customFormat="false" ht="13.8" hidden="false" customHeight="false" outlineLevel="0" collapsed="false">
      <c r="D810" s="14"/>
      <c r="E810" s="14"/>
      <c r="F810" s="15"/>
      <c r="G810" s="14"/>
      <c r="H810" s="14"/>
    </row>
    <row r="811" customFormat="false" ht="13.8" hidden="false" customHeight="false" outlineLevel="0" collapsed="false">
      <c r="D811" s="14"/>
      <c r="E811" s="14"/>
      <c r="F811" s="15"/>
      <c r="G811" s="14"/>
      <c r="H811" s="14"/>
    </row>
    <row r="812" customFormat="false" ht="13.8" hidden="false" customHeight="false" outlineLevel="0" collapsed="false">
      <c r="D812" s="14"/>
      <c r="E812" s="14"/>
      <c r="F812" s="15"/>
      <c r="G812" s="14"/>
      <c r="H812" s="14"/>
    </row>
    <row r="813" customFormat="false" ht="13.8" hidden="false" customHeight="false" outlineLevel="0" collapsed="false">
      <c r="D813" s="14"/>
      <c r="E813" s="14"/>
      <c r="F813" s="15"/>
      <c r="G813" s="14"/>
      <c r="H813" s="14"/>
    </row>
    <row r="814" customFormat="false" ht="13.8" hidden="false" customHeight="false" outlineLevel="0" collapsed="false">
      <c r="D814" s="14"/>
      <c r="E814" s="14"/>
      <c r="F814" s="15"/>
      <c r="G814" s="14"/>
      <c r="H814" s="14"/>
    </row>
    <row r="815" customFormat="false" ht="13.8" hidden="false" customHeight="false" outlineLevel="0" collapsed="false">
      <c r="D815" s="14"/>
      <c r="E815" s="14"/>
      <c r="F815" s="15"/>
      <c r="G815" s="14"/>
      <c r="H815" s="14"/>
    </row>
    <row r="816" customFormat="false" ht="13.8" hidden="false" customHeight="false" outlineLevel="0" collapsed="false">
      <c r="D816" s="14"/>
      <c r="E816" s="14"/>
      <c r="F816" s="15"/>
      <c r="G816" s="14"/>
      <c r="H816" s="14"/>
    </row>
    <row r="817" customFormat="false" ht="13.8" hidden="false" customHeight="false" outlineLevel="0" collapsed="false">
      <c r="D817" s="14"/>
      <c r="E817" s="14"/>
      <c r="F817" s="15"/>
      <c r="G817" s="14"/>
      <c r="H817" s="14"/>
    </row>
    <row r="818" customFormat="false" ht="13.8" hidden="false" customHeight="false" outlineLevel="0" collapsed="false">
      <c r="D818" s="14"/>
      <c r="E818" s="14"/>
      <c r="F818" s="15"/>
      <c r="G818" s="14"/>
      <c r="H818" s="14"/>
    </row>
    <row r="819" customFormat="false" ht="13.8" hidden="false" customHeight="false" outlineLevel="0" collapsed="false">
      <c r="D819" s="14"/>
      <c r="E819" s="14"/>
      <c r="F819" s="15"/>
      <c r="G819" s="14"/>
      <c r="H819" s="14"/>
    </row>
    <row r="820" customFormat="false" ht="13.8" hidden="false" customHeight="false" outlineLevel="0" collapsed="false">
      <c r="D820" s="14"/>
      <c r="E820" s="14"/>
      <c r="F820" s="15"/>
      <c r="G820" s="14"/>
      <c r="H820" s="14"/>
    </row>
    <row r="821" customFormat="false" ht="13.8" hidden="false" customHeight="false" outlineLevel="0" collapsed="false">
      <c r="D821" s="14"/>
      <c r="E821" s="14"/>
      <c r="F821" s="15"/>
      <c r="G821" s="14"/>
      <c r="H821" s="14"/>
    </row>
    <row r="822" customFormat="false" ht="13.8" hidden="false" customHeight="false" outlineLevel="0" collapsed="false">
      <c r="D822" s="14"/>
      <c r="E822" s="14"/>
      <c r="F822" s="15"/>
      <c r="G822" s="14"/>
      <c r="H822" s="14"/>
    </row>
    <row r="823" customFormat="false" ht="13.8" hidden="false" customHeight="false" outlineLevel="0" collapsed="false">
      <c r="D823" s="14"/>
      <c r="E823" s="14"/>
      <c r="F823" s="15"/>
      <c r="G823" s="14"/>
      <c r="H823" s="14"/>
    </row>
    <row r="824" customFormat="false" ht="13.8" hidden="false" customHeight="false" outlineLevel="0" collapsed="false">
      <c r="D824" s="14"/>
      <c r="E824" s="14"/>
      <c r="F824" s="15"/>
      <c r="G824" s="14"/>
      <c r="H824" s="14"/>
    </row>
    <row r="825" customFormat="false" ht="13.8" hidden="false" customHeight="false" outlineLevel="0" collapsed="false">
      <c r="D825" s="14"/>
      <c r="E825" s="14"/>
      <c r="F825" s="15"/>
      <c r="G825" s="14"/>
      <c r="H825" s="14"/>
    </row>
    <row r="826" customFormat="false" ht="13.8" hidden="false" customHeight="false" outlineLevel="0" collapsed="false">
      <c r="D826" s="14"/>
      <c r="E826" s="14"/>
      <c r="F826" s="15"/>
      <c r="G826" s="14"/>
      <c r="H826" s="14"/>
    </row>
    <row r="827" customFormat="false" ht="13.8" hidden="false" customHeight="false" outlineLevel="0" collapsed="false">
      <c r="D827" s="14"/>
      <c r="E827" s="14"/>
      <c r="F827" s="15"/>
      <c r="G827" s="14"/>
      <c r="H827" s="14"/>
    </row>
    <row r="828" customFormat="false" ht="13.8" hidden="false" customHeight="false" outlineLevel="0" collapsed="false">
      <c r="D828" s="14"/>
      <c r="E828" s="14"/>
      <c r="F828" s="15"/>
      <c r="G828" s="14"/>
      <c r="H828" s="14"/>
    </row>
    <row r="829" customFormat="false" ht="13.8" hidden="false" customHeight="false" outlineLevel="0" collapsed="false">
      <c r="D829" s="14"/>
      <c r="E829" s="14"/>
      <c r="F829" s="15"/>
      <c r="G829" s="14"/>
      <c r="H829" s="14"/>
    </row>
    <row r="830" customFormat="false" ht="13.8" hidden="false" customHeight="false" outlineLevel="0" collapsed="false">
      <c r="D830" s="14"/>
      <c r="E830" s="14"/>
      <c r="F830" s="15"/>
      <c r="G830" s="14"/>
      <c r="H830" s="14"/>
    </row>
    <row r="831" customFormat="false" ht="13.8" hidden="false" customHeight="false" outlineLevel="0" collapsed="false">
      <c r="D831" s="14"/>
      <c r="E831" s="14"/>
      <c r="F831" s="15"/>
      <c r="G831" s="14"/>
      <c r="H831" s="14"/>
    </row>
    <row r="832" customFormat="false" ht="13.8" hidden="false" customHeight="false" outlineLevel="0" collapsed="false">
      <c r="D832" s="14"/>
      <c r="E832" s="14"/>
      <c r="F832" s="15"/>
      <c r="G832" s="14"/>
      <c r="H832" s="14"/>
    </row>
    <row r="833" customFormat="false" ht="13.8" hidden="false" customHeight="false" outlineLevel="0" collapsed="false">
      <c r="D833" s="14"/>
      <c r="E833" s="14"/>
      <c r="F833" s="15"/>
      <c r="G833" s="14"/>
      <c r="H833" s="14"/>
    </row>
    <row r="834" customFormat="false" ht="13.8" hidden="false" customHeight="false" outlineLevel="0" collapsed="false">
      <c r="D834" s="14"/>
      <c r="E834" s="14"/>
      <c r="F834" s="15"/>
      <c r="G834" s="14"/>
      <c r="H834" s="14"/>
    </row>
    <row r="835" customFormat="false" ht="13.8" hidden="false" customHeight="false" outlineLevel="0" collapsed="false">
      <c r="D835" s="14"/>
      <c r="E835" s="14"/>
      <c r="F835" s="15"/>
      <c r="G835" s="14"/>
      <c r="H835" s="14"/>
    </row>
    <row r="836" customFormat="false" ht="13.8" hidden="false" customHeight="false" outlineLevel="0" collapsed="false">
      <c r="D836" s="14"/>
      <c r="E836" s="14"/>
      <c r="F836" s="15"/>
      <c r="G836" s="14"/>
      <c r="H836" s="14"/>
    </row>
    <row r="837" customFormat="false" ht="13.8" hidden="false" customHeight="false" outlineLevel="0" collapsed="false">
      <c r="D837" s="14"/>
      <c r="E837" s="14"/>
      <c r="F837" s="15"/>
      <c r="G837" s="14"/>
      <c r="H837" s="14"/>
    </row>
    <row r="838" customFormat="false" ht="13.8" hidden="false" customHeight="false" outlineLevel="0" collapsed="false">
      <c r="D838" s="14"/>
      <c r="E838" s="14"/>
      <c r="F838" s="15"/>
      <c r="G838" s="14"/>
      <c r="H838" s="14"/>
    </row>
    <row r="839" customFormat="false" ht="13.8" hidden="false" customHeight="false" outlineLevel="0" collapsed="false">
      <c r="D839" s="14"/>
      <c r="E839" s="14"/>
      <c r="F839" s="15"/>
      <c r="G839" s="14"/>
      <c r="H839" s="14"/>
    </row>
    <row r="840" customFormat="false" ht="13.8" hidden="false" customHeight="false" outlineLevel="0" collapsed="false">
      <c r="D840" s="14"/>
      <c r="E840" s="14"/>
      <c r="F840" s="15"/>
      <c r="G840" s="14"/>
      <c r="H840" s="14"/>
    </row>
    <row r="841" customFormat="false" ht="13.8" hidden="false" customHeight="false" outlineLevel="0" collapsed="false">
      <c r="D841" s="14"/>
      <c r="E841" s="14"/>
      <c r="F841" s="15"/>
      <c r="G841" s="14"/>
      <c r="H841" s="14"/>
    </row>
    <row r="842" customFormat="false" ht="13.8" hidden="false" customHeight="false" outlineLevel="0" collapsed="false">
      <c r="D842" s="14"/>
      <c r="E842" s="14"/>
      <c r="F842" s="15"/>
      <c r="G842" s="14"/>
      <c r="H842" s="14"/>
    </row>
    <row r="843" customFormat="false" ht="13.8" hidden="false" customHeight="false" outlineLevel="0" collapsed="false">
      <c r="D843" s="14"/>
      <c r="E843" s="14"/>
      <c r="F843" s="15"/>
      <c r="G843" s="14"/>
      <c r="H843" s="14"/>
    </row>
    <row r="844" customFormat="false" ht="13.8" hidden="false" customHeight="false" outlineLevel="0" collapsed="false">
      <c r="D844" s="14"/>
      <c r="E844" s="14"/>
      <c r="F844" s="15"/>
      <c r="G844" s="14"/>
      <c r="H844" s="14"/>
    </row>
    <row r="845" customFormat="false" ht="13.8" hidden="false" customHeight="false" outlineLevel="0" collapsed="false">
      <c r="D845" s="14"/>
      <c r="E845" s="14"/>
      <c r="F845" s="15"/>
      <c r="G845" s="14"/>
      <c r="H845" s="14"/>
    </row>
    <row r="846" customFormat="false" ht="13.8" hidden="false" customHeight="false" outlineLevel="0" collapsed="false">
      <c r="D846" s="14"/>
      <c r="E846" s="14"/>
      <c r="F846" s="15"/>
      <c r="G846" s="14"/>
      <c r="H846" s="14"/>
    </row>
    <row r="847" customFormat="false" ht="13.8" hidden="false" customHeight="false" outlineLevel="0" collapsed="false">
      <c r="D847" s="14"/>
      <c r="E847" s="14"/>
      <c r="F847" s="15"/>
      <c r="G847" s="14"/>
      <c r="H847" s="14"/>
    </row>
    <row r="848" customFormat="false" ht="13.8" hidden="false" customHeight="false" outlineLevel="0" collapsed="false">
      <c r="D848" s="14"/>
      <c r="E848" s="14"/>
      <c r="F848" s="15"/>
      <c r="G848" s="14"/>
      <c r="H848" s="14"/>
    </row>
    <row r="849" customFormat="false" ht="13.8" hidden="false" customHeight="false" outlineLevel="0" collapsed="false">
      <c r="D849" s="14"/>
      <c r="E849" s="14"/>
      <c r="F849" s="15"/>
      <c r="G849" s="14"/>
      <c r="H849" s="14"/>
    </row>
    <row r="850" customFormat="false" ht="13.8" hidden="false" customHeight="false" outlineLevel="0" collapsed="false">
      <c r="D850" s="14"/>
      <c r="E850" s="14"/>
      <c r="F850" s="15"/>
      <c r="G850" s="14"/>
      <c r="H850" s="14"/>
    </row>
    <row r="851" customFormat="false" ht="13.8" hidden="false" customHeight="false" outlineLevel="0" collapsed="false">
      <c r="D851" s="14"/>
      <c r="E851" s="14"/>
      <c r="F851" s="15"/>
      <c r="G851" s="14"/>
      <c r="H851" s="14"/>
    </row>
    <row r="852" customFormat="false" ht="13.8" hidden="false" customHeight="false" outlineLevel="0" collapsed="false">
      <c r="D852" s="14"/>
      <c r="E852" s="14"/>
      <c r="F852" s="15"/>
      <c r="G852" s="14"/>
      <c r="H852" s="14"/>
    </row>
    <row r="853" customFormat="false" ht="13.8" hidden="false" customHeight="false" outlineLevel="0" collapsed="false">
      <c r="D853" s="14"/>
      <c r="E853" s="14"/>
      <c r="F853" s="15"/>
      <c r="G853" s="14"/>
      <c r="H853" s="14"/>
    </row>
    <row r="854" customFormat="false" ht="13.8" hidden="false" customHeight="false" outlineLevel="0" collapsed="false">
      <c r="D854" s="14"/>
      <c r="E854" s="14"/>
      <c r="F854" s="15"/>
      <c r="G854" s="14"/>
      <c r="H854" s="14"/>
    </row>
    <row r="855" customFormat="false" ht="13.8" hidden="false" customHeight="false" outlineLevel="0" collapsed="false">
      <c r="D855" s="14"/>
      <c r="E855" s="14"/>
      <c r="F855" s="15"/>
      <c r="G855" s="14"/>
      <c r="H855" s="14"/>
    </row>
    <row r="856" customFormat="false" ht="13.8" hidden="false" customHeight="false" outlineLevel="0" collapsed="false">
      <c r="D856" s="14"/>
      <c r="E856" s="14"/>
      <c r="F856" s="15"/>
      <c r="G856" s="14"/>
      <c r="H856" s="14"/>
    </row>
    <row r="857" customFormat="false" ht="13.8" hidden="false" customHeight="false" outlineLevel="0" collapsed="false">
      <c r="D857" s="14"/>
      <c r="E857" s="14"/>
      <c r="F857" s="15"/>
      <c r="G857" s="14"/>
      <c r="H857" s="14"/>
    </row>
    <row r="858" customFormat="false" ht="13.8" hidden="false" customHeight="false" outlineLevel="0" collapsed="false">
      <c r="D858" s="14"/>
      <c r="E858" s="14"/>
      <c r="F858" s="15"/>
      <c r="G858" s="14"/>
      <c r="H858" s="14"/>
    </row>
    <row r="859" customFormat="false" ht="13.8" hidden="false" customHeight="false" outlineLevel="0" collapsed="false">
      <c r="D859" s="14"/>
      <c r="E859" s="14"/>
      <c r="F859" s="15"/>
      <c r="G859" s="14"/>
      <c r="H859" s="14"/>
    </row>
    <row r="860" customFormat="false" ht="13.8" hidden="false" customHeight="false" outlineLevel="0" collapsed="false">
      <c r="D860" s="14"/>
      <c r="E860" s="14"/>
      <c r="F860" s="15"/>
      <c r="G860" s="14"/>
      <c r="H860" s="14"/>
    </row>
    <row r="861" customFormat="false" ht="13.8" hidden="false" customHeight="false" outlineLevel="0" collapsed="false">
      <c r="D861" s="14"/>
      <c r="E861" s="14"/>
      <c r="F861" s="15"/>
      <c r="G861" s="14"/>
      <c r="H861" s="14"/>
    </row>
    <row r="862" customFormat="false" ht="13.8" hidden="false" customHeight="false" outlineLevel="0" collapsed="false">
      <c r="D862" s="14"/>
      <c r="E862" s="14"/>
      <c r="F862" s="15"/>
      <c r="G862" s="14"/>
      <c r="H862" s="14"/>
    </row>
    <row r="863" customFormat="false" ht="13.8" hidden="false" customHeight="false" outlineLevel="0" collapsed="false">
      <c r="D863" s="14"/>
      <c r="E863" s="14"/>
      <c r="F863" s="15"/>
      <c r="G863" s="14"/>
      <c r="H863" s="14"/>
    </row>
    <row r="864" customFormat="false" ht="13.8" hidden="false" customHeight="false" outlineLevel="0" collapsed="false">
      <c r="D864" s="14"/>
      <c r="E864" s="14"/>
      <c r="F864" s="15"/>
      <c r="G864" s="14"/>
      <c r="H864" s="14"/>
    </row>
    <row r="865" customFormat="false" ht="13.8" hidden="false" customHeight="false" outlineLevel="0" collapsed="false">
      <c r="D865" s="14"/>
      <c r="E865" s="14"/>
      <c r="F865" s="15"/>
      <c r="G865" s="14"/>
      <c r="H865" s="14"/>
    </row>
    <row r="866" customFormat="false" ht="13.8" hidden="false" customHeight="false" outlineLevel="0" collapsed="false">
      <c r="D866" s="14"/>
      <c r="E866" s="14"/>
      <c r="F866" s="15"/>
      <c r="G866" s="14"/>
      <c r="H866" s="14"/>
    </row>
    <row r="867" customFormat="false" ht="13.8" hidden="false" customHeight="false" outlineLevel="0" collapsed="false">
      <c r="D867" s="14"/>
      <c r="E867" s="14"/>
      <c r="F867" s="15"/>
      <c r="G867" s="14"/>
      <c r="H867" s="14"/>
    </row>
    <row r="868" customFormat="false" ht="13.8" hidden="false" customHeight="false" outlineLevel="0" collapsed="false">
      <c r="D868" s="14"/>
      <c r="E868" s="14"/>
      <c r="F868" s="15"/>
      <c r="G868" s="14"/>
      <c r="H868" s="14"/>
    </row>
    <row r="869" customFormat="false" ht="13.8" hidden="false" customHeight="false" outlineLevel="0" collapsed="false">
      <c r="D869" s="14"/>
      <c r="E869" s="14"/>
      <c r="F869" s="15"/>
      <c r="G869" s="14"/>
      <c r="H869" s="14"/>
    </row>
    <row r="870" customFormat="false" ht="13.8" hidden="false" customHeight="false" outlineLevel="0" collapsed="false">
      <c r="D870" s="14"/>
      <c r="E870" s="14"/>
      <c r="F870" s="15"/>
      <c r="G870" s="14"/>
      <c r="H870" s="14"/>
    </row>
    <row r="871" customFormat="false" ht="13.8" hidden="false" customHeight="false" outlineLevel="0" collapsed="false">
      <c r="D871" s="14"/>
      <c r="E871" s="14"/>
      <c r="F871" s="15"/>
      <c r="G871" s="14"/>
      <c r="H871" s="14"/>
    </row>
    <row r="872" customFormat="false" ht="13.8" hidden="false" customHeight="false" outlineLevel="0" collapsed="false">
      <c r="D872" s="14"/>
      <c r="E872" s="14"/>
      <c r="F872" s="15"/>
      <c r="G872" s="14"/>
      <c r="H872" s="14"/>
    </row>
    <row r="873" customFormat="false" ht="13.8" hidden="false" customHeight="false" outlineLevel="0" collapsed="false">
      <c r="D873" s="14"/>
      <c r="E873" s="14"/>
      <c r="F873" s="15"/>
      <c r="G873" s="14"/>
      <c r="H873" s="14"/>
    </row>
    <row r="874" customFormat="false" ht="13.8" hidden="false" customHeight="false" outlineLevel="0" collapsed="false">
      <c r="D874" s="14"/>
      <c r="E874" s="14"/>
      <c r="F874" s="15"/>
      <c r="G874" s="14"/>
      <c r="H874" s="14"/>
    </row>
    <row r="875" customFormat="false" ht="13.8" hidden="false" customHeight="false" outlineLevel="0" collapsed="false">
      <c r="D875" s="14"/>
      <c r="E875" s="14"/>
      <c r="F875" s="15"/>
      <c r="G875" s="14"/>
      <c r="H875" s="14"/>
    </row>
    <row r="876" customFormat="false" ht="13.8" hidden="false" customHeight="false" outlineLevel="0" collapsed="false">
      <c r="D876" s="14"/>
      <c r="E876" s="14"/>
      <c r="F876" s="15"/>
      <c r="G876" s="14"/>
      <c r="H876" s="14"/>
    </row>
    <row r="877" customFormat="false" ht="13.8" hidden="false" customHeight="false" outlineLevel="0" collapsed="false">
      <c r="D877" s="14"/>
      <c r="E877" s="14"/>
      <c r="F877" s="15"/>
      <c r="G877" s="14"/>
      <c r="H877" s="14"/>
    </row>
    <row r="878" customFormat="false" ht="13.8" hidden="false" customHeight="false" outlineLevel="0" collapsed="false">
      <c r="D878" s="14"/>
      <c r="E878" s="14"/>
      <c r="F878" s="15"/>
      <c r="G878" s="14"/>
      <c r="H878" s="14"/>
    </row>
    <row r="879" customFormat="false" ht="13.8" hidden="false" customHeight="false" outlineLevel="0" collapsed="false">
      <c r="D879" s="14"/>
      <c r="E879" s="14"/>
      <c r="F879" s="15"/>
      <c r="G879" s="14"/>
      <c r="H879" s="14"/>
    </row>
    <row r="880" customFormat="false" ht="13.8" hidden="false" customHeight="false" outlineLevel="0" collapsed="false">
      <c r="D880" s="14"/>
      <c r="E880" s="14"/>
      <c r="F880" s="15"/>
      <c r="G880" s="14"/>
      <c r="H880" s="14"/>
    </row>
    <row r="881" customFormat="false" ht="13.8" hidden="false" customHeight="false" outlineLevel="0" collapsed="false">
      <c r="D881" s="14"/>
      <c r="E881" s="14"/>
      <c r="F881" s="15"/>
      <c r="G881" s="14"/>
      <c r="H881" s="14"/>
    </row>
    <row r="882" customFormat="false" ht="13.8" hidden="false" customHeight="false" outlineLevel="0" collapsed="false">
      <c r="D882" s="14"/>
      <c r="E882" s="14"/>
      <c r="F882" s="15"/>
      <c r="G882" s="14"/>
      <c r="H882" s="14"/>
    </row>
    <row r="883" customFormat="false" ht="13.8" hidden="false" customHeight="false" outlineLevel="0" collapsed="false">
      <c r="D883" s="14"/>
      <c r="E883" s="14"/>
      <c r="F883" s="15"/>
      <c r="G883" s="14"/>
      <c r="H883" s="14"/>
    </row>
    <row r="884" customFormat="false" ht="13.8" hidden="false" customHeight="false" outlineLevel="0" collapsed="false">
      <c r="D884" s="14"/>
      <c r="E884" s="14"/>
      <c r="F884" s="15"/>
      <c r="G884" s="14"/>
      <c r="H884" s="14"/>
    </row>
    <row r="885" customFormat="false" ht="13.8" hidden="false" customHeight="false" outlineLevel="0" collapsed="false">
      <c r="D885" s="14"/>
      <c r="E885" s="14"/>
      <c r="F885" s="15"/>
      <c r="G885" s="14"/>
      <c r="H885" s="14"/>
    </row>
    <row r="886" customFormat="false" ht="13.8" hidden="false" customHeight="false" outlineLevel="0" collapsed="false">
      <c r="D886" s="14"/>
      <c r="E886" s="14"/>
      <c r="F886" s="15"/>
      <c r="G886" s="14"/>
      <c r="H886" s="14"/>
    </row>
    <row r="887" customFormat="false" ht="13.8" hidden="false" customHeight="false" outlineLevel="0" collapsed="false">
      <c r="D887" s="14"/>
      <c r="E887" s="14"/>
      <c r="F887" s="15"/>
      <c r="G887" s="14"/>
      <c r="H887" s="14"/>
    </row>
    <row r="888" customFormat="false" ht="13.8" hidden="false" customHeight="false" outlineLevel="0" collapsed="false">
      <c r="D888" s="14"/>
      <c r="E888" s="14"/>
      <c r="F888" s="15"/>
      <c r="G888" s="14"/>
      <c r="H888" s="14"/>
    </row>
    <row r="889" customFormat="false" ht="13.8" hidden="false" customHeight="false" outlineLevel="0" collapsed="false">
      <c r="D889" s="14"/>
      <c r="E889" s="14"/>
      <c r="F889" s="15"/>
      <c r="G889" s="14"/>
      <c r="H889" s="14"/>
    </row>
    <row r="890" customFormat="false" ht="13.8" hidden="false" customHeight="false" outlineLevel="0" collapsed="false">
      <c r="D890" s="14"/>
      <c r="E890" s="14"/>
      <c r="F890" s="15"/>
      <c r="G890" s="14"/>
      <c r="H890" s="14"/>
    </row>
    <row r="891" customFormat="false" ht="13.8" hidden="false" customHeight="false" outlineLevel="0" collapsed="false">
      <c r="D891" s="14"/>
      <c r="E891" s="14"/>
      <c r="F891" s="15"/>
      <c r="G891" s="14"/>
      <c r="H891" s="14"/>
    </row>
    <row r="892" customFormat="false" ht="13.8" hidden="false" customHeight="false" outlineLevel="0" collapsed="false">
      <c r="D892" s="14"/>
      <c r="E892" s="14"/>
      <c r="F892" s="15"/>
      <c r="G892" s="14"/>
      <c r="H892" s="14"/>
    </row>
    <row r="893" customFormat="false" ht="13.8" hidden="false" customHeight="false" outlineLevel="0" collapsed="false">
      <c r="D893" s="14"/>
      <c r="E893" s="14"/>
      <c r="F893" s="15"/>
      <c r="G893" s="14"/>
      <c r="H893" s="14"/>
    </row>
    <row r="894" customFormat="false" ht="13.8" hidden="false" customHeight="false" outlineLevel="0" collapsed="false">
      <c r="D894" s="14"/>
      <c r="E894" s="14"/>
      <c r="F894" s="15"/>
      <c r="G894" s="14"/>
      <c r="H894" s="14"/>
    </row>
    <row r="895" customFormat="false" ht="13.8" hidden="false" customHeight="false" outlineLevel="0" collapsed="false">
      <c r="D895" s="14"/>
      <c r="E895" s="14"/>
      <c r="F895" s="15"/>
      <c r="G895" s="14"/>
      <c r="H895" s="14"/>
    </row>
    <row r="896" customFormat="false" ht="13.8" hidden="false" customHeight="false" outlineLevel="0" collapsed="false">
      <c r="D896" s="14"/>
      <c r="E896" s="14"/>
      <c r="F896" s="15"/>
      <c r="G896" s="14"/>
      <c r="H896" s="14"/>
    </row>
    <row r="897" customFormat="false" ht="13.8" hidden="false" customHeight="false" outlineLevel="0" collapsed="false">
      <c r="D897" s="14"/>
      <c r="E897" s="14"/>
      <c r="F897" s="15"/>
      <c r="G897" s="14"/>
      <c r="H897" s="14"/>
    </row>
    <row r="898" customFormat="false" ht="13.8" hidden="false" customHeight="false" outlineLevel="0" collapsed="false">
      <c r="D898" s="14"/>
      <c r="E898" s="14"/>
      <c r="F898" s="15"/>
      <c r="G898" s="14"/>
      <c r="H898" s="14"/>
    </row>
    <row r="899" customFormat="false" ht="13.8" hidden="false" customHeight="false" outlineLevel="0" collapsed="false">
      <c r="D899" s="14"/>
      <c r="E899" s="14"/>
      <c r="F899" s="15"/>
      <c r="G899" s="14"/>
      <c r="H899" s="14"/>
    </row>
    <row r="900" customFormat="false" ht="13.8" hidden="false" customHeight="false" outlineLevel="0" collapsed="false">
      <c r="D900" s="14"/>
      <c r="E900" s="14"/>
      <c r="F900" s="15"/>
      <c r="G900" s="14"/>
      <c r="H900" s="14"/>
    </row>
    <row r="901" customFormat="false" ht="13.8" hidden="false" customHeight="false" outlineLevel="0" collapsed="false">
      <c r="D901" s="14"/>
      <c r="E901" s="14"/>
      <c r="F901" s="15"/>
      <c r="G901" s="14"/>
      <c r="H901" s="14"/>
    </row>
    <row r="902" customFormat="false" ht="13.8" hidden="false" customHeight="false" outlineLevel="0" collapsed="false">
      <c r="D902" s="14"/>
      <c r="E902" s="14"/>
      <c r="F902" s="15"/>
      <c r="G902" s="14"/>
      <c r="H902" s="14"/>
    </row>
    <row r="903" customFormat="false" ht="13.8" hidden="false" customHeight="false" outlineLevel="0" collapsed="false">
      <c r="D903" s="14"/>
      <c r="E903" s="14"/>
      <c r="F903" s="15"/>
      <c r="G903" s="14"/>
      <c r="H903" s="14"/>
    </row>
    <row r="904" customFormat="false" ht="13.8" hidden="false" customHeight="false" outlineLevel="0" collapsed="false">
      <c r="D904" s="14"/>
      <c r="E904" s="14"/>
      <c r="F904" s="15"/>
      <c r="G904" s="14"/>
      <c r="H904" s="14"/>
    </row>
    <row r="905" customFormat="false" ht="13.8" hidden="false" customHeight="false" outlineLevel="0" collapsed="false">
      <c r="D905" s="14"/>
      <c r="E905" s="14"/>
      <c r="F905" s="15"/>
      <c r="G905" s="14"/>
      <c r="H905" s="14"/>
    </row>
    <row r="906" customFormat="false" ht="13.8" hidden="false" customHeight="false" outlineLevel="0" collapsed="false">
      <c r="D906" s="14"/>
      <c r="E906" s="14"/>
      <c r="F906" s="15"/>
      <c r="G906" s="14"/>
      <c r="H906" s="14"/>
    </row>
    <row r="907" customFormat="false" ht="13.8" hidden="false" customHeight="false" outlineLevel="0" collapsed="false">
      <c r="D907" s="14"/>
      <c r="E907" s="14"/>
      <c r="F907" s="15"/>
      <c r="G907" s="14"/>
      <c r="H907" s="14"/>
    </row>
    <row r="908" customFormat="false" ht="13.8" hidden="false" customHeight="false" outlineLevel="0" collapsed="false">
      <c r="D908" s="14"/>
      <c r="E908" s="14"/>
      <c r="F908" s="15"/>
      <c r="G908" s="14"/>
      <c r="H908" s="14"/>
    </row>
    <row r="909" customFormat="false" ht="13.8" hidden="false" customHeight="false" outlineLevel="0" collapsed="false">
      <c r="D909" s="14"/>
      <c r="E909" s="14"/>
      <c r="F909" s="15"/>
      <c r="G909" s="14"/>
      <c r="H909" s="14"/>
    </row>
    <row r="910" customFormat="false" ht="13.8" hidden="false" customHeight="false" outlineLevel="0" collapsed="false">
      <c r="D910" s="14"/>
      <c r="E910" s="14"/>
      <c r="F910" s="15"/>
      <c r="G910" s="14"/>
      <c r="H910" s="14"/>
    </row>
    <row r="911" customFormat="false" ht="13.8" hidden="false" customHeight="false" outlineLevel="0" collapsed="false">
      <c r="D911" s="14"/>
      <c r="E911" s="14"/>
      <c r="F911" s="15"/>
      <c r="G911" s="14"/>
      <c r="H911" s="14"/>
    </row>
    <row r="912" customFormat="false" ht="13.8" hidden="false" customHeight="false" outlineLevel="0" collapsed="false">
      <c r="D912" s="14"/>
      <c r="E912" s="14"/>
      <c r="F912" s="15"/>
      <c r="G912" s="14"/>
      <c r="H912" s="14"/>
    </row>
    <row r="913" customFormat="false" ht="13.8" hidden="false" customHeight="false" outlineLevel="0" collapsed="false">
      <c r="D913" s="14"/>
      <c r="E913" s="14"/>
      <c r="F913" s="15"/>
      <c r="G913" s="14"/>
      <c r="H913" s="14"/>
    </row>
    <row r="914" customFormat="false" ht="13.8" hidden="false" customHeight="false" outlineLevel="0" collapsed="false">
      <c r="D914" s="14"/>
      <c r="E914" s="14"/>
      <c r="F914" s="15"/>
      <c r="G914" s="14"/>
      <c r="H914" s="14"/>
    </row>
    <row r="915" customFormat="false" ht="13.8" hidden="false" customHeight="false" outlineLevel="0" collapsed="false">
      <c r="D915" s="14"/>
      <c r="E915" s="14"/>
      <c r="F915" s="15"/>
      <c r="G915" s="14"/>
      <c r="H915" s="14"/>
    </row>
    <row r="916" customFormat="false" ht="13.8" hidden="false" customHeight="false" outlineLevel="0" collapsed="false">
      <c r="D916" s="14"/>
      <c r="E916" s="14"/>
      <c r="F916" s="15"/>
      <c r="G916" s="14"/>
      <c r="H916" s="14"/>
    </row>
    <row r="917" customFormat="false" ht="13.8" hidden="false" customHeight="false" outlineLevel="0" collapsed="false">
      <c r="D917" s="14"/>
      <c r="E917" s="14"/>
      <c r="F917" s="15"/>
      <c r="G917" s="14"/>
      <c r="H917" s="14"/>
    </row>
    <row r="918" customFormat="false" ht="13.8" hidden="false" customHeight="false" outlineLevel="0" collapsed="false">
      <c r="D918" s="14"/>
      <c r="E918" s="14"/>
      <c r="F918" s="15"/>
      <c r="G918" s="14"/>
      <c r="H918" s="14"/>
    </row>
    <row r="919" customFormat="false" ht="13.8" hidden="false" customHeight="false" outlineLevel="0" collapsed="false">
      <c r="D919" s="14"/>
      <c r="E919" s="14"/>
      <c r="F919" s="15"/>
      <c r="G919" s="14"/>
      <c r="H919" s="14"/>
    </row>
    <row r="920" customFormat="false" ht="13.8" hidden="false" customHeight="false" outlineLevel="0" collapsed="false">
      <c r="D920" s="14"/>
      <c r="E920" s="14"/>
      <c r="F920" s="15"/>
      <c r="G920" s="14"/>
      <c r="H920" s="14"/>
    </row>
    <row r="921" customFormat="false" ht="13.8" hidden="false" customHeight="false" outlineLevel="0" collapsed="false">
      <c r="D921" s="14"/>
      <c r="E921" s="14"/>
      <c r="F921" s="15"/>
      <c r="G921" s="14"/>
      <c r="H921" s="14"/>
    </row>
    <row r="922" customFormat="false" ht="13.8" hidden="false" customHeight="false" outlineLevel="0" collapsed="false">
      <c r="D922" s="14"/>
      <c r="E922" s="14"/>
      <c r="F922" s="15"/>
      <c r="G922" s="14"/>
      <c r="H922" s="14"/>
    </row>
    <row r="923" customFormat="false" ht="13.8" hidden="false" customHeight="false" outlineLevel="0" collapsed="false">
      <c r="D923" s="14"/>
      <c r="E923" s="14"/>
      <c r="F923" s="15"/>
      <c r="G923" s="14"/>
      <c r="H923" s="14"/>
    </row>
    <row r="924" customFormat="false" ht="13.8" hidden="false" customHeight="false" outlineLevel="0" collapsed="false">
      <c r="D924" s="14"/>
      <c r="E924" s="14"/>
      <c r="F924" s="15"/>
      <c r="G924" s="14"/>
      <c r="H924" s="14"/>
    </row>
    <row r="925" customFormat="false" ht="13.8" hidden="false" customHeight="false" outlineLevel="0" collapsed="false">
      <c r="D925" s="14"/>
      <c r="E925" s="14"/>
      <c r="F925" s="15"/>
      <c r="G925" s="14"/>
      <c r="H925" s="14"/>
    </row>
    <row r="926" customFormat="false" ht="13.8" hidden="false" customHeight="false" outlineLevel="0" collapsed="false">
      <c r="D926" s="14"/>
      <c r="E926" s="14"/>
      <c r="F926" s="15"/>
      <c r="G926" s="14"/>
      <c r="H926" s="14"/>
    </row>
    <row r="927" customFormat="false" ht="13.8" hidden="false" customHeight="false" outlineLevel="0" collapsed="false">
      <c r="D927" s="14"/>
      <c r="E927" s="14"/>
      <c r="F927" s="15"/>
      <c r="G927" s="14"/>
      <c r="H927" s="14"/>
    </row>
    <row r="928" customFormat="false" ht="13.8" hidden="false" customHeight="false" outlineLevel="0" collapsed="false">
      <c r="D928" s="14"/>
      <c r="E928" s="14"/>
      <c r="F928" s="15"/>
      <c r="G928" s="14"/>
      <c r="H928" s="14"/>
    </row>
    <row r="929" customFormat="false" ht="13.8" hidden="false" customHeight="false" outlineLevel="0" collapsed="false">
      <c r="D929" s="14"/>
      <c r="E929" s="14"/>
      <c r="F929" s="15"/>
      <c r="G929" s="14"/>
      <c r="H929" s="14"/>
    </row>
    <row r="930" customFormat="false" ht="13.8" hidden="false" customHeight="false" outlineLevel="0" collapsed="false">
      <c r="D930" s="14"/>
      <c r="E930" s="14"/>
      <c r="F930" s="15"/>
      <c r="G930" s="14"/>
      <c r="H930" s="14"/>
    </row>
    <row r="931" customFormat="false" ht="13.8" hidden="false" customHeight="false" outlineLevel="0" collapsed="false">
      <c r="D931" s="14"/>
      <c r="E931" s="14"/>
      <c r="F931" s="15"/>
      <c r="G931" s="14"/>
      <c r="H931" s="14"/>
    </row>
    <row r="932" customFormat="false" ht="13.8" hidden="false" customHeight="false" outlineLevel="0" collapsed="false">
      <c r="D932" s="14"/>
      <c r="E932" s="14"/>
      <c r="F932" s="15"/>
      <c r="G932" s="14"/>
      <c r="H932" s="14"/>
    </row>
    <row r="933" customFormat="false" ht="13.8" hidden="false" customHeight="false" outlineLevel="0" collapsed="false">
      <c r="D933" s="14"/>
      <c r="E933" s="14"/>
      <c r="F933" s="15"/>
      <c r="G933" s="14"/>
      <c r="H933" s="14"/>
    </row>
    <row r="934" customFormat="false" ht="13.8" hidden="false" customHeight="false" outlineLevel="0" collapsed="false">
      <c r="D934" s="14"/>
      <c r="E934" s="14"/>
      <c r="F934" s="15"/>
      <c r="G934" s="14"/>
      <c r="H934" s="14"/>
    </row>
    <row r="935" customFormat="false" ht="13.8" hidden="false" customHeight="false" outlineLevel="0" collapsed="false">
      <c r="D935" s="14"/>
      <c r="E935" s="14"/>
      <c r="F935" s="15"/>
      <c r="G935" s="14"/>
      <c r="H935" s="14"/>
    </row>
    <row r="936" customFormat="false" ht="13.8" hidden="false" customHeight="false" outlineLevel="0" collapsed="false">
      <c r="D936" s="14"/>
      <c r="E936" s="14"/>
      <c r="F936" s="15"/>
      <c r="G936" s="14"/>
      <c r="H936" s="14"/>
    </row>
    <row r="937" customFormat="false" ht="13.8" hidden="false" customHeight="false" outlineLevel="0" collapsed="false">
      <c r="D937" s="14"/>
      <c r="E937" s="14"/>
      <c r="F937" s="15"/>
      <c r="G937" s="14"/>
      <c r="H937" s="14"/>
    </row>
    <row r="938" customFormat="false" ht="13.8" hidden="false" customHeight="false" outlineLevel="0" collapsed="false">
      <c r="D938" s="14"/>
      <c r="E938" s="14"/>
      <c r="F938" s="15"/>
      <c r="G938" s="14"/>
      <c r="H938" s="14"/>
    </row>
    <row r="939" customFormat="false" ht="13.8" hidden="false" customHeight="false" outlineLevel="0" collapsed="false">
      <c r="D939" s="14"/>
      <c r="E939" s="14"/>
      <c r="F939" s="15"/>
      <c r="G939" s="14"/>
      <c r="H939" s="14"/>
    </row>
    <row r="940" customFormat="false" ht="13.8" hidden="false" customHeight="false" outlineLevel="0" collapsed="false">
      <c r="D940" s="14"/>
      <c r="E940" s="14"/>
      <c r="F940" s="15"/>
      <c r="G940" s="14"/>
      <c r="H940" s="14"/>
    </row>
    <row r="941" customFormat="false" ht="13.8" hidden="false" customHeight="false" outlineLevel="0" collapsed="false">
      <c r="D941" s="14"/>
      <c r="E941" s="14"/>
      <c r="F941" s="15"/>
      <c r="G941" s="14"/>
      <c r="H941" s="14"/>
    </row>
    <row r="942" customFormat="false" ht="13.8" hidden="false" customHeight="false" outlineLevel="0" collapsed="false">
      <c r="D942" s="14"/>
      <c r="E942" s="14"/>
      <c r="F942" s="15"/>
      <c r="G942" s="14"/>
      <c r="H942" s="14"/>
    </row>
    <row r="943" customFormat="false" ht="13.8" hidden="false" customHeight="false" outlineLevel="0" collapsed="false">
      <c r="D943" s="14"/>
      <c r="E943" s="14"/>
      <c r="F943" s="15"/>
      <c r="G943" s="14"/>
      <c r="H943" s="14"/>
    </row>
    <row r="944" customFormat="false" ht="13.8" hidden="false" customHeight="false" outlineLevel="0" collapsed="false">
      <c r="D944" s="14"/>
      <c r="E944" s="14"/>
      <c r="F944" s="15"/>
      <c r="G944" s="14"/>
      <c r="H944" s="14"/>
    </row>
    <row r="945" customFormat="false" ht="13.8" hidden="false" customHeight="false" outlineLevel="0" collapsed="false">
      <c r="D945" s="14"/>
      <c r="E945" s="14"/>
      <c r="F945" s="15"/>
      <c r="G945" s="14"/>
      <c r="H945" s="14"/>
    </row>
    <row r="946" customFormat="false" ht="13.8" hidden="false" customHeight="false" outlineLevel="0" collapsed="false">
      <c r="D946" s="14"/>
      <c r="E946" s="14"/>
      <c r="F946" s="15"/>
      <c r="G946" s="14"/>
      <c r="H946" s="14"/>
    </row>
    <row r="947" customFormat="false" ht="13.8" hidden="false" customHeight="false" outlineLevel="0" collapsed="false">
      <c r="D947" s="14"/>
      <c r="E947" s="14"/>
      <c r="F947" s="15"/>
      <c r="G947" s="14"/>
      <c r="H947" s="14"/>
    </row>
    <row r="948" customFormat="false" ht="13.8" hidden="false" customHeight="false" outlineLevel="0" collapsed="false">
      <c r="D948" s="14"/>
      <c r="E948" s="14"/>
      <c r="F948" s="15"/>
      <c r="G948" s="14"/>
      <c r="H948" s="14"/>
    </row>
    <row r="949" customFormat="false" ht="13.8" hidden="false" customHeight="false" outlineLevel="0" collapsed="false">
      <c r="D949" s="14"/>
      <c r="E949" s="14"/>
      <c r="F949" s="15"/>
      <c r="G949" s="14"/>
      <c r="H949" s="14"/>
    </row>
    <row r="950" customFormat="false" ht="13.8" hidden="false" customHeight="false" outlineLevel="0" collapsed="false">
      <c r="D950" s="14"/>
      <c r="E950" s="14"/>
      <c r="F950" s="15"/>
      <c r="G950" s="14"/>
      <c r="H950" s="14"/>
    </row>
    <row r="951" customFormat="false" ht="13.8" hidden="false" customHeight="false" outlineLevel="0" collapsed="false">
      <c r="D951" s="14"/>
      <c r="E951" s="14"/>
      <c r="F951" s="15"/>
      <c r="G951" s="14"/>
      <c r="H951" s="14"/>
    </row>
    <row r="952" customFormat="false" ht="13.8" hidden="false" customHeight="false" outlineLevel="0" collapsed="false">
      <c r="D952" s="14"/>
      <c r="E952" s="14"/>
      <c r="F952" s="15"/>
      <c r="G952" s="14"/>
      <c r="H952" s="14"/>
    </row>
    <row r="953" customFormat="false" ht="13.8" hidden="false" customHeight="false" outlineLevel="0" collapsed="false">
      <c r="D953" s="14"/>
      <c r="E953" s="14"/>
      <c r="F953" s="15"/>
      <c r="G953" s="14"/>
      <c r="H953" s="14"/>
    </row>
    <row r="954" customFormat="false" ht="13.8" hidden="false" customHeight="false" outlineLevel="0" collapsed="false">
      <c r="D954" s="14"/>
      <c r="E954" s="14"/>
      <c r="F954" s="15"/>
      <c r="G954" s="14"/>
      <c r="H954" s="14"/>
    </row>
    <row r="955" customFormat="false" ht="13.8" hidden="false" customHeight="false" outlineLevel="0" collapsed="false">
      <c r="D955" s="14"/>
      <c r="E955" s="14"/>
      <c r="F955" s="15"/>
      <c r="G955" s="14"/>
      <c r="H955" s="14"/>
    </row>
    <row r="956" customFormat="false" ht="13.8" hidden="false" customHeight="false" outlineLevel="0" collapsed="false">
      <c r="D956" s="14"/>
      <c r="E956" s="14"/>
      <c r="F956" s="15"/>
      <c r="G956" s="14"/>
      <c r="H956" s="14"/>
    </row>
    <row r="957" customFormat="false" ht="13.8" hidden="false" customHeight="false" outlineLevel="0" collapsed="false">
      <c r="D957" s="14"/>
      <c r="E957" s="14"/>
      <c r="F957" s="15"/>
      <c r="G957" s="14"/>
      <c r="H957" s="14"/>
    </row>
    <row r="958" customFormat="false" ht="13.8" hidden="false" customHeight="false" outlineLevel="0" collapsed="false">
      <c r="D958" s="14"/>
      <c r="E958" s="14"/>
      <c r="F958" s="15"/>
      <c r="G958" s="14"/>
      <c r="H958" s="14"/>
    </row>
    <row r="959" customFormat="false" ht="13.8" hidden="false" customHeight="false" outlineLevel="0" collapsed="false">
      <c r="D959" s="14"/>
      <c r="E959" s="14"/>
      <c r="F959" s="15"/>
      <c r="G959" s="14"/>
      <c r="H959" s="14"/>
    </row>
    <row r="960" customFormat="false" ht="13.8" hidden="false" customHeight="false" outlineLevel="0" collapsed="false">
      <c r="D960" s="14"/>
      <c r="E960" s="14"/>
      <c r="F960" s="15"/>
      <c r="G960" s="14"/>
      <c r="H960" s="14"/>
    </row>
    <row r="961" customFormat="false" ht="13.8" hidden="false" customHeight="false" outlineLevel="0" collapsed="false">
      <c r="D961" s="14"/>
      <c r="E961" s="14"/>
      <c r="F961" s="15"/>
      <c r="G961" s="14"/>
      <c r="H961" s="14"/>
    </row>
    <row r="962" customFormat="false" ht="13.8" hidden="false" customHeight="false" outlineLevel="0" collapsed="false">
      <c r="D962" s="14"/>
      <c r="E962" s="14"/>
      <c r="F962" s="15"/>
      <c r="G962" s="14"/>
      <c r="H962" s="14"/>
    </row>
    <row r="963" customFormat="false" ht="13.8" hidden="false" customHeight="false" outlineLevel="0" collapsed="false">
      <c r="D963" s="14"/>
      <c r="E963" s="14"/>
      <c r="F963" s="15"/>
      <c r="G963" s="14"/>
      <c r="H963" s="14"/>
    </row>
    <row r="964" customFormat="false" ht="13.8" hidden="false" customHeight="false" outlineLevel="0" collapsed="false">
      <c r="D964" s="14"/>
      <c r="E964" s="14"/>
      <c r="F964" s="15"/>
      <c r="G964" s="14"/>
      <c r="H964" s="14"/>
    </row>
    <row r="965" customFormat="false" ht="13.8" hidden="false" customHeight="false" outlineLevel="0" collapsed="false">
      <c r="D965" s="14"/>
      <c r="E965" s="14"/>
      <c r="F965" s="15"/>
      <c r="G965" s="14"/>
      <c r="H965" s="14"/>
    </row>
    <row r="966" customFormat="false" ht="13.8" hidden="false" customHeight="false" outlineLevel="0" collapsed="false">
      <c r="D966" s="14"/>
      <c r="E966" s="14"/>
      <c r="F966" s="15"/>
      <c r="G966" s="14"/>
      <c r="H966" s="14"/>
    </row>
    <row r="967" customFormat="false" ht="13.8" hidden="false" customHeight="false" outlineLevel="0" collapsed="false">
      <c r="D967" s="14"/>
      <c r="E967" s="14"/>
      <c r="F967" s="15"/>
      <c r="G967" s="14"/>
      <c r="H967" s="14"/>
    </row>
    <row r="968" customFormat="false" ht="13.8" hidden="false" customHeight="false" outlineLevel="0" collapsed="false">
      <c r="D968" s="14"/>
      <c r="E968" s="14"/>
      <c r="F968" s="15"/>
      <c r="G968" s="14"/>
      <c r="H968" s="14"/>
    </row>
    <row r="969" customFormat="false" ht="13.8" hidden="false" customHeight="false" outlineLevel="0" collapsed="false">
      <c r="D969" s="14"/>
      <c r="E969" s="14"/>
      <c r="F969" s="15"/>
      <c r="G969" s="14"/>
      <c r="H969" s="14"/>
    </row>
    <row r="970" customFormat="false" ht="13.8" hidden="false" customHeight="false" outlineLevel="0" collapsed="false">
      <c r="D970" s="14"/>
      <c r="E970" s="14"/>
      <c r="F970" s="15"/>
      <c r="G970" s="14"/>
      <c r="H970" s="14"/>
    </row>
    <row r="971" customFormat="false" ht="13.8" hidden="false" customHeight="false" outlineLevel="0" collapsed="false">
      <c r="D971" s="14"/>
      <c r="E971" s="14"/>
      <c r="F971" s="15"/>
      <c r="G971" s="14"/>
      <c r="H971" s="14"/>
    </row>
    <row r="972" customFormat="false" ht="13.8" hidden="false" customHeight="false" outlineLevel="0" collapsed="false">
      <c r="D972" s="14"/>
      <c r="E972" s="14"/>
      <c r="F972" s="15"/>
      <c r="G972" s="14"/>
      <c r="H972" s="14"/>
    </row>
    <row r="973" customFormat="false" ht="13.8" hidden="false" customHeight="false" outlineLevel="0" collapsed="false">
      <c r="D973" s="14"/>
      <c r="E973" s="14"/>
      <c r="F973" s="15"/>
      <c r="G973" s="14"/>
      <c r="H973" s="14"/>
    </row>
    <row r="974" customFormat="false" ht="13.8" hidden="false" customHeight="false" outlineLevel="0" collapsed="false">
      <c r="D974" s="14"/>
      <c r="E974" s="14"/>
      <c r="F974" s="15"/>
      <c r="G974" s="14"/>
      <c r="H974" s="14"/>
    </row>
    <row r="975" customFormat="false" ht="13.8" hidden="false" customHeight="false" outlineLevel="0" collapsed="false">
      <c r="D975" s="14"/>
      <c r="E975" s="14"/>
      <c r="F975" s="15"/>
      <c r="G975" s="14"/>
      <c r="H975" s="14"/>
    </row>
    <row r="976" customFormat="false" ht="13.8" hidden="false" customHeight="false" outlineLevel="0" collapsed="false">
      <c r="D976" s="14"/>
      <c r="E976" s="14"/>
      <c r="F976" s="15"/>
      <c r="G976" s="14"/>
      <c r="H976" s="14"/>
    </row>
    <row r="977" customFormat="false" ht="13.8" hidden="false" customHeight="false" outlineLevel="0" collapsed="false">
      <c r="D977" s="14"/>
      <c r="E977" s="14"/>
      <c r="F977" s="15"/>
      <c r="G977" s="14"/>
      <c r="H977" s="14"/>
    </row>
    <row r="978" customFormat="false" ht="13.8" hidden="false" customHeight="false" outlineLevel="0" collapsed="false">
      <c r="D978" s="14"/>
      <c r="E978" s="14"/>
      <c r="F978" s="15"/>
      <c r="G978" s="14"/>
      <c r="H978" s="14"/>
    </row>
    <row r="979" customFormat="false" ht="13.8" hidden="false" customHeight="false" outlineLevel="0" collapsed="false">
      <c r="D979" s="14"/>
      <c r="E979" s="14"/>
      <c r="F979" s="15"/>
      <c r="G979" s="14"/>
      <c r="H979" s="14"/>
    </row>
    <row r="980" customFormat="false" ht="13.8" hidden="false" customHeight="false" outlineLevel="0" collapsed="false">
      <c r="D980" s="14"/>
      <c r="E980" s="14"/>
      <c r="F980" s="15"/>
      <c r="G980" s="14"/>
      <c r="H980" s="14"/>
    </row>
    <row r="981" customFormat="false" ht="13.8" hidden="false" customHeight="false" outlineLevel="0" collapsed="false">
      <c r="D981" s="14"/>
      <c r="E981" s="14"/>
      <c r="F981" s="15"/>
      <c r="G981" s="14"/>
      <c r="H981" s="14"/>
    </row>
    <row r="982" customFormat="false" ht="13.8" hidden="false" customHeight="false" outlineLevel="0" collapsed="false">
      <c r="D982" s="14"/>
      <c r="E982" s="14"/>
      <c r="F982" s="15"/>
      <c r="G982" s="14"/>
      <c r="H982" s="14"/>
    </row>
    <row r="983" customFormat="false" ht="13.8" hidden="false" customHeight="false" outlineLevel="0" collapsed="false">
      <c r="D983" s="14"/>
      <c r="E983" s="14"/>
      <c r="F983" s="15"/>
      <c r="G983" s="14"/>
      <c r="H983" s="14"/>
    </row>
    <row r="984" customFormat="false" ht="13.8" hidden="false" customHeight="false" outlineLevel="0" collapsed="false">
      <c r="D984" s="14"/>
      <c r="E984" s="14"/>
      <c r="F984" s="15"/>
      <c r="G984" s="14"/>
      <c r="H984" s="14"/>
    </row>
    <row r="985" customFormat="false" ht="13.8" hidden="false" customHeight="false" outlineLevel="0" collapsed="false">
      <c r="D985" s="14"/>
      <c r="E985" s="14"/>
      <c r="F985" s="15"/>
      <c r="G985" s="14"/>
      <c r="H985" s="14"/>
    </row>
    <row r="986" customFormat="false" ht="13.8" hidden="false" customHeight="false" outlineLevel="0" collapsed="false">
      <c r="D986" s="14"/>
      <c r="E986" s="14"/>
      <c r="F986" s="15"/>
      <c r="G986" s="14"/>
      <c r="H986" s="14"/>
    </row>
    <row r="987" customFormat="false" ht="13.8" hidden="false" customHeight="false" outlineLevel="0" collapsed="false">
      <c r="D987" s="14"/>
      <c r="E987" s="14"/>
      <c r="F987" s="15"/>
      <c r="G987" s="14"/>
      <c r="H987" s="14"/>
    </row>
    <row r="988" customFormat="false" ht="13.8" hidden="false" customHeight="false" outlineLevel="0" collapsed="false">
      <c r="D988" s="14"/>
      <c r="E988" s="14"/>
      <c r="F988" s="15"/>
      <c r="G988" s="14"/>
      <c r="H988" s="14"/>
    </row>
    <row r="989" customFormat="false" ht="13.8" hidden="false" customHeight="false" outlineLevel="0" collapsed="false">
      <c r="D989" s="14"/>
      <c r="E989" s="14"/>
      <c r="F989" s="15"/>
      <c r="G989" s="14"/>
      <c r="H989" s="14"/>
    </row>
    <row r="990" customFormat="false" ht="13.8" hidden="false" customHeight="false" outlineLevel="0" collapsed="false">
      <c r="D990" s="14"/>
      <c r="E990" s="14"/>
      <c r="F990" s="15"/>
      <c r="G990" s="14"/>
      <c r="H990" s="14"/>
    </row>
    <row r="991" customFormat="false" ht="13.8" hidden="false" customHeight="false" outlineLevel="0" collapsed="false">
      <c r="D991" s="14"/>
      <c r="E991" s="14"/>
      <c r="F991" s="15"/>
      <c r="G991" s="14"/>
      <c r="H991" s="14"/>
    </row>
    <row r="992" customFormat="false" ht="13.8" hidden="false" customHeight="false" outlineLevel="0" collapsed="false">
      <c r="D992" s="14"/>
      <c r="E992" s="14"/>
      <c r="F992" s="15"/>
      <c r="G992" s="14"/>
      <c r="H992" s="14"/>
    </row>
    <row r="993" customFormat="false" ht="13.8" hidden="false" customHeight="false" outlineLevel="0" collapsed="false">
      <c r="D993" s="14"/>
      <c r="E993" s="14"/>
      <c r="F993" s="15"/>
      <c r="G993" s="14"/>
      <c r="H993" s="14"/>
    </row>
    <row r="994" customFormat="false" ht="13.8" hidden="false" customHeight="false" outlineLevel="0" collapsed="false">
      <c r="D994" s="14"/>
      <c r="E994" s="14"/>
      <c r="F994" s="15"/>
      <c r="G994" s="14"/>
      <c r="H994" s="14"/>
    </row>
    <row r="995" customFormat="false" ht="13.8" hidden="false" customHeight="false" outlineLevel="0" collapsed="false">
      <c r="D995" s="14"/>
      <c r="E995" s="14"/>
      <c r="F995" s="15"/>
      <c r="G995" s="14"/>
      <c r="H995" s="14"/>
    </row>
    <row r="996" customFormat="false" ht="13.8" hidden="false" customHeight="false" outlineLevel="0" collapsed="false">
      <c r="D996" s="14"/>
      <c r="E996" s="14"/>
      <c r="F996" s="15"/>
      <c r="G996" s="14"/>
      <c r="H996" s="14"/>
    </row>
    <row r="997" customFormat="false" ht="13.8" hidden="false" customHeight="false" outlineLevel="0" collapsed="false">
      <c r="D997" s="14"/>
      <c r="E997" s="14"/>
      <c r="F997" s="15"/>
      <c r="G997" s="14"/>
      <c r="H997" s="14"/>
    </row>
    <row r="998" customFormat="false" ht="13.8" hidden="false" customHeight="false" outlineLevel="0" collapsed="false">
      <c r="D998" s="14"/>
      <c r="E998" s="14"/>
      <c r="F998" s="15"/>
      <c r="G998" s="14"/>
      <c r="H998" s="14"/>
    </row>
    <row r="999" customFormat="false" ht="13.8" hidden="false" customHeight="false" outlineLevel="0" collapsed="false">
      <c r="D999" s="14"/>
      <c r="E999" s="14"/>
      <c r="F999" s="15"/>
      <c r="G999" s="14"/>
      <c r="H999" s="14"/>
    </row>
    <row r="1000" customFormat="false" ht="13.8" hidden="false" customHeight="false" outlineLevel="0" collapsed="false">
      <c r="D1000" s="14"/>
      <c r="E1000" s="14"/>
      <c r="F1000" s="15"/>
      <c r="G1000" s="14"/>
      <c r="H1000" s="1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2026-07-17T10:30:14Z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